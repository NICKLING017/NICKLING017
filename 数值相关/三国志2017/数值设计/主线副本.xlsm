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filterPrivacy="1" codeName="ThisWorkbook" defaultThemeVersion="124226"/>
  <xr:revisionPtr revIDLastSave="0" documentId="13_ncr:1_{7E8DB94C-89F5-4DEB-994E-F5546618C783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节奏总纲" sheetId="1" r:id="rId1"/>
    <sheet name="其他调用" sheetId="3" r:id="rId2"/>
    <sheet name="基本信息" sheetId="2" r:id="rId3"/>
    <sheet name="副本直接奖励" sheetId="4" r:id="rId4"/>
    <sheet name="活动副本-长平之战" sheetId="5" r:id="rId5"/>
  </sheets>
  <functionGroups builtInGroupCount="19"/>
  <externalReferences>
    <externalReference r:id="rId6"/>
    <externalReference r:id="rId7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6" i="4" l="1"/>
  <c r="T7" i="4" l="1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52" i="4"/>
  <c r="T53" i="4"/>
  <c r="T54" i="4"/>
  <c r="T55" i="4"/>
  <c r="T56" i="4"/>
  <c r="T57" i="4"/>
  <c r="T58" i="4"/>
  <c r="T6" i="4"/>
  <c r="D58" i="4"/>
  <c r="D53" i="4"/>
  <c r="D54" i="4" s="1"/>
  <c r="D55" i="4" s="1"/>
  <c r="D56" i="4" s="1"/>
  <c r="D57" i="4" s="1"/>
  <c r="D52" i="4"/>
  <c r="D47" i="4"/>
  <c r="D48" i="4" s="1"/>
  <c r="D49" i="4" s="1"/>
  <c r="D50" i="4" s="1"/>
  <c r="D51" i="4" s="1"/>
  <c r="D46" i="4"/>
  <c r="D41" i="4"/>
  <c r="D42" i="4" s="1"/>
  <c r="D43" i="4" s="1"/>
  <c r="D44" i="4" s="1"/>
  <c r="D45" i="4" s="1"/>
  <c r="D40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I57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6" i="4"/>
  <c r="F41" i="4"/>
  <c r="F42" i="4" s="1"/>
  <c r="F43" i="4" s="1"/>
  <c r="F44" i="4" s="1"/>
  <c r="F45" i="4" s="1"/>
  <c r="F46" i="4"/>
  <c r="F47" i="4"/>
  <c r="F48" i="4" s="1"/>
  <c r="F49" i="4" s="1"/>
  <c r="F50" i="4" s="1"/>
  <c r="F51" i="4" s="1"/>
  <c r="F52" i="4"/>
  <c r="F53" i="4"/>
  <c r="F54" i="4" s="1"/>
  <c r="F55" i="4" s="1"/>
  <c r="F56" i="4" s="1"/>
  <c r="F57" i="4" s="1"/>
  <c r="F58" i="4"/>
  <c r="AB5" i="4"/>
  <c r="AB78" i="4"/>
  <c r="CF6" i="5" l="1"/>
  <c r="CG6" i="5"/>
  <c r="CF7" i="5"/>
  <c r="CG7" i="5"/>
  <c r="CG5" i="5"/>
  <c r="CF5" i="5"/>
  <c r="BU15" i="5"/>
  <c r="BV15" i="5"/>
  <c r="BW15" i="5"/>
  <c r="BX15" i="5"/>
  <c r="BU16" i="5"/>
  <c r="BV16" i="5"/>
  <c r="BW16" i="5"/>
  <c r="BX16" i="5"/>
  <c r="BV14" i="5"/>
  <c r="BV22" i="5" s="1"/>
  <c r="BW14" i="5"/>
  <c r="BX14" i="5"/>
  <c r="BU14" i="5"/>
  <c r="BO6" i="5"/>
  <c r="BO7" i="5"/>
  <c r="BO8" i="5"/>
  <c r="BO9" i="5"/>
  <c r="BO10" i="5"/>
  <c r="BO5" i="5"/>
  <c r="BN6" i="5"/>
  <c r="BN7" i="5"/>
  <c r="BN8" i="5"/>
  <c r="BN9" i="5"/>
  <c r="BN10" i="5"/>
  <c r="BN5" i="5"/>
  <c r="BC6" i="5"/>
  <c r="BD6" i="5"/>
  <c r="BE6" i="5"/>
  <c r="BC7" i="5"/>
  <c r="BD7" i="5"/>
  <c r="BE7" i="5"/>
  <c r="BC8" i="5"/>
  <c r="BD8" i="5"/>
  <c r="BE8" i="5"/>
  <c r="BC9" i="5"/>
  <c r="BD9" i="5"/>
  <c r="BE9" i="5"/>
  <c r="BC10" i="5"/>
  <c r="BD10" i="5"/>
  <c r="BE10" i="5"/>
  <c r="BC11" i="5"/>
  <c r="BD11" i="5"/>
  <c r="BE11" i="5"/>
  <c r="BC12" i="5"/>
  <c r="BD12" i="5"/>
  <c r="BE12" i="5"/>
  <c r="BC13" i="5"/>
  <c r="BD13" i="5"/>
  <c r="BE13" i="5"/>
  <c r="BC14" i="5"/>
  <c r="BD14" i="5"/>
  <c r="BE14" i="5"/>
  <c r="BC15" i="5"/>
  <c r="BD15" i="5"/>
  <c r="BE15" i="5"/>
  <c r="BC16" i="5"/>
  <c r="BD16" i="5"/>
  <c r="BE16" i="5"/>
  <c r="BC17" i="5"/>
  <c r="BD17" i="5"/>
  <c r="BE17" i="5"/>
  <c r="BC18" i="5"/>
  <c r="BD18" i="5"/>
  <c r="BE18" i="5"/>
  <c r="BC19" i="5"/>
  <c r="BD19" i="5"/>
  <c r="BE19" i="5"/>
  <c r="BC20" i="5"/>
  <c r="BD20" i="5"/>
  <c r="BE20" i="5"/>
  <c r="BC21" i="5"/>
  <c r="BD21" i="5"/>
  <c r="BE21" i="5"/>
  <c r="BC22" i="5"/>
  <c r="BD22" i="5"/>
  <c r="BE22" i="5"/>
  <c r="BC23" i="5"/>
  <c r="BD23" i="5"/>
  <c r="BE23" i="5"/>
  <c r="BC24" i="5"/>
  <c r="BD24" i="5"/>
  <c r="BE24" i="5"/>
  <c r="BC25" i="5"/>
  <c r="BD25" i="5"/>
  <c r="BE25" i="5"/>
  <c r="BC26" i="5"/>
  <c r="BD26" i="5"/>
  <c r="BE26" i="5"/>
  <c r="BC27" i="5"/>
  <c r="BD27" i="5"/>
  <c r="BE27" i="5"/>
  <c r="BC28" i="5"/>
  <c r="BD28" i="5"/>
  <c r="BE28" i="5"/>
  <c r="BC29" i="5"/>
  <c r="BD29" i="5"/>
  <c r="BE29" i="5"/>
  <c r="BC30" i="5"/>
  <c r="BD30" i="5"/>
  <c r="BE30" i="5"/>
  <c r="BC31" i="5"/>
  <c r="BD31" i="5"/>
  <c r="BE31" i="5"/>
  <c r="BC32" i="5"/>
  <c r="BD32" i="5"/>
  <c r="BE32" i="5"/>
  <c r="BC33" i="5"/>
  <c r="BD33" i="5"/>
  <c r="BE33" i="5"/>
  <c r="BC34" i="5"/>
  <c r="BD34" i="5"/>
  <c r="BE34" i="5"/>
  <c r="BC35" i="5"/>
  <c r="BD35" i="5"/>
  <c r="BE35" i="5"/>
  <c r="BC36" i="5"/>
  <c r="BD36" i="5"/>
  <c r="BE36" i="5"/>
  <c r="BC37" i="5"/>
  <c r="BD37" i="5"/>
  <c r="BE37" i="5"/>
  <c r="BC38" i="5"/>
  <c r="BD38" i="5"/>
  <c r="BE38" i="5"/>
  <c r="BC39" i="5"/>
  <c r="BD39" i="5"/>
  <c r="BE39" i="5"/>
  <c r="BC40" i="5"/>
  <c r="BD40" i="5"/>
  <c r="BE40" i="5"/>
  <c r="BC41" i="5"/>
  <c r="BD41" i="5"/>
  <c r="BE41" i="5"/>
  <c r="BC42" i="5"/>
  <c r="BD42" i="5"/>
  <c r="BE42" i="5"/>
  <c r="BC43" i="5"/>
  <c r="BD43" i="5"/>
  <c r="BE43" i="5"/>
  <c r="BC44" i="5"/>
  <c r="BD44" i="5"/>
  <c r="BE44" i="5"/>
  <c r="BC45" i="5"/>
  <c r="BD45" i="5"/>
  <c r="BE45" i="5"/>
  <c r="BC46" i="5"/>
  <c r="BD46" i="5"/>
  <c r="BE46" i="5"/>
  <c r="BD5" i="5"/>
  <c r="BE5" i="5"/>
  <c r="BC5" i="5"/>
  <c r="BW22" i="5" l="1"/>
  <c r="BU22" i="5"/>
  <c r="BU21" i="5"/>
  <c r="BX22" i="5"/>
  <c r="BW23" i="5"/>
  <c r="BX21" i="5"/>
  <c r="BW21" i="5"/>
  <c r="BV21" i="5"/>
  <c r="BX23" i="5"/>
  <c r="BV23" i="5"/>
  <c r="BU23" i="5"/>
  <c r="G4" i="5"/>
  <c r="CC6" i="5" s="1"/>
  <c r="G3" i="5"/>
  <c r="CC5" i="5" s="1"/>
  <c r="G5" i="5"/>
  <c r="F2" i="5"/>
  <c r="BT16" i="5" l="1"/>
  <c r="BT23" i="5" s="1"/>
  <c r="CC7" i="5"/>
  <c r="BK8" i="5"/>
  <c r="BT15" i="5"/>
  <c r="BT22" i="5" s="1"/>
  <c r="BK6" i="5"/>
  <c r="BT14" i="5"/>
  <c r="BT21" i="5" s="1"/>
  <c r="AY5" i="5"/>
  <c r="BK5" i="5"/>
  <c r="AY46" i="5"/>
  <c r="BK10" i="5"/>
  <c r="AY32" i="5"/>
  <c r="AY18" i="5"/>
  <c r="M151" i="5"/>
  <c r="M149" i="5"/>
  <c r="M76" i="5"/>
  <c r="M159" i="5"/>
  <c r="M132" i="5"/>
  <c r="M140" i="5"/>
  <c r="M133" i="5"/>
  <c r="M70" i="5"/>
  <c r="N77" i="5"/>
  <c r="N133" i="5"/>
  <c r="N96" i="5"/>
  <c r="N125" i="5"/>
  <c r="N129" i="5"/>
  <c r="N92" i="5"/>
  <c r="N79" i="5"/>
  <c r="O139" i="5"/>
  <c r="O64" i="5"/>
  <c r="O74" i="5"/>
  <c r="O108" i="5"/>
  <c r="O131" i="5"/>
  <c r="O154" i="5"/>
  <c r="O141" i="5"/>
  <c r="O56" i="5"/>
  <c r="P101" i="5"/>
  <c r="P93" i="5"/>
  <c r="P120" i="5"/>
  <c r="P157" i="5"/>
  <c r="P135" i="5"/>
  <c r="P94" i="5"/>
  <c r="P151" i="5"/>
  <c r="P90" i="5"/>
  <c r="M115" i="5"/>
  <c r="M137" i="5"/>
  <c r="M64" i="5"/>
  <c r="M123" i="5"/>
  <c r="M108" i="5"/>
  <c r="M56" i="5"/>
  <c r="M109" i="5"/>
  <c r="M58" i="5"/>
  <c r="N135" i="5"/>
  <c r="N121" i="5"/>
  <c r="N84" i="5"/>
  <c r="N75" i="5"/>
  <c r="N117" i="5"/>
  <c r="N80" i="5"/>
  <c r="N67" i="5"/>
  <c r="O90" i="5"/>
  <c r="O52" i="5"/>
  <c r="O62" i="5"/>
  <c r="O96" i="5"/>
  <c r="O119" i="5"/>
  <c r="O142" i="5"/>
  <c r="O117" i="5"/>
  <c r="O44" i="5"/>
  <c r="P89" i="5"/>
  <c r="P45" i="5"/>
  <c r="P108" i="5"/>
  <c r="P121" i="5"/>
  <c r="P99" i="5"/>
  <c r="P82" i="5"/>
  <c r="P139" i="5"/>
  <c r="P78" i="5"/>
  <c r="M91" i="5"/>
  <c r="M125" i="5"/>
  <c r="M52" i="5"/>
  <c r="M99" i="5"/>
  <c r="M84" i="5"/>
  <c r="M139" i="5"/>
  <c r="M85" i="5"/>
  <c r="M46" i="5"/>
  <c r="N149" i="5"/>
  <c r="N109" i="5"/>
  <c r="N72" i="5"/>
  <c r="N154" i="5"/>
  <c r="N105" i="5"/>
  <c r="N68" i="5"/>
  <c r="N55" i="5"/>
  <c r="O113" i="5"/>
  <c r="O103" i="5"/>
  <c r="O50" i="5"/>
  <c r="O84" i="5"/>
  <c r="O107" i="5"/>
  <c r="O130" i="5"/>
  <c r="O105" i="5"/>
  <c r="O163" i="5"/>
  <c r="P77" i="5"/>
  <c r="P164" i="5"/>
  <c r="P96" i="5"/>
  <c r="P85" i="5"/>
  <c r="P75" i="5"/>
  <c r="P70" i="5"/>
  <c r="P127" i="5"/>
  <c r="P66" i="5"/>
  <c r="M55" i="5"/>
  <c r="M113" i="5"/>
  <c r="M92" i="5"/>
  <c r="M75" i="5"/>
  <c r="M60" i="5"/>
  <c r="M103" i="5"/>
  <c r="M61" i="5"/>
  <c r="M57" i="5"/>
  <c r="N158" i="5"/>
  <c r="N97" i="5"/>
  <c r="N60" i="5"/>
  <c r="N142" i="5"/>
  <c r="N93" i="5"/>
  <c r="N56" i="5"/>
  <c r="N43" i="5"/>
  <c r="O101" i="5"/>
  <c r="O162" i="5"/>
  <c r="O102" i="5"/>
  <c r="O72" i="5"/>
  <c r="O95" i="5"/>
  <c r="O118" i="5"/>
  <c r="O93" i="5"/>
  <c r="O91" i="5"/>
  <c r="P65" i="5"/>
  <c r="P159" i="5"/>
  <c r="P84" i="5"/>
  <c r="P155" i="5"/>
  <c r="P51" i="5"/>
  <c r="P58" i="5"/>
  <c r="P115" i="5"/>
  <c r="P54" i="5"/>
  <c r="M43" i="5"/>
  <c r="M101" i="5"/>
  <c r="M93" i="5"/>
  <c r="M51" i="5"/>
  <c r="M155" i="5"/>
  <c r="M67" i="5"/>
  <c r="M144" i="5"/>
  <c r="M153" i="5"/>
  <c r="N146" i="5"/>
  <c r="N85" i="5"/>
  <c r="N48" i="5"/>
  <c r="N130" i="5"/>
  <c r="N81" i="5"/>
  <c r="N44" i="5"/>
  <c r="N53" i="5"/>
  <c r="O89" i="5"/>
  <c r="O125" i="5"/>
  <c r="O73" i="5"/>
  <c r="O60" i="5"/>
  <c r="O83" i="5"/>
  <c r="O106" i="5"/>
  <c r="O81" i="5"/>
  <c r="O79" i="5"/>
  <c r="P53" i="5"/>
  <c r="P111" i="5"/>
  <c r="P72" i="5"/>
  <c r="P143" i="5"/>
  <c r="P158" i="5"/>
  <c r="P46" i="5"/>
  <c r="P103" i="5"/>
  <c r="M162" i="5"/>
  <c r="M89" i="5"/>
  <c r="M116" i="5"/>
  <c r="M146" i="5"/>
  <c r="M143" i="5"/>
  <c r="M147" i="5"/>
  <c r="M120" i="5"/>
  <c r="M80" i="5"/>
  <c r="N134" i="5"/>
  <c r="N73" i="5"/>
  <c r="N63" i="5"/>
  <c r="N118" i="5"/>
  <c r="N69" i="5"/>
  <c r="N101" i="5"/>
  <c r="N111" i="5"/>
  <c r="O77" i="5"/>
  <c r="O123" i="5"/>
  <c r="O114" i="5"/>
  <c r="O48" i="5"/>
  <c r="O71" i="5"/>
  <c r="O94" i="5"/>
  <c r="O69" i="5"/>
  <c r="O67" i="5"/>
  <c r="P160" i="5"/>
  <c r="P63" i="5"/>
  <c r="P60" i="5"/>
  <c r="P131" i="5"/>
  <c r="P122" i="5"/>
  <c r="P152" i="5"/>
  <c r="P91" i="5"/>
  <c r="M150" i="5"/>
  <c r="M77" i="5"/>
  <c r="M117" i="5"/>
  <c r="M122" i="5"/>
  <c r="M131" i="5"/>
  <c r="M135" i="5"/>
  <c r="M96" i="5"/>
  <c r="N137" i="5"/>
  <c r="N122" i="5"/>
  <c r="N61" i="5"/>
  <c r="N155" i="5"/>
  <c r="N106" i="5"/>
  <c r="N57" i="5"/>
  <c r="N160" i="5"/>
  <c r="N162" i="5"/>
  <c r="O65" i="5"/>
  <c r="O111" i="5"/>
  <c r="O137" i="5"/>
  <c r="O115" i="5"/>
  <c r="O59" i="5"/>
  <c r="O82" i="5"/>
  <c r="O57" i="5"/>
  <c r="O55" i="5"/>
  <c r="P148" i="5"/>
  <c r="P134" i="5"/>
  <c r="P48" i="5"/>
  <c r="P119" i="5"/>
  <c r="P86" i="5"/>
  <c r="P105" i="5"/>
  <c r="P79" i="5"/>
  <c r="M138" i="5"/>
  <c r="M65" i="5"/>
  <c r="M128" i="5"/>
  <c r="M98" i="5"/>
  <c r="M119" i="5"/>
  <c r="M111" i="5"/>
  <c r="M72" i="5"/>
  <c r="N148" i="5"/>
  <c r="N110" i="5"/>
  <c r="N49" i="5"/>
  <c r="N143" i="5"/>
  <c r="N94" i="5"/>
  <c r="N45" i="5"/>
  <c r="N159" i="5"/>
  <c r="N150" i="5"/>
  <c r="O53" i="5"/>
  <c r="O63" i="5"/>
  <c r="O135" i="5"/>
  <c r="O138" i="5"/>
  <c r="O47" i="5"/>
  <c r="O70" i="5"/>
  <c r="O164" i="5"/>
  <c r="O43" i="5"/>
  <c r="P136" i="5"/>
  <c r="P98" i="5"/>
  <c r="P129" i="5"/>
  <c r="P107" i="5"/>
  <c r="P50" i="5"/>
  <c r="P128" i="5"/>
  <c r="P67" i="5"/>
  <c r="M126" i="5"/>
  <c r="M53" i="5"/>
  <c r="M105" i="5"/>
  <c r="M74" i="5"/>
  <c r="M107" i="5"/>
  <c r="M87" i="5"/>
  <c r="M48" i="5"/>
  <c r="N136" i="5"/>
  <c r="N98" i="5"/>
  <c r="N65" i="5"/>
  <c r="N131" i="5"/>
  <c r="N82" i="5"/>
  <c r="N161" i="5"/>
  <c r="N123" i="5"/>
  <c r="N138" i="5"/>
  <c r="O160" i="5"/>
  <c r="O51" i="5"/>
  <c r="O99" i="5"/>
  <c r="O149" i="5"/>
  <c r="O127" i="5"/>
  <c r="O58" i="5"/>
  <c r="O152" i="5"/>
  <c r="O66" i="5"/>
  <c r="P124" i="5"/>
  <c r="P62" i="5"/>
  <c r="P69" i="5"/>
  <c r="P95" i="5"/>
  <c r="P145" i="5"/>
  <c r="P116" i="5"/>
  <c r="P55" i="5"/>
  <c r="M114" i="5"/>
  <c r="M160" i="5"/>
  <c r="M45" i="5"/>
  <c r="M50" i="5"/>
  <c r="M95" i="5"/>
  <c r="M63" i="5"/>
  <c r="M154" i="5"/>
  <c r="N124" i="5"/>
  <c r="N86" i="5"/>
  <c r="N147" i="5"/>
  <c r="N119" i="5"/>
  <c r="N70" i="5"/>
  <c r="N99" i="5"/>
  <c r="N163" i="5"/>
  <c r="N126" i="5"/>
  <c r="O148" i="5"/>
  <c r="O158" i="5"/>
  <c r="O157" i="5"/>
  <c r="O147" i="5"/>
  <c r="O150" i="5"/>
  <c r="O46" i="5"/>
  <c r="O140" i="5"/>
  <c r="O54" i="5"/>
  <c r="P112" i="5"/>
  <c r="P133" i="5"/>
  <c r="P161" i="5"/>
  <c r="P83" i="5"/>
  <c r="P109" i="5"/>
  <c r="P104" i="5"/>
  <c r="P43" i="5"/>
  <c r="M102" i="5"/>
  <c r="M148" i="5"/>
  <c r="M164" i="5"/>
  <c r="M145" i="5"/>
  <c r="M83" i="5"/>
  <c r="M158" i="5"/>
  <c r="M142" i="5"/>
  <c r="N112" i="5"/>
  <c r="N74" i="5"/>
  <c r="N51" i="5"/>
  <c r="N107" i="5"/>
  <c r="N58" i="5"/>
  <c r="N164" i="5"/>
  <c r="N151" i="5"/>
  <c r="N114" i="5"/>
  <c r="O136" i="5"/>
  <c r="O146" i="5"/>
  <c r="O145" i="5"/>
  <c r="O87" i="5"/>
  <c r="O161" i="5"/>
  <c r="O78" i="5"/>
  <c r="O128" i="5"/>
  <c r="P117" i="5"/>
  <c r="P100" i="5"/>
  <c r="P97" i="5"/>
  <c r="P147" i="5"/>
  <c r="P71" i="5"/>
  <c r="P73" i="5"/>
  <c r="P92" i="5"/>
  <c r="P162" i="5"/>
  <c r="M90" i="5"/>
  <c r="M136" i="5"/>
  <c r="M104" i="5"/>
  <c r="M121" i="5"/>
  <c r="M71" i="5"/>
  <c r="M134" i="5"/>
  <c r="M130" i="5"/>
  <c r="N100" i="5"/>
  <c r="N62" i="5"/>
  <c r="N156" i="5"/>
  <c r="N95" i="5"/>
  <c r="N46" i="5"/>
  <c r="N152" i="5"/>
  <c r="N139" i="5"/>
  <c r="N102" i="5"/>
  <c r="O124" i="5"/>
  <c r="O134" i="5"/>
  <c r="O109" i="5"/>
  <c r="O121" i="5"/>
  <c r="O159" i="5"/>
  <c r="O129" i="5"/>
  <c r="O116" i="5"/>
  <c r="P57" i="5"/>
  <c r="P88" i="5"/>
  <c r="P61" i="5"/>
  <c r="P123" i="5"/>
  <c r="P59" i="5"/>
  <c r="P154" i="5"/>
  <c r="P80" i="5"/>
  <c r="P150" i="5"/>
  <c r="M129" i="5"/>
  <c r="M78" i="5"/>
  <c r="M124" i="5"/>
  <c r="M44" i="5"/>
  <c r="M97" i="5"/>
  <c r="M59" i="5"/>
  <c r="M110" i="5"/>
  <c r="M118" i="5"/>
  <c r="N88" i="5"/>
  <c r="N50" i="5"/>
  <c r="N144" i="5"/>
  <c r="N83" i="5"/>
  <c r="N89" i="5"/>
  <c r="N140" i="5"/>
  <c r="N127" i="5"/>
  <c r="N90" i="5"/>
  <c r="O112" i="5"/>
  <c r="O122" i="5"/>
  <c r="O156" i="5"/>
  <c r="O85" i="5"/>
  <c r="O75" i="5"/>
  <c r="O45" i="5"/>
  <c r="O104" i="5"/>
  <c r="P140" i="5"/>
  <c r="P76" i="5"/>
  <c r="P49" i="5"/>
  <c r="P87" i="5"/>
  <c r="P47" i="5"/>
  <c r="P142" i="5"/>
  <c r="P68" i="5"/>
  <c r="P138" i="5"/>
  <c r="M81" i="5"/>
  <c r="M66" i="5"/>
  <c r="M112" i="5"/>
  <c r="M163" i="5"/>
  <c r="M73" i="5"/>
  <c r="M47" i="5"/>
  <c r="M86" i="5"/>
  <c r="M106" i="5"/>
  <c r="N76" i="5"/>
  <c r="N113" i="5"/>
  <c r="N132" i="5"/>
  <c r="N71" i="5"/>
  <c r="N87" i="5"/>
  <c r="N128" i="5"/>
  <c r="N115" i="5"/>
  <c r="N78" i="5"/>
  <c r="O100" i="5"/>
  <c r="O110" i="5"/>
  <c r="O144" i="5"/>
  <c r="O49" i="5"/>
  <c r="O133" i="5"/>
  <c r="O151" i="5"/>
  <c r="O92" i="5"/>
  <c r="P137" i="5"/>
  <c r="P64" i="5"/>
  <c r="P156" i="5"/>
  <c r="P146" i="5"/>
  <c r="P153" i="5"/>
  <c r="P130" i="5"/>
  <c r="P56" i="5"/>
  <c r="P126" i="5"/>
  <c r="M152" i="5"/>
  <c r="M54" i="5"/>
  <c r="M100" i="5"/>
  <c r="M127" i="5"/>
  <c r="M49" i="5"/>
  <c r="M141" i="5"/>
  <c r="M62" i="5"/>
  <c r="M94" i="5"/>
  <c r="N64" i="5"/>
  <c r="N157" i="5"/>
  <c r="N120" i="5"/>
  <c r="N59" i="5"/>
  <c r="N153" i="5"/>
  <c r="N116" i="5"/>
  <c r="N103" i="5"/>
  <c r="N66" i="5"/>
  <c r="O88" i="5"/>
  <c r="O98" i="5"/>
  <c r="O132" i="5"/>
  <c r="O155" i="5"/>
  <c r="O97" i="5"/>
  <c r="O126" i="5"/>
  <c r="O80" i="5"/>
  <c r="P125" i="5"/>
  <c r="P52" i="5"/>
  <c r="P144" i="5"/>
  <c r="P110" i="5"/>
  <c r="P81" i="5"/>
  <c r="P118" i="5"/>
  <c r="P44" i="5"/>
  <c r="P114" i="5"/>
  <c r="M68" i="5"/>
  <c r="M161" i="5"/>
  <c r="M88" i="5"/>
  <c r="M79" i="5"/>
  <c r="M156" i="5"/>
  <c r="M69" i="5"/>
  <c r="M157" i="5"/>
  <c r="M82" i="5"/>
  <c r="N52" i="5"/>
  <c r="N145" i="5"/>
  <c r="N108" i="5"/>
  <c r="N47" i="5"/>
  <c r="N141" i="5"/>
  <c r="N104" i="5"/>
  <c r="N91" i="5"/>
  <c r="N54" i="5"/>
  <c r="O76" i="5"/>
  <c r="O86" i="5"/>
  <c r="O120" i="5"/>
  <c r="O143" i="5"/>
  <c r="O61" i="5"/>
  <c r="O153" i="5"/>
  <c r="O68" i="5"/>
  <c r="P113" i="5"/>
  <c r="P141" i="5"/>
  <c r="P132" i="5"/>
  <c r="P74" i="5"/>
  <c r="P149" i="5"/>
  <c r="P106" i="5"/>
  <c r="P163" i="5"/>
  <c r="P102" i="5"/>
  <c r="BK7" i="5" l="1"/>
  <c r="BK9" i="5"/>
  <c r="AY6" i="5"/>
  <c r="AY7" i="5" s="1"/>
  <c r="AY8" i="5" s="1"/>
  <c r="AY9" i="5" s="1"/>
  <c r="AY10" i="5" s="1"/>
  <c r="AY11" i="5" s="1"/>
  <c r="AY12" i="5" s="1"/>
  <c r="AY13" i="5" s="1"/>
  <c r="AY14" i="5" s="1"/>
  <c r="AY19" i="5"/>
  <c r="AY20" i="5" s="1"/>
  <c r="AY21" i="5" s="1"/>
  <c r="AY22" i="5" s="1"/>
  <c r="AY23" i="5" s="1"/>
  <c r="AY24" i="5" s="1"/>
  <c r="AY25" i="5" s="1"/>
  <c r="AY33" i="5"/>
  <c r="AY34" i="5" s="1"/>
  <c r="AY35" i="5" s="1"/>
  <c r="AY36" i="5" s="1"/>
  <c r="AY37" i="5" s="1"/>
  <c r="AY38" i="5" s="1"/>
  <c r="AY39" i="5" s="1"/>
  <c r="AY40" i="5" s="1"/>
  <c r="AY41" i="5" s="1"/>
  <c r="AY42" i="5" s="1"/>
  <c r="AY43" i="5" s="1"/>
  <c r="AY44" i="5" s="1"/>
  <c r="AY45" i="5" s="1"/>
  <c r="P22" i="5"/>
  <c r="P14" i="5"/>
  <c r="N9" i="5"/>
  <c r="N28" i="5"/>
  <c r="M27" i="5"/>
  <c r="P41" i="5"/>
  <c r="O26" i="5"/>
  <c r="P34" i="5"/>
  <c r="P15" i="5"/>
  <c r="N10" i="5"/>
  <c r="N40" i="5"/>
  <c r="M16" i="5"/>
  <c r="O6" i="5"/>
  <c r="O38" i="5"/>
  <c r="P37" i="5"/>
  <c r="P9" i="5"/>
  <c r="N11" i="5"/>
  <c r="N5" i="5"/>
  <c r="M28" i="5"/>
  <c r="O18" i="5"/>
  <c r="O15" i="5"/>
  <c r="N15" i="5"/>
  <c r="P26" i="5"/>
  <c r="P16" i="5"/>
  <c r="N17" i="5"/>
  <c r="M9" i="5"/>
  <c r="M40" i="5"/>
  <c r="O42" i="5"/>
  <c r="O27" i="5"/>
  <c r="M25" i="5"/>
  <c r="P27" i="5"/>
  <c r="P28" i="5"/>
  <c r="N12" i="5"/>
  <c r="M10" i="5"/>
  <c r="M17" i="5"/>
  <c r="O7" i="5"/>
  <c r="O39" i="5"/>
  <c r="M26" i="5"/>
  <c r="P6" i="5"/>
  <c r="P21" i="5"/>
  <c r="P17" i="5"/>
  <c r="N13" i="5"/>
  <c r="M13" i="5"/>
  <c r="M29" i="5"/>
  <c r="O19" i="5"/>
  <c r="O16" i="5"/>
  <c r="P18" i="5"/>
  <c r="P11" i="5"/>
  <c r="P29" i="5"/>
  <c r="N25" i="5"/>
  <c r="M37" i="5"/>
  <c r="M41" i="5"/>
  <c r="O8" i="5"/>
  <c r="O28" i="5"/>
  <c r="P30" i="5"/>
  <c r="P23" i="5"/>
  <c r="P5" i="5"/>
  <c r="N37" i="5"/>
  <c r="M14" i="5"/>
  <c r="M6" i="5"/>
  <c r="O20" i="5"/>
  <c r="O40" i="5"/>
  <c r="O12" i="5"/>
  <c r="P40" i="5"/>
  <c r="P7" i="5"/>
  <c r="P35" i="5"/>
  <c r="N6" i="5"/>
  <c r="N39" i="5"/>
  <c r="M38" i="5"/>
  <c r="M18" i="5"/>
  <c r="O9" i="5"/>
  <c r="O17" i="5"/>
  <c r="P19" i="5"/>
  <c r="P25" i="5"/>
  <c r="N18" i="5"/>
  <c r="N14" i="5"/>
  <c r="M15" i="5"/>
  <c r="M42" i="5"/>
  <c r="O10" i="5"/>
  <c r="O29" i="5"/>
  <c r="P31" i="5"/>
  <c r="P38" i="5"/>
  <c r="N42" i="5"/>
  <c r="N26" i="5"/>
  <c r="M39" i="5"/>
  <c r="M7" i="5"/>
  <c r="O37" i="5"/>
  <c r="O41" i="5"/>
  <c r="P8" i="5"/>
  <c r="P39" i="5"/>
  <c r="N7" i="5"/>
  <c r="N38" i="5"/>
  <c r="M20" i="5"/>
  <c r="M19" i="5"/>
  <c r="O11" i="5"/>
  <c r="O5" i="5"/>
  <c r="P42" i="5"/>
  <c r="P20" i="5"/>
  <c r="P12" i="5"/>
  <c r="N19" i="5"/>
  <c r="N27" i="5"/>
  <c r="M11" i="5"/>
  <c r="M8" i="5"/>
  <c r="O25" i="5"/>
  <c r="O13" i="5"/>
  <c r="P32" i="5"/>
  <c r="P24" i="5"/>
  <c r="N8" i="5"/>
  <c r="N29" i="5"/>
  <c r="M12" i="5"/>
  <c r="M5" i="5"/>
  <c r="P33" i="5"/>
  <c r="P36" i="5"/>
  <c r="N20" i="5"/>
  <c r="P10" i="5"/>
  <c r="P13" i="5"/>
  <c r="N41" i="5"/>
  <c r="N16" i="5"/>
  <c r="O14" i="5"/>
  <c r="AY15" i="5" l="1"/>
  <c r="AY16" i="5" s="1"/>
  <c r="AY26" i="5"/>
  <c r="AY27" i="5" s="1"/>
  <c r="AY28" i="5" s="1"/>
  <c r="AY29" i="5" s="1"/>
  <c r="AY30" i="5" s="1"/>
  <c r="O36" i="5"/>
  <c r="O22" i="5"/>
  <c r="O35" i="5"/>
  <c r="N35" i="5"/>
  <c r="N30" i="5"/>
  <c r="M21" i="5"/>
  <c r="O32" i="5"/>
  <c r="O30" i="5"/>
  <c r="N36" i="5"/>
  <c r="N31" i="5"/>
  <c r="M22" i="5"/>
  <c r="O31" i="5"/>
  <c r="N22" i="5"/>
  <c r="N21" i="5"/>
  <c r="M31" i="5"/>
  <c r="O21" i="5"/>
  <c r="N32" i="5"/>
  <c r="M30" i="5"/>
  <c r="M35" i="5"/>
  <c r="M36" i="5"/>
  <c r="M32" i="5"/>
  <c r="AY17" i="5" l="1"/>
  <c r="AY31" i="5"/>
  <c r="M33" i="5"/>
  <c r="O24" i="5"/>
  <c r="N33" i="5"/>
  <c r="N34" i="5"/>
  <c r="O34" i="5"/>
  <c r="M34" i="5"/>
  <c r="N23" i="5"/>
  <c r="N24" i="5"/>
  <c r="M24" i="5"/>
  <c r="M23" i="5"/>
  <c r="O33" i="5"/>
  <c r="O23" i="5"/>
  <c r="C67" i="4" l="1"/>
  <c r="D36" i="4" l="1"/>
  <c r="D37" i="4" s="1"/>
  <c r="D38" i="4" s="1"/>
  <c r="D39" i="4" s="1"/>
  <c r="C101" i="4"/>
  <c r="E101" i="4"/>
  <c r="G101" i="4"/>
  <c r="H101" i="4"/>
  <c r="K101" i="4"/>
  <c r="M101" i="4"/>
  <c r="N101" i="4"/>
  <c r="O101" i="4"/>
  <c r="P101" i="4"/>
  <c r="Q101" i="4"/>
  <c r="C102" i="4"/>
  <c r="E102" i="4"/>
  <c r="G102" i="4"/>
  <c r="H102" i="4"/>
  <c r="K102" i="4"/>
  <c r="M102" i="4"/>
  <c r="N102" i="4"/>
  <c r="O102" i="4"/>
  <c r="P102" i="4"/>
  <c r="Q102" i="4"/>
  <c r="C103" i="4"/>
  <c r="E103" i="4"/>
  <c r="G103" i="4"/>
  <c r="H103" i="4"/>
  <c r="K103" i="4"/>
  <c r="M103" i="4"/>
  <c r="N103" i="4"/>
  <c r="O103" i="4"/>
  <c r="P103" i="4"/>
  <c r="Q103" i="4"/>
  <c r="C104" i="4"/>
  <c r="E104" i="4"/>
  <c r="G104" i="4"/>
  <c r="H104" i="4"/>
  <c r="K104" i="4"/>
  <c r="M104" i="4"/>
  <c r="N104" i="4"/>
  <c r="O104" i="4"/>
  <c r="P104" i="4"/>
  <c r="Q104" i="4"/>
  <c r="C105" i="4"/>
  <c r="E105" i="4"/>
  <c r="G105" i="4"/>
  <c r="H105" i="4"/>
  <c r="K105" i="4"/>
  <c r="M105" i="4"/>
  <c r="N105" i="4"/>
  <c r="O105" i="4"/>
  <c r="P105" i="4"/>
  <c r="Q105" i="4"/>
  <c r="T102" i="4" l="1"/>
  <c r="T103" i="4"/>
  <c r="T104" i="4"/>
  <c r="F40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6" i="4"/>
  <c r="T101" i="4"/>
  <c r="C10" i="3"/>
  <c r="D10" i="3"/>
  <c r="E10" i="3"/>
  <c r="F10" i="3"/>
  <c r="G10" i="3"/>
  <c r="C11" i="3"/>
  <c r="D11" i="3"/>
  <c r="E11" i="3"/>
  <c r="F11" i="3"/>
  <c r="G11" i="3"/>
  <c r="C12" i="3"/>
  <c r="D12" i="3"/>
  <c r="E12" i="3"/>
  <c r="F12" i="3"/>
  <c r="G12" i="3"/>
  <c r="C13" i="3"/>
  <c r="D13" i="3"/>
  <c r="E13" i="3"/>
  <c r="F13" i="3"/>
  <c r="G13" i="3"/>
  <c r="C14" i="3"/>
  <c r="D14" i="3"/>
  <c r="E14" i="3"/>
  <c r="F14" i="3"/>
  <c r="G14" i="3"/>
  <c r="C15" i="3"/>
  <c r="D15" i="3"/>
  <c r="E15" i="3"/>
  <c r="F15" i="3"/>
  <c r="G15" i="3"/>
  <c r="C16" i="3"/>
  <c r="D16" i="3"/>
  <c r="E16" i="3"/>
  <c r="F16" i="3"/>
  <c r="G16" i="3"/>
  <c r="C17" i="3"/>
  <c r="D17" i="3"/>
  <c r="E17" i="3"/>
  <c r="F17" i="3"/>
  <c r="G17" i="3"/>
  <c r="C18" i="3"/>
  <c r="D18" i="3"/>
  <c r="E18" i="3"/>
  <c r="F18" i="3"/>
  <c r="G18" i="3"/>
  <c r="C19" i="3"/>
  <c r="D19" i="3"/>
  <c r="E19" i="3"/>
  <c r="F19" i="3"/>
  <c r="G19" i="3"/>
  <c r="C20" i="3"/>
  <c r="D20" i="3"/>
  <c r="E20" i="3"/>
  <c r="F20" i="3"/>
  <c r="G20" i="3"/>
  <c r="C21" i="3"/>
  <c r="D21" i="3"/>
  <c r="E21" i="3"/>
  <c r="F21" i="3"/>
  <c r="G21" i="3"/>
  <c r="C22" i="3"/>
  <c r="D22" i="3"/>
  <c r="E22" i="3"/>
  <c r="F22" i="3"/>
  <c r="G22" i="3"/>
  <c r="C23" i="3"/>
  <c r="D23" i="3"/>
  <c r="E23" i="3"/>
  <c r="F23" i="3"/>
  <c r="G23" i="3"/>
  <c r="C24" i="3"/>
  <c r="D24" i="3"/>
  <c r="E24" i="3"/>
  <c r="F24" i="3"/>
  <c r="G24" i="3"/>
  <c r="C25" i="3"/>
  <c r="D25" i="3"/>
  <c r="E25" i="3"/>
  <c r="F25" i="3"/>
  <c r="G25" i="3"/>
  <c r="C26" i="3"/>
  <c r="D26" i="3"/>
  <c r="E26" i="3"/>
  <c r="F26" i="3"/>
  <c r="G26" i="3"/>
  <c r="C27" i="3"/>
  <c r="D27" i="3"/>
  <c r="E27" i="3"/>
  <c r="F27" i="3"/>
  <c r="G27" i="3"/>
  <c r="C28" i="3"/>
  <c r="D28" i="3"/>
  <c r="E28" i="3"/>
  <c r="F28" i="3"/>
  <c r="G28" i="3"/>
  <c r="C29" i="3"/>
  <c r="D29" i="3"/>
  <c r="E29" i="3"/>
  <c r="F29" i="3"/>
  <c r="G29" i="3"/>
  <c r="C30" i="3"/>
  <c r="D30" i="3"/>
  <c r="E30" i="3"/>
  <c r="F30" i="3"/>
  <c r="G30" i="3"/>
  <c r="C31" i="3"/>
  <c r="D31" i="3"/>
  <c r="E31" i="3"/>
  <c r="F31" i="3"/>
  <c r="G31" i="3"/>
  <c r="C32" i="3"/>
  <c r="D32" i="3"/>
  <c r="E32" i="3"/>
  <c r="F32" i="3"/>
  <c r="G32" i="3"/>
  <c r="C33" i="3"/>
  <c r="D33" i="3"/>
  <c r="E33" i="3"/>
  <c r="F33" i="3"/>
  <c r="G33" i="3"/>
  <c r="C34" i="3"/>
  <c r="D34" i="3"/>
  <c r="E34" i="3"/>
  <c r="F34" i="3"/>
  <c r="G34" i="3"/>
  <c r="C35" i="3"/>
  <c r="D35" i="3"/>
  <c r="E35" i="3"/>
  <c r="F35" i="3"/>
  <c r="G35" i="3"/>
  <c r="C36" i="3"/>
  <c r="D36" i="3"/>
  <c r="E36" i="3"/>
  <c r="F36" i="3"/>
  <c r="G36" i="3"/>
  <c r="C37" i="3"/>
  <c r="D37" i="3"/>
  <c r="E37" i="3"/>
  <c r="F37" i="3"/>
  <c r="G37" i="3"/>
  <c r="C38" i="3"/>
  <c r="D38" i="3"/>
  <c r="E38" i="3"/>
  <c r="F38" i="3"/>
  <c r="G38" i="3"/>
  <c r="C39" i="3"/>
  <c r="D39" i="3"/>
  <c r="E39" i="3"/>
  <c r="F39" i="3"/>
  <c r="G39" i="3"/>
  <c r="C40" i="3"/>
  <c r="D40" i="3"/>
  <c r="E40" i="3"/>
  <c r="F40" i="3"/>
  <c r="G40" i="3"/>
  <c r="C41" i="3"/>
  <c r="D41" i="3"/>
  <c r="E41" i="3"/>
  <c r="F41" i="3"/>
  <c r="G41" i="3"/>
  <c r="C42" i="3"/>
  <c r="D42" i="3"/>
  <c r="E42" i="3"/>
  <c r="F42" i="3"/>
  <c r="G42" i="3"/>
  <c r="C43" i="3"/>
  <c r="D43" i="3"/>
  <c r="E43" i="3"/>
  <c r="F43" i="3"/>
  <c r="G43" i="3"/>
  <c r="C44" i="3"/>
  <c r="D44" i="3"/>
  <c r="E44" i="3"/>
  <c r="F44" i="3"/>
  <c r="G44" i="3"/>
  <c r="C45" i="3"/>
  <c r="D45" i="3"/>
  <c r="E45" i="3"/>
  <c r="F45" i="3"/>
  <c r="G45" i="3"/>
  <c r="C46" i="3"/>
  <c r="D46" i="3"/>
  <c r="E46" i="3"/>
  <c r="F46" i="3"/>
  <c r="G46" i="3"/>
  <c r="C47" i="3"/>
  <c r="D47" i="3"/>
  <c r="E47" i="3"/>
  <c r="F47" i="3"/>
  <c r="G47" i="3"/>
  <c r="C48" i="3"/>
  <c r="D48" i="3"/>
  <c r="E48" i="3"/>
  <c r="F48" i="3"/>
  <c r="G48" i="3"/>
  <c r="C49" i="3"/>
  <c r="D49" i="3"/>
  <c r="E49" i="3"/>
  <c r="F49" i="3"/>
  <c r="G49" i="3"/>
  <c r="C50" i="3"/>
  <c r="D50" i="3"/>
  <c r="E50" i="3"/>
  <c r="F50" i="3"/>
  <c r="G50" i="3"/>
  <c r="C51" i="3"/>
  <c r="D51" i="3"/>
  <c r="E51" i="3"/>
  <c r="F51" i="3"/>
  <c r="G51" i="3"/>
  <c r="C52" i="3"/>
  <c r="D52" i="3"/>
  <c r="E52" i="3"/>
  <c r="F52" i="3"/>
  <c r="G52" i="3"/>
  <c r="C53" i="3"/>
  <c r="D53" i="3"/>
  <c r="E53" i="3"/>
  <c r="F53" i="3"/>
  <c r="G53" i="3"/>
  <c r="C54" i="3"/>
  <c r="D54" i="3"/>
  <c r="E54" i="3"/>
  <c r="F54" i="3"/>
  <c r="G54" i="3"/>
  <c r="C55" i="3"/>
  <c r="D55" i="3"/>
  <c r="E55" i="3"/>
  <c r="F55" i="3"/>
  <c r="G55" i="3"/>
  <c r="C56" i="3"/>
  <c r="D56" i="3"/>
  <c r="E56" i="3"/>
  <c r="F56" i="3"/>
  <c r="G56" i="3"/>
  <c r="C57" i="3"/>
  <c r="D57" i="3"/>
  <c r="E57" i="3"/>
  <c r="F57" i="3"/>
  <c r="G57" i="3"/>
  <c r="C58" i="3"/>
  <c r="D58" i="3"/>
  <c r="E58" i="3"/>
  <c r="F58" i="3"/>
  <c r="G58" i="3"/>
  <c r="C59" i="3"/>
  <c r="D59" i="3"/>
  <c r="E59" i="3"/>
  <c r="F59" i="3"/>
  <c r="G59" i="3"/>
  <c r="C60" i="3"/>
  <c r="D60" i="3"/>
  <c r="E60" i="3"/>
  <c r="F60" i="3"/>
  <c r="G60" i="3"/>
  <c r="C61" i="3"/>
  <c r="D61" i="3"/>
  <c r="E61" i="3"/>
  <c r="F61" i="3"/>
  <c r="G61" i="3"/>
  <c r="C62" i="3"/>
  <c r="D62" i="3"/>
  <c r="E62" i="3"/>
  <c r="F62" i="3"/>
  <c r="G62" i="3"/>
  <c r="C63" i="3"/>
  <c r="D63" i="3"/>
  <c r="E63" i="3"/>
  <c r="F63" i="3"/>
  <c r="G63" i="3"/>
  <c r="C64" i="3"/>
  <c r="D64" i="3"/>
  <c r="E64" i="3"/>
  <c r="F64" i="3"/>
  <c r="G64" i="3"/>
  <c r="C65" i="3"/>
  <c r="D65" i="3"/>
  <c r="E65" i="3"/>
  <c r="F65" i="3"/>
  <c r="G65" i="3"/>
  <c r="C66" i="3"/>
  <c r="D66" i="3"/>
  <c r="E66" i="3"/>
  <c r="F66" i="3"/>
  <c r="G66" i="3"/>
  <c r="C67" i="3"/>
  <c r="D67" i="3"/>
  <c r="E67" i="3"/>
  <c r="F67" i="3"/>
  <c r="G67" i="3"/>
  <c r="C68" i="3"/>
  <c r="D68" i="3"/>
  <c r="E68" i="3"/>
  <c r="F68" i="3"/>
  <c r="G68" i="3"/>
  <c r="C69" i="3"/>
  <c r="D69" i="3"/>
  <c r="E69" i="3"/>
  <c r="F69" i="3"/>
  <c r="G69" i="3"/>
  <c r="C70" i="3"/>
  <c r="D70" i="3"/>
  <c r="E70" i="3"/>
  <c r="F70" i="3"/>
  <c r="G70" i="3"/>
  <c r="C71" i="3"/>
  <c r="D71" i="3"/>
  <c r="E71" i="3"/>
  <c r="F71" i="3"/>
  <c r="G71" i="3"/>
  <c r="C72" i="3"/>
  <c r="D72" i="3"/>
  <c r="E72" i="3"/>
  <c r="F72" i="3"/>
  <c r="G72" i="3"/>
  <c r="C73" i="3"/>
  <c r="D73" i="3"/>
  <c r="E73" i="3"/>
  <c r="F73" i="3"/>
  <c r="G73" i="3"/>
  <c r="C74" i="3"/>
  <c r="D74" i="3"/>
  <c r="E74" i="3"/>
  <c r="F74" i="3"/>
  <c r="G74" i="3"/>
  <c r="C75" i="3"/>
  <c r="D75" i="3"/>
  <c r="E75" i="3"/>
  <c r="F75" i="3"/>
  <c r="G75" i="3"/>
  <c r="C76" i="3"/>
  <c r="D76" i="3"/>
  <c r="E76" i="3"/>
  <c r="F76" i="3"/>
  <c r="G76" i="3"/>
  <c r="C77" i="3"/>
  <c r="D77" i="3"/>
  <c r="E77" i="3"/>
  <c r="F77" i="3"/>
  <c r="G77" i="3"/>
  <c r="C78" i="3"/>
  <c r="D78" i="3"/>
  <c r="E78" i="3"/>
  <c r="F78" i="3"/>
  <c r="G78" i="3"/>
  <c r="C79" i="3"/>
  <c r="D79" i="3"/>
  <c r="E79" i="3"/>
  <c r="F79" i="3"/>
  <c r="G79" i="3"/>
  <c r="C80" i="3"/>
  <c r="D80" i="3"/>
  <c r="E80" i="3"/>
  <c r="F80" i="3"/>
  <c r="G80" i="3"/>
  <c r="C81" i="3"/>
  <c r="D81" i="3"/>
  <c r="E81" i="3"/>
  <c r="F81" i="3"/>
  <c r="G81" i="3"/>
  <c r="C82" i="3"/>
  <c r="D82" i="3"/>
  <c r="E82" i="3"/>
  <c r="F82" i="3"/>
  <c r="G82" i="3"/>
  <c r="C83" i="3"/>
  <c r="D83" i="3"/>
  <c r="E83" i="3"/>
  <c r="F83" i="3"/>
  <c r="G83" i="3"/>
  <c r="C84" i="3"/>
  <c r="D84" i="3"/>
  <c r="E84" i="3"/>
  <c r="F84" i="3"/>
  <c r="G84" i="3"/>
  <c r="C85" i="3"/>
  <c r="D85" i="3"/>
  <c r="E85" i="3"/>
  <c r="F85" i="3"/>
  <c r="G85" i="3"/>
  <c r="C86" i="3"/>
  <c r="D86" i="3"/>
  <c r="E86" i="3"/>
  <c r="F86" i="3"/>
  <c r="G86" i="3"/>
  <c r="C87" i="3"/>
  <c r="D87" i="3"/>
  <c r="E87" i="3"/>
  <c r="F87" i="3"/>
  <c r="G87" i="3"/>
  <c r="C88" i="3"/>
  <c r="D88" i="3"/>
  <c r="E88" i="3"/>
  <c r="F88" i="3"/>
  <c r="G88" i="3"/>
  <c r="C89" i="3"/>
  <c r="D89" i="3"/>
  <c r="E89" i="3"/>
  <c r="F89" i="3"/>
  <c r="G89" i="3"/>
  <c r="C90" i="3"/>
  <c r="D90" i="3"/>
  <c r="E90" i="3"/>
  <c r="F90" i="3"/>
  <c r="G90" i="3"/>
  <c r="C91" i="3"/>
  <c r="D91" i="3"/>
  <c r="E91" i="3"/>
  <c r="F91" i="3"/>
  <c r="G91" i="3"/>
  <c r="C92" i="3"/>
  <c r="D92" i="3"/>
  <c r="E92" i="3"/>
  <c r="F92" i="3"/>
  <c r="G92" i="3"/>
  <c r="C93" i="3"/>
  <c r="D93" i="3"/>
  <c r="E93" i="3"/>
  <c r="F93" i="3"/>
  <c r="G93" i="3"/>
  <c r="C94" i="3"/>
  <c r="D94" i="3"/>
  <c r="E94" i="3"/>
  <c r="F94" i="3"/>
  <c r="G94" i="3"/>
  <c r="C95" i="3"/>
  <c r="D95" i="3"/>
  <c r="E95" i="3"/>
  <c r="F95" i="3"/>
  <c r="G95" i="3"/>
  <c r="C96" i="3"/>
  <c r="D96" i="3"/>
  <c r="E96" i="3"/>
  <c r="F96" i="3"/>
  <c r="G96" i="3"/>
  <c r="C97" i="3"/>
  <c r="D97" i="3"/>
  <c r="E97" i="3"/>
  <c r="F97" i="3"/>
  <c r="G97" i="3"/>
  <c r="C98" i="3"/>
  <c r="D98" i="3"/>
  <c r="E98" i="3"/>
  <c r="F98" i="3"/>
  <c r="G98" i="3"/>
  <c r="C99" i="3"/>
  <c r="D99" i="3"/>
  <c r="E99" i="3"/>
  <c r="F99" i="3"/>
  <c r="G99" i="3"/>
  <c r="C100" i="3"/>
  <c r="D100" i="3"/>
  <c r="E100" i="3"/>
  <c r="F100" i="3"/>
  <c r="G100" i="3"/>
  <c r="C101" i="3"/>
  <c r="D101" i="3"/>
  <c r="E101" i="3"/>
  <c r="F101" i="3"/>
  <c r="G101" i="3"/>
  <c r="C102" i="3"/>
  <c r="D102" i="3"/>
  <c r="E102" i="3"/>
  <c r="F102" i="3"/>
  <c r="G102" i="3"/>
  <c r="C103" i="3"/>
  <c r="D103" i="3"/>
  <c r="E103" i="3"/>
  <c r="F103" i="3"/>
  <c r="G103" i="3"/>
  <c r="C104" i="3"/>
  <c r="D104" i="3"/>
  <c r="E104" i="3"/>
  <c r="F104" i="3"/>
  <c r="G104" i="3"/>
  <c r="C105" i="3"/>
  <c r="D105" i="3"/>
  <c r="E105" i="3"/>
  <c r="F105" i="3"/>
  <c r="G105" i="3"/>
  <c r="C106" i="3"/>
  <c r="D106" i="3"/>
  <c r="E106" i="3"/>
  <c r="F106" i="3"/>
  <c r="G106" i="3"/>
  <c r="C107" i="3"/>
  <c r="D107" i="3"/>
  <c r="E107" i="3"/>
  <c r="F107" i="3"/>
  <c r="G107" i="3"/>
  <c r="C108" i="3"/>
  <c r="D108" i="3"/>
  <c r="E108" i="3"/>
  <c r="F108" i="3"/>
  <c r="G108" i="3"/>
  <c r="C109" i="3"/>
  <c r="D109" i="3"/>
  <c r="E109" i="3"/>
  <c r="F109" i="3"/>
  <c r="G109" i="3"/>
  <c r="C110" i="3"/>
  <c r="D110" i="3"/>
  <c r="E110" i="3"/>
  <c r="F110" i="3"/>
  <c r="G110" i="3"/>
  <c r="C111" i="3"/>
  <c r="D111" i="3"/>
  <c r="E111" i="3"/>
  <c r="F111" i="3"/>
  <c r="G111" i="3"/>
  <c r="C112" i="3"/>
  <c r="D112" i="3"/>
  <c r="E112" i="3"/>
  <c r="F112" i="3"/>
  <c r="G112" i="3"/>
  <c r="C113" i="3"/>
  <c r="D113" i="3"/>
  <c r="E113" i="3"/>
  <c r="F113" i="3"/>
  <c r="G113" i="3"/>
  <c r="C114" i="3"/>
  <c r="D114" i="3"/>
  <c r="E114" i="3"/>
  <c r="F114" i="3"/>
  <c r="G114" i="3"/>
  <c r="C115" i="3"/>
  <c r="D115" i="3"/>
  <c r="E115" i="3"/>
  <c r="F115" i="3"/>
  <c r="G115" i="3"/>
  <c r="C116" i="3"/>
  <c r="D116" i="3"/>
  <c r="E116" i="3"/>
  <c r="F116" i="3"/>
  <c r="G116" i="3"/>
  <c r="C117" i="3"/>
  <c r="D117" i="3"/>
  <c r="E117" i="3"/>
  <c r="F117" i="3"/>
  <c r="G117" i="3"/>
  <c r="C118" i="3"/>
  <c r="D118" i="3"/>
  <c r="E118" i="3"/>
  <c r="F118" i="3"/>
  <c r="G118" i="3"/>
  <c r="C119" i="3"/>
  <c r="D119" i="3"/>
  <c r="E119" i="3"/>
  <c r="F119" i="3"/>
  <c r="G119" i="3"/>
  <c r="C120" i="3"/>
  <c r="D120" i="3"/>
  <c r="E120" i="3"/>
  <c r="F120" i="3"/>
  <c r="G120" i="3"/>
  <c r="C121" i="3"/>
  <c r="D121" i="3"/>
  <c r="E121" i="3"/>
  <c r="F121" i="3"/>
  <c r="G121" i="3"/>
  <c r="C122" i="3"/>
  <c r="D122" i="3"/>
  <c r="E122" i="3"/>
  <c r="F122" i="3"/>
  <c r="G122" i="3"/>
  <c r="C123" i="3"/>
  <c r="D123" i="3"/>
  <c r="E123" i="3"/>
  <c r="F123" i="3"/>
  <c r="G123" i="3"/>
  <c r="C124" i="3"/>
  <c r="D124" i="3"/>
  <c r="E124" i="3"/>
  <c r="F124" i="3"/>
  <c r="G124" i="3"/>
  <c r="C125" i="3"/>
  <c r="D125" i="3"/>
  <c r="E125" i="3"/>
  <c r="F125" i="3"/>
  <c r="G125" i="3"/>
  <c r="C126" i="3"/>
  <c r="D126" i="3"/>
  <c r="E126" i="3"/>
  <c r="F126" i="3"/>
  <c r="G126" i="3"/>
  <c r="C127" i="3"/>
  <c r="D127" i="3"/>
  <c r="E127" i="3"/>
  <c r="F127" i="3"/>
  <c r="G127" i="3"/>
  <c r="C128" i="3"/>
  <c r="D128" i="3"/>
  <c r="E128" i="3"/>
  <c r="F128" i="3"/>
  <c r="G128" i="3"/>
  <c r="C129" i="3"/>
  <c r="D129" i="3"/>
  <c r="E129" i="3"/>
  <c r="F129" i="3"/>
  <c r="G129" i="3"/>
  <c r="C130" i="3"/>
  <c r="D130" i="3"/>
  <c r="E130" i="3"/>
  <c r="F130" i="3"/>
  <c r="G130" i="3"/>
  <c r="C131" i="3"/>
  <c r="D131" i="3"/>
  <c r="E131" i="3"/>
  <c r="F131" i="3"/>
  <c r="G131" i="3"/>
  <c r="C132" i="3"/>
  <c r="D132" i="3"/>
  <c r="E132" i="3"/>
  <c r="F132" i="3"/>
  <c r="G132" i="3"/>
  <c r="C133" i="3"/>
  <c r="D133" i="3"/>
  <c r="E133" i="3"/>
  <c r="F133" i="3"/>
  <c r="G133" i="3"/>
  <c r="C134" i="3"/>
  <c r="D134" i="3"/>
  <c r="E134" i="3"/>
  <c r="F134" i="3"/>
  <c r="G134" i="3"/>
  <c r="C135" i="3"/>
  <c r="D135" i="3"/>
  <c r="E135" i="3"/>
  <c r="F135" i="3"/>
  <c r="G135" i="3"/>
  <c r="C136" i="3"/>
  <c r="D136" i="3"/>
  <c r="E136" i="3"/>
  <c r="F136" i="3"/>
  <c r="G136" i="3"/>
  <c r="C137" i="3"/>
  <c r="D137" i="3"/>
  <c r="E137" i="3"/>
  <c r="F137" i="3"/>
  <c r="G137" i="3"/>
  <c r="C138" i="3"/>
  <c r="D138" i="3"/>
  <c r="E138" i="3"/>
  <c r="F138" i="3"/>
  <c r="G138" i="3"/>
  <c r="C139" i="3"/>
  <c r="D139" i="3"/>
  <c r="E139" i="3"/>
  <c r="F139" i="3"/>
  <c r="G139" i="3"/>
  <c r="C140" i="3"/>
  <c r="D140" i="3"/>
  <c r="E140" i="3"/>
  <c r="F140" i="3"/>
  <c r="G140" i="3"/>
  <c r="C141" i="3"/>
  <c r="D141" i="3"/>
  <c r="E141" i="3"/>
  <c r="F141" i="3"/>
  <c r="G141" i="3"/>
  <c r="C142" i="3"/>
  <c r="D142" i="3"/>
  <c r="E142" i="3"/>
  <c r="F142" i="3"/>
  <c r="G142" i="3"/>
  <c r="C143" i="3"/>
  <c r="D143" i="3"/>
  <c r="E143" i="3"/>
  <c r="F143" i="3"/>
  <c r="G143" i="3"/>
  <c r="C144" i="3"/>
  <c r="D144" i="3"/>
  <c r="E144" i="3"/>
  <c r="F144" i="3"/>
  <c r="G144" i="3"/>
  <c r="C145" i="3"/>
  <c r="D145" i="3"/>
  <c r="E145" i="3"/>
  <c r="F145" i="3"/>
  <c r="G145" i="3"/>
  <c r="C146" i="3"/>
  <c r="D146" i="3"/>
  <c r="E146" i="3"/>
  <c r="F146" i="3"/>
  <c r="G146" i="3"/>
  <c r="C147" i="3"/>
  <c r="D147" i="3"/>
  <c r="E147" i="3"/>
  <c r="F147" i="3"/>
  <c r="G147" i="3"/>
  <c r="C148" i="3"/>
  <c r="D148" i="3"/>
  <c r="E148" i="3"/>
  <c r="F148" i="3"/>
  <c r="G148" i="3"/>
  <c r="C149" i="3"/>
  <c r="D149" i="3"/>
  <c r="E149" i="3"/>
  <c r="F149" i="3"/>
  <c r="G149" i="3"/>
  <c r="C150" i="3"/>
  <c r="D150" i="3"/>
  <c r="E150" i="3"/>
  <c r="F150" i="3"/>
  <c r="G150" i="3"/>
  <c r="C151" i="3"/>
  <c r="D151" i="3"/>
  <c r="E151" i="3"/>
  <c r="F151" i="3"/>
  <c r="G151" i="3"/>
  <c r="C152" i="3"/>
  <c r="D152" i="3"/>
  <c r="E152" i="3"/>
  <c r="F152" i="3"/>
  <c r="G152" i="3"/>
  <c r="C153" i="3"/>
  <c r="D153" i="3"/>
  <c r="E153" i="3"/>
  <c r="F153" i="3"/>
  <c r="G153" i="3"/>
  <c r="C154" i="3"/>
  <c r="D154" i="3"/>
  <c r="E154" i="3"/>
  <c r="F154" i="3"/>
  <c r="G154" i="3"/>
  <c r="C155" i="3"/>
  <c r="D155" i="3"/>
  <c r="E155" i="3"/>
  <c r="F155" i="3"/>
  <c r="G155" i="3"/>
  <c r="C156" i="3"/>
  <c r="D156" i="3"/>
  <c r="E156" i="3"/>
  <c r="F156" i="3"/>
  <c r="G156" i="3"/>
  <c r="C157" i="3"/>
  <c r="D157" i="3"/>
  <c r="E157" i="3"/>
  <c r="F157" i="3"/>
  <c r="G157" i="3"/>
  <c r="C158" i="3"/>
  <c r="D158" i="3"/>
  <c r="E158" i="3"/>
  <c r="F158" i="3"/>
  <c r="G158" i="3"/>
  <c r="C159" i="3"/>
  <c r="D159" i="3"/>
  <c r="E159" i="3"/>
  <c r="F159" i="3"/>
  <c r="G159" i="3"/>
  <c r="C160" i="3"/>
  <c r="D160" i="3"/>
  <c r="E160" i="3"/>
  <c r="F160" i="3"/>
  <c r="G160" i="3"/>
  <c r="C161" i="3"/>
  <c r="D161" i="3"/>
  <c r="E161" i="3"/>
  <c r="F161" i="3"/>
  <c r="G161" i="3"/>
  <c r="C162" i="3"/>
  <c r="D162" i="3"/>
  <c r="E162" i="3"/>
  <c r="F162" i="3"/>
  <c r="G162" i="3"/>
  <c r="C163" i="3"/>
  <c r="D163" i="3"/>
  <c r="E163" i="3"/>
  <c r="F163" i="3"/>
  <c r="G163" i="3"/>
  <c r="G51" i="2"/>
  <c r="F16" i="2"/>
  <c r="G8" i="2"/>
  <c r="F36" i="2"/>
  <c r="G33" i="2"/>
  <c r="D40" i="2"/>
  <c r="G18" i="2"/>
  <c r="G19" i="2"/>
  <c r="G44" i="2"/>
  <c r="G42" i="2"/>
  <c r="D26" i="2"/>
  <c r="E13" i="2"/>
  <c r="E29" i="2"/>
  <c r="G25" i="2"/>
  <c r="E45" i="2"/>
  <c r="G17" i="2"/>
  <c r="E17" i="2"/>
  <c r="D12" i="2"/>
  <c r="E38" i="2"/>
  <c r="F50" i="2"/>
  <c r="G52" i="2"/>
  <c r="F44" i="2"/>
  <c r="G40" i="2"/>
  <c r="F30" i="2"/>
  <c r="D24" i="2"/>
  <c r="G39" i="2"/>
  <c r="G7" i="2"/>
  <c r="E32" i="2"/>
  <c r="E28" i="2"/>
  <c r="E16" i="2"/>
  <c r="F26" i="2"/>
  <c r="D34" i="2"/>
  <c r="D20" i="2"/>
  <c r="D13" i="2"/>
  <c r="E39" i="2"/>
  <c r="D54" i="2"/>
  <c r="E55" i="2"/>
  <c r="G38" i="2"/>
  <c r="E27" i="2"/>
  <c r="G50" i="2"/>
  <c r="E48" i="2"/>
  <c r="G16" i="2"/>
  <c r="F14" i="2"/>
  <c r="D45" i="2"/>
  <c r="D51" i="2"/>
  <c r="G34" i="2"/>
  <c r="F51" i="2"/>
  <c r="D23" i="2"/>
  <c r="F52" i="2"/>
  <c r="F35" i="2"/>
  <c r="D22" i="2"/>
  <c r="E23" i="2"/>
  <c r="G15" i="2"/>
  <c r="E51" i="2"/>
  <c r="E56" i="2"/>
  <c r="E35" i="2"/>
  <c r="D31" i="2"/>
  <c r="E30" i="2"/>
  <c r="E41" i="2"/>
  <c r="G43" i="2"/>
  <c r="E43" i="2"/>
  <c r="D36" i="2"/>
  <c r="D16" i="2"/>
  <c r="F8" i="2"/>
  <c r="E18" i="2"/>
  <c r="G53" i="2"/>
  <c r="G47" i="2"/>
  <c r="E49" i="2"/>
  <c r="F24" i="2"/>
  <c r="F54" i="2"/>
  <c r="E8" i="2"/>
  <c r="G28" i="2"/>
  <c r="F28" i="2"/>
  <c r="E21" i="2"/>
  <c r="G9" i="2"/>
  <c r="G54" i="2"/>
  <c r="F39" i="2"/>
  <c r="E47" i="2"/>
  <c r="D38" i="2"/>
  <c r="G48" i="2"/>
  <c r="G32" i="2"/>
  <c r="D28" i="2"/>
  <c r="G27" i="2"/>
  <c r="E10" i="2"/>
  <c r="G22" i="2"/>
  <c r="F7" i="2"/>
  <c r="G55" i="2"/>
  <c r="F47" i="2"/>
  <c r="F34" i="2"/>
  <c r="E9" i="2"/>
  <c r="F55" i="2"/>
  <c r="G35" i="2"/>
  <c r="G29" i="2"/>
  <c r="E7" i="2"/>
  <c r="F20" i="2"/>
  <c r="D14" i="2"/>
  <c r="G13" i="2"/>
  <c r="F48" i="2"/>
  <c r="E24" i="2"/>
  <c r="E44" i="2"/>
  <c r="D7" i="2"/>
  <c r="E20" i="2"/>
  <c r="E11" i="2"/>
  <c r="E26" i="2"/>
  <c r="E33" i="2"/>
  <c r="F11" i="2"/>
  <c r="F23" i="2"/>
  <c r="D52" i="2"/>
  <c r="D18" i="2"/>
  <c r="F25" i="2"/>
  <c r="F33" i="2"/>
  <c r="D8" i="2"/>
  <c r="F29" i="2"/>
  <c r="G46" i="2"/>
  <c r="D9" i="2"/>
  <c r="G10" i="2"/>
  <c r="F15" i="2"/>
  <c r="F27" i="2"/>
  <c r="F17" i="2"/>
  <c r="G37" i="2"/>
  <c r="F12" i="2"/>
  <c r="F9" i="2"/>
  <c r="D11" i="2"/>
  <c r="D49" i="2"/>
  <c r="D56" i="2"/>
  <c r="E42" i="2"/>
  <c r="F13" i="2"/>
  <c r="G14" i="2"/>
  <c r="F53" i="2"/>
  <c r="D39" i="2"/>
  <c r="D46" i="2"/>
  <c r="G56" i="2"/>
  <c r="E50" i="2"/>
  <c r="E19" i="2"/>
  <c r="E14" i="2"/>
  <c r="D10" i="2"/>
  <c r="E40" i="2"/>
  <c r="D42" i="2"/>
  <c r="F38" i="2"/>
  <c r="E36" i="2"/>
  <c r="E46" i="2"/>
  <c r="E31" i="2"/>
  <c r="F22" i="2"/>
  <c r="G45" i="2"/>
  <c r="F32" i="2"/>
  <c r="D55" i="2"/>
  <c r="G21" i="2"/>
  <c r="G30" i="2"/>
  <c r="E34" i="2"/>
  <c r="D44" i="2"/>
  <c r="F49" i="2"/>
  <c r="G26" i="2"/>
  <c r="F42" i="2"/>
  <c r="D25" i="2"/>
  <c r="D27" i="2"/>
  <c r="D53" i="2"/>
  <c r="F21" i="2"/>
  <c r="G31" i="2"/>
  <c r="F56" i="2"/>
  <c r="E53" i="2"/>
  <c r="D30" i="2"/>
  <c r="D19" i="2"/>
  <c r="E25" i="2"/>
  <c r="E12" i="2"/>
  <c r="F37" i="2"/>
  <c r="F45" i="2"/>
  <c r="D21" i="2"/>
  <c r="D48" i="2"/>
  <c r="D47" i="2"/>
  <c r="E15" i="2"/>
  <c r="D29" i="2"/>
  <c r="E54" i="2"/>
  <c r="F19" i="2"/>
  <c r="F31" i="2"/>
  <c r="E52" i="2"/>
  <c r="F46" i="2"/>
  <c r="G36" i="2"/>
  <c r="G41" i="2"/>
  <c r="D41" i="2"/>
  <c r="G11" i="2"/>
  <c r="D35" i="2"/>
  <c r="F10" i="2"/>
  <c r="D17" i="2"/>
  <c r="D33" i="2"/>
  <c r="F41" i="2"/>
  <c r="E37" i="2"/>
  <c r="F40" i="2"/>
  <c r="E22" i="2"/>
  <c r="F43" i="2"/>
  <c r="D43" i="2"/>
  <c r="F18" i="2"/>
  <c r="D32" i="2"/>
  <c r="G23" i="2"/>
  <c r="D50" i="2"/>
  <c r="D15" i="2"/>
  <c r="G12" i="2"/>
  <c r="G24" i="2"/>
  <c r="G20" i="2"/>
  <c r="D37" i="2"/>
  <c r="G49" i="2"/>
  <c r="AB124" i="4"/>
  <c r="BK125" i="4"/>
  <c r="AQ144" i="4"/>
  <c r="BK127" i="4"/>
  <c r="BK153" i="4"/>
  <c r="AQ125" i="4"/>
  <c r="AB126" i="4"/>
  <c r="BF154" i="4"/>
  <c r="BK134" i="4"/>
  <c r="BK126" i="4"/>
  <c r="AB151" i="4"/>
  <c r="AQ131" i="4"/>
  <c r="BF127" i="4"/>
  <c r="AB135" i="4"/>
  <c r="AQ129" i="4"/>
  <c r="BK128" i="4"/>
  <c r="AQ142" i="4"/>
  <c r="BF124" i="4"/>
  <c r="BF143" i="4"/>
  <c r="BK122" i="4"/>
  <c r="AQ158" i="4"/>
  <c r="AQ157" i="4"/>
  <c r="AQ134" i="4"/>
  <c r="BF151" i="4"/>
  <c r="AQ136" i="4"/>
  <c r="AB127" i="4"/>
  <c r="BF133" i="4"/>
  <c r="BF161" i="4"/>
  <c r="BK140" i="4"/>
  <c r="AB131" i="4"/>
  <c r="BK161" i="4"/>
  <c r="BK158" i="4"/>
  <c r="AQ132" i="4"/>
  <c r="BF155" i="4"/>
  <c r="BK159" i="4"/>
  <c r="BK135" i="4"/>
  <c r="BK129" i="4"/>
  <c r="AB161" i="4"/>
  <c r="AB138" i="4"/>
  <c r="BF123" i="4"/>
  <c r="AB147" i="4"/>
  <c r="BF147" i="4"/>
  <c r="BK132" i="4"/>
  <c r="AQ140" i="4"/>
  <c r="BK144" i="4"/>
  <c r="BF148" i="4"/>
  <c r="BF126" i="4"/>
  <c r="BK150" i="4"/>
  <c r="BK137" i="4"/>
  <c r="AB157" i="4"/>
  <c r="BK152" i="4"/>
  <c r="BF132" i="4"/>
  <c r="AB155" i="4"/>
  <c r="BK143" i="4"/>
  <c r="BF145" i="4"/>
  <c r="BK130" i="4"/>
  <c r="AB123" i="4"/>
  <c r="AQ147" i="4"/>
  <c r="AB153" i="4"/>
  <c r="AQ135" i="4"/>
  <c r="AB132" i="4"/>
  <c r="BK162" i="4"/>
  <c r="AB158" i="4"/>
  <c r="AB150" i="4"/>
  <c r="AB141" i="4"/>
  <c r="BK156" i="4"/>
  <c r="AQ164" i="4"/>
  <c r="AQ127" i="4"/>
  <c r="BF129" i="4"/>
  <c r="AB134" i="4"/>
  <c r="BF157" i="4"/>
  <c r="BK124" i="4"/>
  <c r="BF125" i="4"/>
  <c r="BF131" i="4"/>
  <c r="BF160" i="4"/>
  <c r="BF159" i="4"/>
  <c r="BK123" i="4"/>
  <c r="AQ160" i="4"/>
  <c r="AQ143" i="4"/>
  <c r="AB156" i="4"/>
  <c r="BK148" i="4"/>
  <c r="BK133" i="4"/>
  <c r="AQ153" i="4"/>
  <c r="AQ128" i="4"/>
  <c r="BF136" i="4"/>
  <c r="AQ149" i="4"/>
  <c r="AQ151" i="4"/>
  <c r="BF152" i="4"/>
  <c r="BK141" i="4"/>
  <c r="BF146" i="4"/>
  <c r="BF153" i="4"/>
  <c r="AB122" i="4"/>
  <c r="AQ159" i="4"/>
  <c r="AQ124" i="4"/>
  <c r="BF138" i="4"/>
  <c r="BF150" i="4"/>
  <c r="BK131" i="4"/>
  <c r="AQ141" i="4"/>
  <c r="AQ163" i="4"/>
  <c r="BF128" i="4"/>
  <c r="BK142" i="4"/>
  <c r="AB154" i="4"/>
  <c r="AQ161" i="4"/>
  <c r="BF141" i="4"/>
  <c r="BK154" i="4"/>
  <c r="AQ139" i="4"/>
  <c r="BF135" i="4"/>
  <c r="AB136" i="4"/>
  <c r="AQ154" i="4"/>
  <c r="BF163" i="4"/>
  <c r="BF122" i="4"/>
  <c r="AB149" i="4"/>
  <c r="AB139" i="4"/>
  <c r="AQ146" i="4"/>
  <c r="AQ137" i="4"/>
  <c r="BK138" i="4"/>
  <c r="AB152" i="4"/>
  <c r="AB163" i="4"/>
  <c r="AB162" i="4"/>
  <c r="BF149" i="4"/>
  <c r="AB133" i="4"/>
  <c r="AQ138" i="4"/>
  <c r="AQ155" i="4"/>
  <c r="AQ126" i="4"/>
  <c r="BF130" i="4"/>
  <c r="BK157" i="4"/>
  <c r="AB125" i="4"/>
  <c r="AQ152" i="4"/>
  <c r="AB137" i="4"/>
  <c r="BK139" i="4"/>
  <c r="BK160" i="4"/>
  <c r="AB142" i="4"/>
  <c r="BK145" i="4"/>
  <c r="AB145" i="4"/>
  <c r="BF144" i="4"/>
  <c r="BF134" i="4"/>
  <c r="AQ133" i="4"/>
  <c r="AQ156" i="4"/>
  <c r="AQ148" i="4"/>
  <c r="BF137" i="4"/>
  <c r="AB143" i="4"/>
  <c r="BF142" i="4"/>
  <c r="AB140" i="4"/>
  <c r="AQ150" i="4"/>
  <c r="BF156" i="4"/>
  <c r="AQ145" i="4"/>
  <c r="BK149" i="4"/>
  <c r="AB128" i="4"/>
  <c r="AB159" i="4"/>
  <c r="BF158" i="4"/>
  <c r="BF139" i="4"/>
  <c r="AQ130" i="4"/>
  <c r="AB146" i="4"/>
  <c r="AB129" i="4"/>
  <c r="BF140" i="4"/>
  <c r="AQ123" i="4"/>
  <c r="BK136" i="4"/>
  <c r="BK151" i="4"/>
  <c r="AQ162" i="4"/>
  <c r="BK164" i="4"/>
  <c r="AB148" i="4"/>
  <c r="AB164" i="4"/>
  <c r="AB130" i="4"/>
  <c r="BK163" i="4"/>
  <c r="AQ122" i="4"/>
  <c r="AB144" i="4"/>
  <c r="AB160" i="4"/>
  <c r="BK147" i="4"/>
  <c r="BF162" i="4"/>
  <c r="BF164" i="4"/>
  <c r="BK146" i="4"/>
  <c r="BK155" i="4"/>
  <c r="X51" i="4" l="1"/>
  <c r="U39" i="4"/>
  <c r="X22" i="4"/>
  <c r="X26" i="4"/>
  <c r="X14" i="4"/>
  <c r="U17" i="4"/>
  <c r="U52" i="4"/>
  <c r="X25" i="4"/>
  <c r="U34" i="4"/>
  <c r="W20" i="4"/>
  <c r="U45" i="4"/>
  <c r="W45" i="4"/>
  <c r="V24" i="4"/>
  <c r="W42" i="4"/>
  <c r="V39" i="4"/>
  <c r="W43" i="4"/>
  <c r="U35" i="4"/>
  <c r="U19" i="4"/>
  <c r="W12" i="4"/>
  <c r="U37" i="4"/>
  <c r="X13" i="4"/>
  <c r="U43" i="4"/>
  <c r="X43" i="4"/>
  <c r="X38" i="4"/>
  <c r="W48" i="4"/>
  <c r="V54" i="4"/>
  <c r="W33" i="4"/>
  <c r="W21" i="4"/>
  <c r="V56" i="4"/>
  <c r="U31" i="4"/>
  <c r="V17" i="4"/>
  <c r="U49" i="4"/>
  <c r="U50" i="4"/>
  <c r="U23" i="4"/>
  <c r="W47" i="4"/>
  <c r="W39" i="4"/>
  <c r="V14" i="4"/>
  <c r="V27" i="4"/>
  <c r="U21" i="4"/>
  <c r="U32" i="4"/>
  <c r="V55" i="4"/>
  <c r="W58" i="4"/>
  <c r="X33" i="4"/>
  <c r="W23" i="4"/>
  <c r="U55" i="4"/>
  <c r="U29" i="4"/>
  <c r="U27" i="4"/>
  <c r="W44" i="4"/>
  <c r="X28" i="4"/>
  <c r="W51" i="4"/>
  <c r="U46" i="4"/>
  <c r="V36" i="4"/>
  <c r="X32" i="4"/>
  <c r="X23" i="4"/>
  <c r="U57" i="4"/>
  <c r="W34" i="4"/>
  <c r="X47" i="4"/>
  <c r="W24" i="4"/>
  <c r="V33" i="4"/>
  <c r="V48" i="4"/>
  <c r="V38" i="4"/>
  <c r="W40" i="4"/>
  <c r="U44" i="4"/>
  <c r="V42" i="4"/>
  <c r="U12" i="4"/>
  <c r="V16" i="4"/>
  <c r="V21" i="4"/>
  <c r="V52" i="4"/>
  <c r="X58" i="4"/>
  <c r="U48" i="4"/>
  <c r="U41" i="4"/>
  <c r="W55" i="4"/>
  <c r="X16" i="4"/>
  <c r="W15" i="4"/>
  <c r="V44" i="4"/>
  <c r="U58" i="4"/>
  <c r="U51" i="4"/>
  <c r="U13" i="4"/>
  <c r="W11" i="4"/>
  <c r="W14" i="4"/>
  <c r="X39" i="4"/>
  <c r="W19" i="4"/>
  <c r="W29" i="4"/>
  <c r="W17" i="4"/>
  <c r="X12" i="4"/>
  <c r="U11" i="4"/>
  <c r="X48" i="4"/>
  <c r="W31" i="4"/>
  <c r="U10" i="4"/>
  <c r="W35" i="4"/>
  <c r="W27" i="4"/>
  <c r="U20" i="4"/>
  <c r="U54" i="4"/>
  <c r="W25" i="4"/>
  <c r="W13" i="4"/>
  <c r="V35" i="4"/>
  <c r="V28" i="4"/>
  <c r="V13" i="4"/>
  <c r="V22" i="4"/>
  <c r="U9" i="4"/>
  <c r="V46" i="4"/>
  <c r="V26" i="4"/>
  <c r="W50" i="4"/>
  <c r="X15" i="4"/>
  <c r="U16" i="4"/>
  <c r="W22" i="4"/>
  <c r="V9" i="4"/>
  <c r="X31" i="4"/>
  <c r="X37" i="4"/>
  <c r="W57" i="4"/>
  <c r="V11" i="4"/>
  <c r="W36" i="4"/>
  <c r="W49" i="4"/>
  <c r="X57" i="4"/>
  <c r="W9" i="4"/>
  <c r="X24" i="4"/>
  <c r="V12" i="4"/>
  <c r="X29" i="4"/>
  <c r="U30" i="4"/>
  <c r="X34" i="4"/>
  <c r="X50" i="4"/>
  <c r="U40" i="4"/>
  <c r="V49" i="4"/>
  <c r="W41" i="4"/>
  <c r="X56" i="4"/>
  <c r="X11" i="4"/>
  <c r="V23" i="4"/>
  <c r="W30" i="4"/>
  <c r="X30" i="4"/>
  <c r="V10" i="4"/>
  <c r="W56" i="4"/>
  <c r="W26" i="4"/>
  <c r="V51" i="4"/>
  <c r="X49" i="4"/>
  <c r="X55" i="4"/>
  <c r="V20" i="4"/>
  <c r="W10" i="4"/>
  <c r="U18" i="4"/>
  <c r="U38" i="4"/>
  <c r="V45" i="4"/>
  <c r="X45" i="4"/>
  <c r="V43" i="4"/>
  <c r="V32" i="4"/>
  <c r="U33" i="4"/>
  <c r="V37" i="4"/>
  <c r="V58" i="4"/>
  <c r="V53" i="4"/>
  <c r="X17" i="4"/>
  <c r="V25" i="4"/>
  <c r="U24" i="4"/>
  <c r="W37" i="4"/>
  <c r="W54" i="4"/>
  <c r="U25" i="4"/>
  <c r="W53" i="4"/>
  <c r="X36" i="4"/>
  <c r="U53" i="4"/>
  <c r="U47" i="4"/>
  <c r="W16" i="4"/>
  <c r="X18" i="4"/>
  <c r="V50" i="4"/>
  <c r="X52" i="4"/>
  <c r="V29" i="4"/>
  <c r="X40" i="4"/>
  <c r="V57" i="4"/>
  <c r="U56" i="4"/>
  <c r="V41" i="4"/>
  <c r="U15" i="4"/>
  <c r="U22" i="4"/>
  <c r="U36" i="4"/>
  <c r="W28" i="4"/>
  <c r="V18" i="4"/>
  <c r="V30" i="4"/>
  <c r="V34" i="4"/>
  <c r="X9" i="4"/>
  <c r="X41" i="4"/>
  <c r="U26" i="4"/>
  <c r="W32" i="4"/>
  <c r="X42" i="4"/>
  <c r="W46" i="4"/>
  <c r="X54" i="4"/>
  <c r="W52" i="4"/>
  <c r="V40" i="4"/>
  <c r="U14" i="4"/>
  <c r="V19" i="4"/>
  <c r="X19" i="4"/>
  <c r="V47" i="4"/>
  <c r="X27" i="4"/>
  <c r="V31" i="4"/>
  <c r="V15" i="4"/>
  <c r="U28" i="4"/>
  <c r="X44" i="4"/>
  <c r="X46" i="4"/>
  <c r="X21" i="4"/>
  <c r="X20" i="4"/>
  <c r="U42" i="4"/>
  <c r="X35" i="4"/>
  <c r="W38" i="4"/>
  <c r="X10" i="4"/>
  <c r="W18" i="4"/>
  <c r="X53" i="4"/>
  <c r="CJ137" i="4"/>
  <c r="CJ149" i="4"/>
  <c r="CJ127" i="4"/>
  <c r="CJ161" i="4"/>
  <c r="CJ162" i="4"/>
  <c r="CJ124" i="4"/>
  <c r="CJ147" i="4"/>
  <c r="CJ135" i="4"/>
  <c r="CJ151" i="4"/>
  <c r="CJ157" i="4"/>
  <c r="CJ132" i="4"/>
  <c r="CJ163" i="4"/>
  <c r="CJ134" i="4"/>
  <c r="CJ160" i="4"/>
  <c r="CJ126" i="4"/>
  <c r="CJ150" i="4"/>
  <c r="CJ144" i="4"/>
  <c r="CJ122" i="4"/>
  <c r="CJ139" i="4"/>
  <c r="CJ131" i="4"/>
  <c r="CJ153" i="4"/>
  <c r="CJ136" i="4"/>
  <c r="CJ140" i="4"/>
  <c r="CJ133" i="4"/>
  <c r="CJ145" i="4"/>
  <c r="CJ143" i="4"/>
  <c r="CJ142" i="4"/>
  <c r="CJ128" i="4"/>
  <c r="CJ155" i="4"/>
  <c r="CJ146" i="4"/>
  <c r="CJ148" i="4"/>
  <c r="CJ159" i="4"/>
  <c r="CJ141" i="4"/>
  <c r="CJ129" i="4"/>
  <c r="CJ154" i="4"/>
  <c r="CJ138" i="4"/>
  <c r="CJ152" i="4"/>
  <c r="CJ125" i="4"/>
  <c r="CJ130" i="4"/>
  <c r="CJ164" i="4"/>
  <c r="CJ156" i="4"/>
  <c r="CJ158" i="4"/>
  <c r="CJ123" i="4"/>
  <c r="T105" i="4"/>
  <c r="CE35" i="1"/>
  <c r="CF35" i="1"/>
  <c r="CE33" i="1"/>
  <c r="CF33" i="1"/>
  <c r="CE34" i="1"/>
  <c r="CF34" i="1"/>
  <c r="CE29" i="1"/>
  <c r="CF29" i="1"/>
  <c r="CE30" i="1"/>
  <c r="CF30" i="1"/>
  <c r="CE31" i="1"/>
  <c r="CF31" i="1"/>
  <c r="CE32" i="1"/>
  <c r="CF32" i="1"/>
  <c r="CE23" i="1"/>
  <c r="CF23" i="1"/>
  <c r="CE24" i="1"/>
  <c r="CF24" i="1"/>
  <c r="CE25" i="1"/>
  <c r="CF25" i="1"/>
  <c r="CE26" i="1"/>
  <c r="CF26" i="1"/>
  <c r="CE27" i="1"/>
  <c r="CF27" i="1"/>
  <c r="CE28" i="1"/>
  <c r="CF28" i="1"/>
  <c r="BA159" i="4"/>
  <c r="BA130" i="4"/>
  <c r="BA162" i="4"/>
  <c r="BA153" i="4"/>
  <c r="BA155" i="4"/>
  <c r="BA144" i="4"/>
  <c r="BA146" i="4"/>
  <c r="BA164" i="4"/>
  <c r="BA158" i="4"/>
  <c r="BA160" i="4"/>
  <c r="BA150" i="4"/>
  <c r="BA139" i="4"/>
  <c r="BA125" i="4"/>
  <c r="BA163" i="4"/>
  <c r="BA124" i="4"/>
  <c r="BA152" i="4"/>
  <c r="BA140" i="4"/>
  <c r="BA132" i="4"/>
  <c r="BA161" i="4"/>
  <c r="BA136" i="4"/>
  <c r="BA127" i="4"/>
  <c r="BA157" i="4"/>
  <c r="BA126" i="4"/>
  <c r="BA151" i="4"/>
  <c r="BA154" i="4"/>
  <c r="BA149" i="4"/>
  <c r="BA123" i="4"/>
  <c r="BA137" i="4"/>
  <c r="BA142" i="4"/>
  <c r="BA135" i="4"/>
  <c r="BA143" i="4"/>
  <c r="BA156" i="4"/>
  <c r="BA131" i="4"/>
  <c r="BA128" i="4"/>
  <c r="BA129" i="4"/>
  <c r="BA134" i="4"/>
  <c r="BA133" i="4"/>
  <c r="BA138" i="4"/>
  <c r="BA145" i="4"/>
  <c r="BA147" i="4"/>
  <c r="BA141" i="4"/>
  <c r="BA148" i="4"/>
  <c r="CA146" i="4" l="1"/>
  <c r="CA145" i="4"/>
  <c r="CA156" i="4"/>
  <c r="CA143" i="4"/>
  <c r="CA129" i="4"/>
  <c r="CA149" i="4"/>
  <c r="CA153" i="4"/>
  <c r="CA130" i="4"/>
  <c r="CA126" i="4"/>
  <c r="CA141" i="4"/>
  <c r="CA135" i="4"/>
  <c r="CA163" i="4"/>
  <c r="CA140" i="4"/>
  <c r="CA139" i="4"/>
  <c r="CA162" i="4"/>
  <c r="CA164" i="4"/>
  <c r="CA131" i="4"/>
  <c r="CA152" i="4"/>
  <c r="CA133" i="4"/>
  <c r="CA147" i="4"/>
  <c r="CA150" i="4"/>
  <c r="CA127" i="4"/>
  <c r="CA142" i="4"/>
  <c r="CA157" i="4"/>
  <c r="CA148" i="4"/>
  <c r="CA123" i="4"/>
  <c r="CA160" i="4"/>
  <c r="CA128" i="4"/>
  <c r="CA134" i="4"/>
  <c r="CA136" i="4"/>
  <c r="CA137" i="4"/>
  <c r="CA144" i="4"/>
  <c r="CA159" i="4"/>
  <c r="CA151" i="4"/>
  <c r="CA155" i="4"/>
  <c r="CA124" i="4"/>
  <c r="CA125" i="4"/>
  <c r="CA138" i="4"/>
  <c r="CA154" i="4"/>
  <c r="CA158" i="4"/>
  <c r="CA161" i="4"/>
  <c r="CA132" i="4"/>
  <c r="CE20" i="1"/>
  <c r="CF20" i="1"/>
  <c r="CE21" i="1"/>
  <c r="CF21" i="1"/>
  <c r="CE22" i="1"/>
  <c r="CF22" i="1"/>
  <c r="BW104" i="1"/>
  <c r="BX104" i="1"/>
  <c r="BY104" i="1"/>
  <c r="BZ104" i="1"/>
  <c r="CA104" i="1"/>
  <c r="CB104" i="1"/>
  <c r="CC104" i="1"/>
  <c r="BW105" i="1"/>
  <c r="BX105" i="1"/>
  <c r="BY105" i="1"/>
  <c r="BZ105" i="1"/>
  <c r="CA105" i="1"/>
  <c r="CB105" i="1"/>
  <c r="CC105" i="1"/>
  <c r="BW106" i="1"/>
  <c r="BX106" i="1"/>
  <c r="BY106" i="1"/>
  <c r="BZ106" i="1"/>
  <c r="CA106" i="1"/>
  <c r="CB106" i="1"/>
  <c r="CC106" i="1"/>
  <c r="BW107" i="1"/>
  <c r="BX107" i="1"/>
  <c r="BY107" i="1"/>
  <c r="BZ107" i="1"/>
  <c r="CA107" i="1"/>
  <c r="CB107" i="1"/>
  <c r="CC107" i="1"/>
  <c r="BW108" i="1"/>
  <c r="BX108" i="1"/>
  <c r="BY108" i="1"/>
  <c r="BZ108" i="1"/>
  <c r="CA108" i="1"/>
  <c r="CB108" i="1"/>
  <c r="CC108" i="1"/>
  <c r="BW109" i="1"/>
  <c r="BX109" i="1"/>
  <c r="BY109" i="1"/>
  <c r="BZ109" i="1"/>
  <c r="CA109" i="1"/>
  <c r="CB109" i="1"/>
  <c r="CC109" i="1"/>
  <c r="BW110" i="1"/>
  <c r="BX110" i="1"/>
  <c r="BY110" i="1"/>
  <c r="BZ110" i="1"/>
  <c r="CA110" i="1"/>
  <c r="CB110" i="1"/>
  <c r="CC110" i="1"/>
  <c r="BW111" i="1"/>
  <c r="BX111" i="1"/>
  <c r="BY111" i="1"/>
  <c r="BZ111" i="1"/>
  <c r="CA111" i="1"/>
  <c r="CB111" i="1"/>
  <c r="CC111" i="1"/>
  <c r="BW112" i="1"/>
  <c r="BX112" i="1"/>
  <c r="BY112" i="1"/>
  <c r="BZ112" i="1"/>
  <c r="CA112" i="1"/>
  <c r="CB112" i="1"/>
  <c r="CC112" i="1"/>
  <c r="BW113" i="1"/>
  <c r="BX113" i="1"/>
  <c r="BY113" i="1"/>
  <c r="BZ113" i="1"/>
  <c r="CA113" i="1"/>
  <c r="CB113" i="1"/>
  <c r="CC113" i="1"/>
  <c r="BW114" i="1"/>
  <c r="BX114" i="1"/>
  <c r="BY114" i="1"/>
  <c r="BZ114" i="1"/>
  <c r="CA114" i="1"/>
  <c r="CB114" i="1"/>
  <c r="CC114" i="1"/>
  <c r="BW115" i="1"/>
  <c r="BX115" i="1"/>
  <c r="BY115" i="1"/>
  <c r="BZ115" i="1"/>
  <c r="CA115" i="1"/>
  <c r="CB115" i="1"/>
  <c r="CC115" i="1"/>
  <c r="BW116" i="1"/>
  <c r="BX116" i="1"/>
  <c r="BY116" i="1"/>
  <c r="BZ116" i="1"/>
  <c r="CA116" i="1"/>
  <c r="CB116" i="1"/>
  <c r="CC116" i="1"/>
  <c r="BW117" i="1"/>
  <c r="BX117" i="1"/>
  <c r="BY117" i="1"/>
  <c r="BZ117" i="1"/>
  <c r="CA117" i="1"/>
  <c r="CB117" i="1"/>
  <c r="CC117" i="1"/>
  <c r="BW118" i="1"/>
  <c r="BX118" i="1"/>
  <c r="BY118" i="1"/>
  <c r="BZ118" i="1"/>
  <c r="CA118" i="1"/>
  <c r="CB118" i="1"/>
  <c r="CC118" i="1"/>
  <c r="BW119" i="1"/>
  <c r="BX119" i="1"/>
  <c r="BY119" i="1"/>
  <c r="BZ119" i="1"/>
  <c r="CA119" i="1"/>
  <c r="CB119" i="1"/>
  <c r="CC119" i="1"/>
  <c r="BW120" i="1"/>
  <c r="BX120" i="1"/>
  <c r="BY120" i="1"/>
  <c r="BZ120" i="1"/>
  <c r="CA120" i="1"/>
  <c r="CB120" i="1"/>
  <c r="CC120" i="1"/>
  <c r="BW121" i="1"/>
  <c r="BX121" i="1"/>
  <c r="BY121" i="1"/>
  <c r="BZ121" i="1"/>
  <c r="CA121" i="1"/>
  <c r="CB121" i="1"/>
  <c r="CC121" i="1"/>
  <c r="BW122" i="1"/>
  <c r="BX122" i="1"/>
  <c r="BY122" i="1"/>
  <c r="BZ122" i="1"/>
  <c r="CA122" i="1"/>
  <c r="CB122" i="1"/>
  <c r="CC122" i="1"/>
  <c r="BW123" i="1"/>
  <c r="BX123" i="1"/>
  <c r="BY123" i="1"/>
  <c r="BZ123" i="1"/>
  <c r="CA123" i="1"/>
  <c r="CB123" i="1"/>
  <c r="CC123" i="1"/>
  <c r="BW124" i="1"/>
  <c r="BX124" i="1"/>
  <c r="BY124" i="1"/>
  <c r="BZ124" i="1"/>
  <c r="CA124" i="1"/>
  <c r="CB124" i="1"/>
  <c r="CC124" i="1"/>
  <c r="BW125" i="1"/>
  <c r="BX125" i="1"/>
  <c r="BY125" i="1"/>
  <c r="BZ125" i="1"/>
  <c r="CA125" i="1"/>
  <c r="CB125" i="1"/>
  <c r="CC125" i="1"/>
  <c r="BW126" i="1"/>
  <c r="BX126" i="1"/>
  <c r="BY126" i="1"/>
  <c r="BZ126" i="1"/>
  <c r="CA126" i="1"/>
  <c r="CB126" i="1"/>
  <c r="CC126" i="1"/>
  <c r="BW127" i="1"/>
  <c r="BX127" i="1"/>
  <c r="BY127" i="1"/>
  <c r="BZ127" i="1"/>
  <c r="CA127" i="1"/>
  <c r="CB127" i="1"/>
  <c r="CC127" i="1"/>
  <c r="BW128" i="1"/>
  <c r="BX128" i="1"/>
  <c r="BY128" i="1"/>
  <c r="BZ128" i="1"/>
  <c r="CA128" i="1"/>
  <c r="CB128" i="1"/>
  <c r="CC128" i="1"/>
  <c r="BW129" i="1"/>
  <c r="BX129" i="1"/>
  <c r="BY129" i="1"/>
  <c r="BZ129" i="1"/>
  <c r="CA129" i="1"/>
  <c r="CB129" i="1"/>
  <c r="CC129" i="1"/>
  <c r="BW130" i="1"/>
  <c r="BX130" i="1"/>
  <c r="BY130" i="1"/>
  <c r="BZ130" i="1"/>
  <c r="CA130" i="1"/>
  <c r="CB130" i="1"/>
  <c r="CC130" i="1"/>
  <c r="BW131" i="1"/>
  <c r="BX131" i="1"/>
  <c r="BY131" i="1"/>
  <c r="BZ131" i="1"/>
  <c r="CA131" i="1"/>
  <c r="CB131" i="1"/>
  <c r="CC131" i="1"/>
  <c r="BW132" i="1"/>
  <c r="BX132" i="1"/>
  <c r="BY132" i="1"/>
  <c r="BZ132" i="1"/>
  <c r="CA132" i="1"/>
  <c r="CB132" i="1"/>
  <c r="CC132" i="1"/>
  <c r="BW133" i="1"/>
  <c r="BX133" i="1"/>
  <c r="BY133" i="1"/>
  <c r="BZ133" i="1"/>
  <c r="CA133" i="1"/>
  <c r="CB133" i="1"/>
  <c r="CC133" i="1"/>
  <c r="BW134" i="1"/>
  <c r="BX134" i="1"/>
  <c r="BY134" i="1"/>
  <c r="BZ134" i="1"/>
  <c r="CA134" i="1"/>
  <c r="CB134" i="1"/>
  <c r="CC134" i="1"/>
  <c r="BW135" i="1"/>
  <c r="BX135" i="1"/>
  <c r="BY135" i="1"/>
  <c r="BZ135" i="1"/>
  <c r="CA135" i="1"/>
  <c r="CB135" i="1"/>
  <c r="CC135" i="1"/>
  <c r="BW136" i="1"/>
  <c r="BX136" i="1"/>
  <c r="BY136" i="1"/>
  <c r="BZ136" i="1"/>
  <c r="CA136" i="1"/>
  <c r="CB136" i="1"/>
  <c r="CC136" i="1"/>
  <c r="BW137" i="1"/>
  <c r="BX137" i="1"/>
  <c r="BY137" i="1"/>
  <c r="BZ137" i="1"/>
  <c r="CA137" i="1"/>
  <c r="CB137" i="1"/>
  <c r="CC137" i="1"/>
  <c r="BW138" i="1"/>
  <c r="BX138" i="1"/>
  <c r="BY138" i="1"/>
  <c r="BZ138" i="1"/>
  <c r="CA138" i="1"/>
  <c r="CB138" i="1"/>
  <c r="CC138" i="1"/>
  <c r="BW139" i="1"/>
  <c r="BX139" i="1"/>
  <c r="BY139" i="1"/>
  <c r="BZ139" i="1"/>
  <c r="CA139" i="1"/>
  <c r="CB139" i="1"/>
  <c r="CC139" i="1"/>
  <c r="BW140" i="1"/>
  <c r="BX140" i="1"/>
  <c r="BY140" i="1"/>
  <c r="BZ140" i="1"/>
  <c r="CA140" i="1"/>
  <c r="CB140" i="1"/>
  <c r="CC140" i="1"/>
  <c r="BW141" i="1"/>
  <c r="BX141" i="1"/>
  <c r="BY141" i="1"/>
  <c r="BZ141" i="1"/>
  <c r="CA141" i="1"/>
  <c r="CB141" i="1"/>
  <c r="CC141" i="1"/>
  <c r="BW142" i="1"/>
  <c r="BX142" i="1"/>
  <c r="BY142" i="1"/>
  <c r="BZ142" i="1"/>
  <c r="CA142" i="1"/>
  <c r="CB142" i="1"/>
  <c r="CC142" i="1"/>
  <c r="BW143" i="1"/>
  <c r="BX143" i="1"/>
  <c r="BY143" i="1"/>
  <c r="BZ143" i="1"/>
  <c r="CA143" i="1"/>
  <c r="CB143" i="1"/>
  <c r="CC143" i="1"/>
  <c r="BW144" i="1"/>
  <c r="BX144" i="1"/>
  <c r="BY144" i="1"/>
  <c r="BZ144" i="1"/>
  <c r="CA144" i="1"/>
  <c r="CB144" i="1"/>
  <c r="CC144" i="1"/>
  <c r="BW145" i="1"/>
  <c r="BX145" i="1"/>
  <c r="BY145" i="1"/>
  <c r="BZ145" i="1"/>
  <c r="CA145" i="1"/>
  <c r="CB145" i="1"/>
  <c r="CC145" i="1"/>
  <c r="BW146" i="1"/>
  <c r="BX146" i="1"/>
  <c r="BY146" i="1"/>
  <c r="BZ146" i="1"/>
  <c r="CA146" i="1"/>
  <c r="CB146" i="1"/>
  <c r="CC146" i="1"/>
  <c r="BW147" i="1"/>
  <c r="BX147" i="1"/>
  <c r="BY147" i="1"/>
  <c r="BZ147" i="1"/>
  <c r="CA147" i="1"/>
  <c r="CB147" i="1"/>
  <c r="CC147" i="1"/>
  <c r="BW148" i="1"/>
  <c r="BX148" i="1"/>
  <c r="BY148" i="1"/>
  <c r="BZ148" i="1"/>
  <c r="CA148" i="1"/>
  <c r="CB148" i="1"/>
  <c r="CC148" i="1"/>
  <c r="BW149" i="1"/>
  <c r="BX149" i="1"/>
  <c r="BY149" i="1"/>
  <c r="BZ149" i="1"/>
  <c r="CA149" i="1"/>
  <c r="CB149" i="1"/>
  <c r="CC149" i="1"/>
  <c r="BW150" i="1"/>
  <c r="BX150" i="1"/>
  <c r="BY150" i="1"/>
  <c r="BZ150" i="1"/>
  <c r="CA150" i="1"/>
  <c r="CB150" i="1"/>
  <c r="CC150" i="1"/>
  <c r="BW151" i="1"/>
  <c r="BX151" i="1"/>
  <c r="BY151" i="1"/>
  <c r="BZ151" i="1"/>
  <c r="CA151" i="1"/>
  <c r="CB151" i="1"/>
  <c r="CC151" i="1"/>
  <c r="BW152" i="1"/>
  <c r="BX152" i="1"/>
  <c r="BY152" i="1"/>
  <c r="BZ152" i="1"/>
  <c r="CA152" i="1"/>
  <c r="CB152" i="1"/>
  <c r="CC152" i="1"/>
  <c r="BW153" i="1"/>
  <c r="BX153" i="1"/>
  <c r="BY153" i="1"/>
  <c r="BZ153" i="1"/>
  <c r="CA153" i="1"/>
  <c r="CB153" i="1"/>
  <c r="CC153" i="1"/>
  <c r="BW154" i="1"/>
  <c r="BX154" i="1"/>
  <c r="BY154" i="1"/>
  <c r="BZ154" i="1"/>
  <c r="CA154" i="1"/>
  <c r="CB154" i="1"/>
  <c r="CC154" i="1"/>
  <c r="BW155" i="1"/>
  <c r="BX155" i="1"/>
  <c r="BY155" i="1"/>
  <c r="BZ155" i="1"/>
  <c r="CA155" i="1"/>
  <c r="CB155" i="1"/>
  <c r="CC155" i="1"/>
  <c r="BW156" i="1"/>
  <c r="BX156" i="1"/>
  <c r="BY156" i="1"/>
  <c r="BZ156" i="1"/>
  <c r="CA156" i="1"/>
  <c r="CB156" i="1"/>
  <c r="CC156" i="1"/>
  <c r="BW157" i="1"/>
  <c r="BX157" i="1"/>
  <c r="BY157" i="1"/>
  <c r="BZ157" i="1"/>
  <c r="CA157" i="1"/>
  <c r="CB157" i="1"/>
  <c r="CC157" i="1"/>
  <c r="BW158" i="1"/>
  <c r="BX158" i="1"/>
  <c r="BY158" i="1"/>
  <c r="BZ158" i="1"/>
  <c r="CA158" i="1"/>
  <c r="CB158" i="1"/>
  <c r="CC158" i="1"/>
  <c r="BW159" i="1"/>
  <c r="BX159" i="1"/>
  <c r="BY159" i="1"/>
  <c r="BZ159" i="1"/>
  <c r="CA159" i="1"/>
  <c r="CB159" i="1"/>
  <c r="CC159" i="1"/>
  <c r="BW160" i="1"/>
  <c r="BX160" i="1"/>
  <c r="BY160" i="1"/>
  <c r="BZ160" i="1"/>
  <c r="CA160" i="1"/>
  <c r="CB160" i="1"/>
  <c r="CC160" i="1"/>
  <c r="BW161" i="1"/>
  <c r="BX161" i="1"/>
  <c r="BY161" i="1"/>
  <c r="BZ161" i="1"/>
  <c r="CA161" i="1"/>
  <c r="CB161" i="1"/>
  <c r="CC161" i="1"/>
  <c r="BW162" i="1"/>
  <c r="BX162" i="1"/>
  <c r="BY162" i="1"/>
  <c r="BZ162" i="1"/>
  <c r="CA162" i="1"/>
  <c r="CB162" i="1"/>
  <c r="CC162" i="1"/>
  <c r="BW163" i="1"/>
  <c r="BX163" i="1"/>
  <c r="BY163" i="1"/>
  <c r="BZ163" i="1"/>
  <c r="CA163" i="1"/>
  <c r="CB163" i="1"/>
  <c r="CC163" i="1"/>
  <c r="BP54" i="1"/>
  <c r="BQ54" i="1"/>
  <c r="BR54" i="1"/>
  <c r="BS54" i="1"/>
  <c r="BT54" i="1"/>
  <c r="BU54" i="1"/>
  <c r="BP55" i="1"/>
  <c r="BQ55" i="1"/>
  <c r="BR55" i="1"/>
  <c r="BS55" i="1"/>
  <c r="BT55" i="1"/>
  <c r="BU55" i="1"/>
  <c r="BP56" i="1"/>
  <c r="BQ56" i="1"/>
  <c r="BR56" i="1"/>
  <c r="BS56" i="1"/>
  <c r="BT56" i="1"/>
  <c r="BU56" i="1"/>
  <c r="BP57" i="1"/>
  <c r="BQ57" i="1"/>
  <c r="BR57" i="1"/>
  <c r="BS57" i="1"/>
  <c r="BT57" i="1"/>
  <c r="BU57" i="1"/>
  <c r="BP58" i="1"/>
  <c r="BQ58" i="1"/>
  <c r="BR58" i="1"/>
  <c r="BS58" i="1"/>
  <c r="BT58" i="1"/>
  <c r="BU58" i="1"/>
  <c r="BP59" i="1"/>
  <c r="BQ59" i="1"/>
  <c r="BR59" i="1"/>
  <c r="BS59" i="1"/>
  <c r="BT59" i="1"/>
  <c r="BU59" i="1"/>
  <c r="BP60" i="1"/>
  <c r="BQ60" i="1"/>
  <c r="BR60" i="1"/>
  <c r="BS60" i="1"/>
  <c r="BT60" i="1"/>
  <c r="BU60" i="1"/>
  <c r="BP61" i="1"/>
  <c r="BQ61" i="1"/>
  <c r="BR61" i="1"/>
  <c r="BS61" i="1"/>
  <c r="BT61" i="1"/>
  <c r="BU61" i="1"/>
  <c r="BP62" i="1"/>
  <c r="BQ62" i="1"/>
  <c r="BR62" i="1"/>
  <c r="BS62" i="1"/>
  <c r="BT62" i="1"/>
  <c r="BU62" i="1"/>
  <c r="BP63" i="1"/>
  <c r="BQ63" i="1"/>
  <c r="BR63" i="1"/>
  <c r="BS63" i="1"/>
  <c r="BT63" i="1"/>
  <c r="BU63" i="1"/>
  <c r="BP64" i="1"/>
  <c r="BQ64" i="1"/>
  <c r="BR64" i="1"/>
  <c r="BS64" i="1"/>
  <c r="BT64" i="1"/>
  <c r="BU64" i="1"/>
  <c r="BP65" i="1"/>
  <c r="BQ65" i="1"/>
  <c r="BR65" i="1"/>
  <c r="BS65" i="1"/>
  <c r="BT65" i="1"/>
  <c r="BU65" i="1"/>
  <c r="BP66" i="1"/>
  <c r="BQ66" i="1"/>
  <c r="BR66" i="1"/>
  <c r="BS66" i="1"/>
  <c r="BT66" i="1"/>
  <c r="BU66" i="1"/>
  <c r="BP67" i="1"/>
  <c r="BQ67" i="1"/>
  <c r="BR67" i="1"/>
  <c r="BS67" i="1"/>
  <c r="BT67" i="1"/>
  <c r="BU67" i="1"/>
  <c r="BP68" i="1"/>
  <c r="BQ68" i="1"/>
  <c r="BR68" i="1"/>
  <c r="BS68" i="1"/>
  <c r="BT68" i="1"/>
  <c r="BU68" i="1"/>
  <c r="BP69" i="1"/>
  <c r="BQ69" i="1"/>
  <c r="BR69" i="1"/>
  <c r="BS69" i="1"/>
  <c r="BT69" i="1"/>
  <c r="BU69" i="1"/>
  <c r="BP70" i="1"/>
  <c r="BQ70" i="1"/>
  <c r="BR70" i="1"/>
  <c r="BS70" i="1"/>
  <c r="BT70" i="1"/>
  <c r="BU70" i="1"/>
  <c r="BP71" i="1"/>
  <c r="BQ71" i="1"/>
  <c r="BR71" i="1"/>
  <c r="BS71" i="1"/>
  <c r="BT71" i="1"/>
  <c r="BU71" i="1"/>
  <c r="BP72" i="1"/>
  <c r="BQ72" i="1"/>
  <c r="BR72" i="1"/>
  <c r="BS72" i="1"/>
  <c r="BT72" i="1"/>
  <c r="BU72" i="1"/>
  <c r="BP73" i="1"/>
  <c r="BQ73" i="1"/>
  <c r="BR73" i="1"/>
  <c r="BS73" i="1"/>
  <c r="BT73" i="1"/>
  <c r="BU73" i="1"/>
  <c r="BP74" i="1"/>
  <c r="BQ74" i="1"/>
  <c r="BR74" i="1"/>
  <c r="BS74" i="1"/>
  <c r="BT74" i="1"/>
  <c r="BU74" i="1"/>
  <c r="BP75" i="1"/>
  <c r="BQ75" i="1"/>
  <c r="BR75" i="1"/>
  <c r="BS75" i="1"/>
  <c r="BT75" i="1"/>
  <c r="BU75" i="1"/>
  <c r="BP76" i="1"/>
  <c r="BQ76" i="1"/>
  <c r="BR76" i="1"/>
  <c r="BS76" i="1"/>
  <c r="BT76" i="1"/>
  <c r="BU76" i="1"/>
  <c r="BP77" i="1"/>
  <c r="BQ77" i="1"/>
  <c r="BR77" i="1"/>
  <c r="BS77" i="1"/>
  <c r="BT77" i="1"/>
  <c r="BU77" i="1"/>
  <c r="BP78" i="1"/>
  <c r="BQ78" i="1"/>
  <c r="BR78" i="1"/>
  <c r="BS78" i="1"/>
  <c r="BT78" i="1"/>
  <c r="BU78" i="1"/>
  <c r="BP79" i="1"/>
  <c r="BQ79" i="1"/>
  <c r="BR79" i="1"/>
  <c r="BS79" i="1"/>
  <c r="BT79" i="1"/>
  <c r="BU79" i="1"/>
  <c r="BP80" i="1"/>
  <c r="BQ80" i="1"/>
  <c r="BR80" i="1"/>
  <c r="BS80" i="1"/>
  <c r="BT80" i="1"/>
  <c r="BU80" i="1"/>
  <c r="BP81" i="1"/>
  <c r="BQ81" i="1"/>
  <c r="BR81" i="1"/>
  <c r="BS81" i="1"/>
  <c r="BT81" i="1"/>
  <c r="BU81" i="1"/>
  <c r="BP82" i="1"/>
  <c r="BQ82" i="1"/>
  <c r="BR82" i="1"/>
  <c r="BS82" i="1"/>
  <c r="BT82" i="1"/>
  <c r="BU82" i="1"/>
  <c r="BP83" i="1"/>
  <c r="BQ83" i="1"/>
  <c r="BR83" i="1"/>
  <c r="BS83" i="1"/>
  <c r="BT83" i="1"/>
  <c r="BU83" i="1"/>
  <c r="BI132" i="1"/>
  <c r="BJ132" i="1"/>
  <c r="BK132" i="1"/>
  <c r="BL132" i="1"/>
  <c r="BM132" i="1"/>
  <c r="BN132" i="1"/>
  <c r="BI133" i="1"/>
  <c r="BJ133" i="1"/>
  <c r="BK133" i="1"/>
  <c r="BL133" i="1"/>
  <c r="BM133" i="1"/>
  <c r="BN133" i="1"/>
  <c r="BI134" i="1"/>
  <c r="BJ134" i="1"/>
  <c r="BK134" i="1"/>
  <c r="BL134" i="1"/>
  <c r="BM134" i="1"/>
  <c r="BN134" i="1"/>
  <c r="BI135" i="1"/>
  <c r="BJ135" i="1"/>
  <c r="BK135" i="1"/>
  <c r="BL135" i="1"/>
  <c r="BM135" i="1"/>
  <c r="BN135" i="1"/>
  <c r="BI136" i="1"/>
  <c r="BJ136" i="1"/>
  <c r="BK136" i="1"/>
  <c r="BL136" i="1"/>
  <c r="BM136" i="1"/>
  <c r="BN136" i="1"/>
  <c r="BI137" i="1"/>
  <c r="BJ137" i="1"/>
  <c r="BK137" i="1"/>
  <c r="BL137" i="1"/>
  <c r="BM137" i="1"/>
  <c r="BN137" i="1"/>
  <c r="BI138" i="1"/>
  <c r="BJ138" i="1"/>
  <c r="BK138" i="1"/>
  <c r="BL138" i="1"/>
  <c r="BM138" i="1"/>
  <c r="BN138" i="1"/>
  <c r="BI139" i="1"/>
  <c r="BJ139" i="1"/>
  <c r="BK139" i="1"/>
  <c r="BL139" i="1"/>
  <c r="BM139" i="1"/>
  <c r="BN139" i="1"/>
  <c r="BI140" i="1"/>
  <c r="BJ140" i="1"/>
  <c r="BK140" i="1"/>
  <c r="BL140" i="1"/>
  <c r="BM140" i="1"/>
  <c r="BN140" i="1"/>
  <c r="BI141" i="1"/>
  <c r="BJ141" i="1"/>
  <c r="BK141" i="1"/>
  <c r="BL141" i="1"/>
  <c r="BM141" i="1"/>
  <c r="BN141" i="1"/>
  <c r="BI142" i="1"/>
  <c r="BJ142" i="1"/>
  <c r="BK142" i="1"/>
  <c r="BL142" i="1"/>
  <c r="BM142" i="1"/>
  <c r="BN142" i="1"/>
  <c r="BI143" i="1"/>
  <c r="BJ143" i="1"/>
  <c r="BK143" i="1"/>
  <c r="BL143" i="1"/>
  <c r="BM143" i="1"/>
  <c r="BN143" i="1"/>
  <c r="BI144" i="1"/>
  <c r="BJ144" i="1"/>
  <c r="BK144" i="1"/>
  <c r="BL144" i="1"/>
  <c r="BM144" i="1"/>
  <c r="BN144" i="1"/>
  <c r="BI145" i="1"/>
  <c r="BJ145" i="1"/>
  <c r="BK145" i="1"/>
  <c r="BL145" i="1"/>
  <c r="BM145" i="1"/>
  <c r="BN145" i="1"/>
  <c r="BI146" i="1"/>
  <c r="BJ146" i="1"/>
  <c r="BK146" i="1"/>
  <c r="BL146" i="1"/>
  <c r="BM146" i="1"/>
  <c r="BN146" i="1"/>
  <c r="BI147" i="1"/>
  <c r="BJ147" i="1"/>
  <c r="BK147" i="1"/>
  <c r="BL147" i="1"/>
  <c r="BM147" i="1"/>
  <c r="BN147" i="1"/>
  <c r="BI148" i="1"/>
  <c r="BJ148" i="1"/>
  <c r="BK148" i="1"/>
  <c r="BL148" i="1"/>
  <c r="BM148" i="1"/>
  <c r="BN148" i="1"/>
  <c r="BI149" i="1"/>
  <c r="BJ149" i="1"/>
  <c r="BK149" i="1"/>
  <c r="BL149" i="1"/>
  <c r="BM149" i="1"/>
  <c r="BN149" i="1"/>
  <c r="BI150" i="1"/>
  <c r="BJ150" i="1"/>
  <c r="BK150" i="1"/>
  <c r="BL150" i="1"/>
  <c r="BM150" i="1"/>
  <c r="BN150" i="1"/>
  <c r="BI151" i="1"/>
  <c r="BJ151" i="1"/>
  <c r="BK151" i="1"/>
  <c r="BL151" i="1"/>
  <c r="BM151" i="1"/>
  <c r="BN151" i="1"/>
  <c r="BI152" i="1"/>
  <c r="BJ152" i="1"/>
  <c r="BK152" i="1"/>
  <c r="BL152" i="1"/>
  <c r="BM152" i="1"/>
  <c r="BN152" i="1"/>
  <c r="BI153" i="1"/>
  <c r="BJ153" i="1"/>
  <c r="BK153" i="1"/>
  <c r="BL153" i="1"/>
  <c r="BM153" i="1"/>
  <c r="BN153" i="1"/>
  <c r="BI154" i="1"/>
  <c r="BJ154" i="1"/>
  <c r="BK154" i="1"/>
  <c r="BL154" i="1"/>
  <c r="BM154" i="1"/>
  <c r="BN154" i="1"/>
  <c r="BI155" i="1"/>
  <c r="BJ155" i="1"/>
  <c r="BK155" i="1"/>
  <c r="BL155" i="1"/>
  <c r="BM155" i="1"/>
  <c r="BN155" i="1"/>
  <c r="BI156" i="1"/>
  <c r="BJ156" i="1"/>
  <c r="BK156" i="1"/>
  <c r="BL156" i="1"/>
  <c r="BM156" i="1"/>
  <c r="BN156" i="1"/>
  <c r="BI157" i="1"/>
  <c r="BJ157" i="1"/>
  <c r="BK157" i="1"/>
  <c r="BL157" i="1"/>
  <c r="BM157" i="1"/>
  <c r="BN157" i="1"/>
  <c r="BI158" i="1"/>
  <c r="BJ158" i="1"/>
  <c r="BK158" i="1"/>
  <c r="BL158" i="1"/>
  <c r="BM158" i="1"/>
  <c r="BN158" i="1"/>
  <c r="BI159" i="1"/>
  <c r="BJ159" i="1"/>
  <c r="BK159" i="1"/>
  <c r="BL159" i="1"/>
  <c r="BM159" i="1"/>
  <c r="BN159" i="1"/>
  <c r="BI160" i="1"/>
  <c r="BJ160" i="1"/>
  <c r="BK160" i="1"/>
  <c r="BL160" i="1"/>
  <c r="BM160" i="1"/>
  <c r="BN160" i="1"/>
  <c r="BI161" i="1"/>
  <c r="BJ161" i="1"/>
  <c r="BK161" i="1"/>
  <c r="BL161" i="1"/>
  <c r="BM161" i="1"/>
  <c r="BN161" i="1"/>
  <c r="BI162" i="1"/>
  <c r="BJ162" i="1"/>
  <c r="BK162" i="1"/>
  <c r="BL162" i="1"/>
  <c r="BM162" i="1"/>
  <c r="BN162" i="1"/>
  <c r="BI163" i="1"/>
  <c r="BJ163" i="1"/>
  <c r="BK163" i="1"/>
  <c r="BL163" i="1"/>
  <c r="BM163" i="1"/>
  <c r="BN163" i="1"/>
  <c r="BI104" i="1"/>
  <c r="BJ104" i="1"/>
  <c r="BK104" i="1"/>
  <c r="BL104" i="1"/>
  <c r="BM104" i="1"/>
  <c r="BN104" i="1"/>
  <c r="BI105" i="1"/>
  <c r="BJ105" i="1"/>
  <c r="BK105" i="1"/>
  <c r="BL105" i="1"/>
  <c r="BM105" i="1"/>
  <c r="BN105" i="1"/>
  <c r="BI106" i="1"/>
  <c r="BJ106" i="1"/>
  <c r="BK106" i="1"/>
  <c r="BL106" i="1"/>
  <c r="BM106" i="1"/>
  <c r="BN106" i="1"/>
  <c r="BI107" i="1"/>
  <c r="BJ107" i="1"/>
  <c r="BK107" i="1"/>
  <c r="BL107" i="1"/>
  <c r="BM107" i="1"/>
  <c r="BN107" i="1"/>
  <c r="BI108" i="1"/>
  <c r="BJ108" i="1"/>
  <c r="BK108" i="1"/>
  <c r="BL108" i="1"/>
  <c r="BM108" i="1"/>
  <c r="BN108" i="1"/>
  <c r="BI109" i="1"/>
  <c r="BJ109" i="1"/>
  <c r="BK109" i="1"/>
  <c r="BL109" i="1"/>
  <c r="BM109" i="1"/>
  <c r="BN109" i="1"/>
  <c r="BI110" i="1"/>
  <c r="BJ110" i="1"/>
  <c r="BK110" i="1"/>
  <c r="BL110" i="1"/>
  <c r="BM110" i="1"/>
  <c r="BN110" i="1"/>
  <c r="BI111" i="1"/>
  <c r="BJ111" i="1"/>
  <c r="BK111" i="1"/>
  <c r="BL111" i="1"/>
  <c r="BM111" i="1"/>
  <c r="BN111" i="1"/>
  <c r="BI112" i="1"/>
  <c r="BJ112" i="1"/>
  <c r="BK112" i="1"/>
  <c r="BL112" i="1"/>
  <c r="BM112" i="1"/>
  <c r="BN112" i="1"/>
  <c r="BI113" i="1"/>
  <c r="BJ113" i="1"/>
  <c r="BK113" i="1"/>
  <c r="BL113" i="1"/>
  <c r="BM113" i="1"/>
  <c r="BN113" i="1"/>
  <c r="BI114" i="1"/>
  <c r="BJ114" i="1"/>
  <c r="BK114" i="1"/>
  <c r="BL114" i="1"/>
  <c r="BM114" i="1"/>
  <c r="BN114" i="1"/>
  <c r="BI115" i="1"/>
  <c r="BJ115" i="1"/>
  <c r="BK115" i="1"/>
  <c r="BL115" i="1"/>
  <c r="BM115" i="1"/>
  <c r="BN115" i="1"/>
  <c r="BI116" i="1"/>
  <c r="BJ116" i="1"/>
  <c r="BK116" i="1"/>
  <c r="BL116" i="1"/>
  <c r="BM116" i="1"/>
  <c r="BN116" i="1"/>
  <c r="BI117" i="1"/>
  <c r="BJ117" i="1"/>
  <c r="BK117" i="1"/>
  <c r="BL117" i="1"/>
  <c r="BM117" i="1"/>
  <c r="BN117" i="1"/>
  <c r="BI118" i="1"/>
  <c r="BJ118" i="1"/>
  <c r="BK118" i="1"/>
  <c r="BL118" i="1"/>
  <c r="BM118" i="1"/>
  <c r="BN118" i="1"/>
  <c r="BI119" i="1"/>
  <c r="BJ119" i="1"/>
  <c r="BK119" i="1"/>
  <c r="BL119" i="1"/>
  <c r="BM119" i="1"/>
  <c r="BN119" i="1"/>
  <c r="BI120" i="1"/>
  <c r="BJ120" i="1"/>
  <c r="BK120" i="1"/>
  <c r="BL120" i="1"/>
  <c r="BM120" i="1"/>
  <c r="BN120" i="1"/>
  <c r="BI121" i="1"/>
  <c r="BJ121" i="1"/>
  <c r="BK121" i="1"/>
  <c r="BL121" i="1"/>
  <c r="BM121" i="1"/>
  <c r="BN121" i="1"/>
  <c r="BI122" i="1"/>
  <c r="BJ122" i="1"/>
  <c r="BK122" i="1"/>
  <c r="BL122" i="1"/>
  <c r="BM122" i="1"/>
  <c r="BN122" i="1"/>
  <c r="BI123" i="1"/>
  <c r="BJ123" i="1"/>
  <c r="BK123" i="1"/>
  <c r="BL123" i="1"/>
  <c r="BM123" i="1"/>
  <c r="BN123" i="1"/>
  <c r="BI124" i="1"/>
  <c r="BJ124" i="1"/>
  <c r="BK124" i="1"/>
  <c r="BL124" i="1"/>
  <c r="BM124" i="1"/>
  <c r="BN124" i="1"/>
  <c r="BI125" i="1"/>
  <c r="BJ125" i="1"/>
  <c r="BK125" i="1"/>
  <c r="BL125" i="1"/>
  <c r="BM125" i="1"/>
  <c r="BN125" i="1"/>
  <c r="BI126" i="1"/>
  <c r="BJ126" i="1"/>
  <c r="BK126" i="1"/>
  <c r="BL126" i="1"/>
  <c r="BM126" i="1"/>
  <c r="BN126" i="1"/>
  <c r="BI127" i="1"/>
  <c r="BJ127" i="1"/>
  <c r="BK127" i="1"/>
  <c r="BL127" i="1"/>
  <c r="BM127" i="1"/>
  <c r="BN127" i="1"/>
  <c r="BI128" i="1"/>
  <c r="BJ128" i="1"/>
  <c r="BK128" i="1"/>
  <c r="BL128" i="1"/>
  <c r="BM128" i="1"/>
  <c r="BN128" i="1"/>
  <c r="BI129" i="1"/>
  <c r="BJ129" i="1"/>
  <c r="BK129" i="1"/>
  <c r="BL129" i="1"/>
  <c r="BM129" i="1"/>
  <c r="BN129" i="1"/>
  <c r="BI130" i="1"/>
  <c r="BJ130" i="1"/>
  <c r="BK130" i="1"/>
  <c r="BL130" i="1"/>
  <c r="BM130" i="1"/>
  <c r="BN130" i="1"/>
  <c r="BI131" i="1"/>
  <c r="BJ131" i="1"/>
  <c r="BK131" i="1"/>
  <c r="BL131" i="1"/>
  <c r="BM131" i="1"/>
  <c r="BN131" i="1"/>
  <c r="AL54" i="1"/>
  <c r="AM54" i="1"/>
  <c r="AN54" i="1"/>
  <c r="AO54" i="1"/>
  <c r="AP54" i="1"/>
  <c r="AQ54" i="1"/>
  <c r="AS54" i="1"/>
  <c r="AT54" i="1"/>
  <c r="AU54" i="1"/>
  <c r="AV54" i="1"/>
  <c r="AW54" i="1"/>
  <c r="AX54" i="1"/>
  <c r="AL55" i="1"/>
  <c r="AM55" i="1"/>
  <c r="AN55" i="1"/>
  <c r="AO55" i="1"/>
  <c r="AP55" i="1"/>
  <c r="AQ55" i="1"/>
  <c r="AS55" i="1"/>
  <c r="AT55" i="1"/>
  <c r="AU55" i="1"/>
  <c r="AV55" i="1"/>
  <c r="AW55" i="1"/>
  <c r="AX55" i="1"/>
  <c r="AL56" i="1"/>
  <c r="AM56" i="1"/>
  <c r="AN56" i="1"/>
  <c r="AO56" i="1"/>
  <c r="AP56" i="1"/>
  <c r="AQ56" i="1"/>
  <c r="AS56" i="1"/>
  <c r="AT56" i="1"/>
  <c r="AU56" i="1"/>
  <c r="AV56" i="1"/>
  <c r="AW56" i="1"/>
  <c r="AX56" i="1"/>
  <c r="AL57" i="1"/>
  <c r="AM57" i="1"/>
  <c r="AN57" i="1"/>
  <c r="AO57" i="1"/>
  <c r="AP57" i="1"/>
  <c r="AQ57" i="1"/>
  <c r="AS57" i="1"/>
  <c r="AT57" i="1"/>
  <c r="AU57" i="1"/>
  <c r="AV57" i="1"/>
  <c r="AW57" i="1"/>
  <c r="AX57" i="1"/>
  <c r="AL58" i="1"/>
  <c r="AM58" i="1"/>
  <c r="AN58" i="1"/>
  <c r="AO58" i="1"/>
  <c r="AP58" i="1"/>
  <c r="AQ58" i="1"/>
  <c r="AS58" i="1"/>
  <c r="AT58" i="1"/>
  <c r="AU58" i="1"/>
  <c r="AV58" i="1"/>
  <c r="AW58" i="1"/>
  <c r="AX58" i="1"/>
  <c r="AL59" i="1"/>
  <c r="AM59" i="1"/>
  <c r="AN59" i="1"/>
  <c r="AO59" i="1"/>
  <c r="AP59" i="1"/>
  <c r="AQ59" i="1"/>
  <c r="AS59" i="1"/>
  <c r="AT59" i="1"/>
  <c r="AU59" i="1"/>
  <c r="AV59" i="1"/>
  <c r="AW59" i="1"/>
  <c r="AX59" i="1"/>
  <c r="AL60" i="1"/>
  <c r="AM60" i="1"/>
  <c r="AN60" i="1"/>
  <c r="AO60" i="1"/>
  <c r="AP60" i="1"/>
  <c r="AQ60" i="1"/>
  <c r="AS60" i="1"/>
  <c r="AT60" i="1"/>
  <c r="AU60" i="1"/>
  <c r="AV60" i="1"/>
  <c r="AW60" i="1"/>
  <c r="AX60" i="1"/>
  <c r="AL61" i="1"/>
  <c r="AM61" i="1"/>
  <c r="AN61" i="1"/>
  <c r="AO61" i="1"/>
  <c r="AP61" i="1"/>
  <c r="AQ61" i="1"/>
  <c r="AS61" i="1"/>
  <c r="AT61" i="1"/>
  <c r="AU61" i="1"/>
  <c r="AV61" i="1"/>
  <c r="AW61" i="1"/>
  <c r="AX61" i="1"/>
  <c r="AL62" i="1"/>
  <c r="AM62" i="1"/>
  <c r="AN62" i="1"/>
  <c r="AO62" i="1"/>
  <c r="AP62" i="1"/>
  <c r="AQ62" i="1"/>
  <c r="AS62" i="1"/>
  <c r="AT62" i="1"/>
  <c r="AU62" i="1"/>
  <c r="AV62" i="1"/>
  <c r="AW62" i="1"/>
  <c r="AX62" i="1"/>
  <c r="AL63" i="1"/>
  <c r="AM63" i="1"/>
  <c r="AN63" i="1"/>
  <c r="AO63" i="1"/>
  <c r="AP63" i="1"/>
  <c r="AQ63" i="1"/>
  <c r="AS63" i="1"/>
  <c r="AT63" i="1"/>
  <c r="AU63" i="1"/>
  <c r="AV63" i="1"/>
  <c r="AW63" i="1"/>
  <c r="AX63" i="1"/>
  <c r="AL64" i="1"/>
  <c r="AM64" i="1"/>
  <c r="AN64" i="1"/>
  <c r="AO64" i="1"/>
  <c r="AP64" i="1"/>
  <c r="AQ64" i="1"/>
  <c r="AS64" i="1"/>
  <c r="AT64" i="1"/>
  <c r="AU64" i="1"/>
  <c r="AV64" i="1"/>
  <c r="AW64" i="1"/>
  <c r="AX64" i="1"/>
  <c r="AL65" i="1"/>
  <c r="AM65" i="1"/>
  <c r="AN65" i="1"/>
  <c r="AO65" i="1"/>
  <c r="AP65" i="1"/>
  <c r="AQ65" i="1"/>
  <c r="AS65" i="1"/>
  <c r="AT65" i="1"/>
  <c r="AU65" i="1"/>
  <c r="AV65" i="1"/>
  <c r="AW65" i="1"/>
  <c r="AX65" i="1"/>
  <c r="AL66" i="1"/>
  <c r="AM66" i="1"/>
  <c r="AN66" i="1"/>
  <c r="AO66" i="1"/>
  <c r="AP66" i="1"/>
  <c r="AQ66" i="1"/>
  <c r="AS66" i="1"/>
  <c r="AT66" i="1"/>
  <c r="AU66" i="1"/>
  <c r="AV66" i="1"/>
  <c r="AW66" i="1"/>
  <c r="AX66" i="1"/>
  <c r="AL67" i="1"/>
  <c r="AM67" i="1"/>
  <c r="AN67" i="1"/>
  <c r="AO67" i="1"/>
  <c r="AP67" i="1"/>
  <c r="AQ67" i="1"/>
  <c r="AS67" i="1"/>
  <c r="AT67" i="1"/>
  <c r="AU67" i="1"/>
  <c r="AV67" i="1"/>
  <c r="AW67" i="1"/>
  <c r="AX67" i="1"/>
  <c r="AL68" i="1"/>
  <c r="AM68" i="1"/>
  <c r="AN68" i="1"/>
  <c r="AO68" i="1"/>
  <c r="AP68" i="1"/>
  <c r="AQ68" i="1"/>
  <c r="AS68" i="1"/>
  <c r="AT68" i="1"/>
  <c r="AU68" i="1"/>
  <c r="AV68" i="1"/>
  <c r="AW68" i="1"/>
  <c r="AX68" i="1"/>
  <c r="AL69" i="1"/>
  <c r="AM69" i="1"/>
  <c r="AN69" i="1"/>
  <c r="AO69" i="1"/>
  <c r="AP69" i="1"/>
  <c r="AQ69" i="1"/>
  <c r="AS69" i="1"/>
  <c r="AT69" i="1"/>
  <c r="AU69" i="1"/>
  <c r="AV69" i="1"/>
  <c r="AW69" i="1"/>
  <c r="AX69" i="1"/>
  <c r="AL70" i="1"/>
  <c r="AM70" i="1"/>
  <c r="AN70" i="1"/>
  <c r="AO70" i="1"/>
  <c r="AP70" i="1"/>
  <c r="AQ70" i="1"/>
  <c r="AS70" i="1"/>
  <c r="AT70" i="1"/>
  <c r="AU70" i="1"/>
  <c r="AV70" i="1"/>
  <c r="AW70" i="1"/>
  <c r="AX70" i="1"/>
  <c r="AL71" i="1"/>
  <c r="AM71" i="1"/>
  <c r="AN71" i="1"/>
  <c r="AO71" i="1"/>
  <c r="AP71" i="1"/>
  <c r="AQ71" i="1"/>
  <c r="AS71" i="1"/>
  <c r="AT71" i="1"/>
  <c r="AU71" i="1"/>
  <c r="AV71" i="1"/>
  <c r="AW71" i="1"/>
  <c r="AX71" i="1"/>
  <c r="AL72" i="1"/>
  <c r="AM72" i="1"/>
  <c r="AN72" i="1"/>
  <c r="AO72" i="1"/>
  <c r="AP72" i="1"/>
  <c r="AQ72" i="1"/>
  <c r="AS72" i="1"/>
  <c r="AT72" i="1"/>
  <c r="AU72" i="1"/>
  <c r="AV72" i="1"/>
  <c r="AW72" i="1"/>
  <c r="AX72" i="1"/>
  <c r="AL73" i="1"/>
  <c r="AM73" i="1"/>
  <c r="AN73" i="1"/>
  <c r="AO73" i="1"/>
  <c r="AP73" i="1"/>
  <c r="AQ73" i="1"/>
  <c r="AS73" i="1"/>
  <c r="AT73" i="1"/>
  <c r="AU73" i="1"/>
  <c r="AV73" i="1"/>
  <c r="AW73" i="1"/>
  <c r="AX73" i="1"/>
  <c r="AL74" i="1"/>
  <c r="AM74" i="1"/>
  <c r="AN74" i="1"/>
  <c r="AO74" i="1"/>
  <c r="AP74" i="1"/>
  <c r="AQ74" i="1"/>
  <c r="AS74" i="1"/>
  <c r="AT74" i="1"/>
  <c r="AU74" i="1"/>
  <c r="AV74" i="1"/>
  <c r="AW74" i="1"/>
  <c r="AX74" i="1"/>
  <c r="AL75" i="1"/>
  <c r="AM75" i="1"/>
  <c r="AN75" i="1"/>
  <c r="AO75" i="1"/>
  <c r="AP75" i="1"/>
  <c r="AQ75" i="1"/>
  <c r="AS75" i="1"/>
  <c r="AT75" i="1"/>
  <c r="AU75" i="1"/>
  <c r="AV75" i="1"/>
  <c r="AW75" i="1"/>
  <c r="AX75" i="1"/>
  <c r="AL76" i="1"/>
  <c r="AM76" i="1"/>
  <c r="AN76" i="1"/>
  <c r="AO76" i="1"/>
  <c r="AP76" i="1"/>
  <c r="AQ76" i="1"/>
  <c r="AS76" i="1"/>
  <c r="AT76" i="1"/>
  <c r="AU76" i="1"/>
  <c r="AV76" i="1"/>
  <c r="AW76" i="1"/>
  <c r="AX76" i="1"/>
  <c r="AL77" i="1"/>
  <c r="AM77" i="1"/>
  <c r="AN77" i="1"/>
  <c r="AO77" i="1"/>
  <c r="AP77" i="1"/>
  <c r="AQ77" i="1"/>
  <c r="AS77" i="1"/>
  <c r="AT77" i="1"/>
  <c r="AU77" i="1"/>
  <c r="AV77" i="1"/>
  <c r="AW77" i="1"/>
  <c r="AX77" i="1"/>
  <c r="AL78" i="1"/>
  <c r="AM78" i="1"/>
  <c r="AN78" i="1"/>
  <c r="AO78" i="1"/>
  <c r="AP78" i="1"/>
  <c r="AQ78" i="1"/>
  <c r="AS78" i="1"/>
  <c r="AT78" i="1"/>
  <c r="AU78" i="1"/>
  <c r="AV78" i="1"/>
  <c r="AW78" i="1"/>
  <c r="AX78" i="1"/>
  <c r="AL79" i="1"/>
  <c r="AM79" i="1"/>
  <c r="AN79" i="1"/>
  <c r="AO79" i="1"/>
  <c r="AP79" i="1"/>
  <c r="AQ79" i="1"/>
  <c r="AS79" i="1"/>
  <c r="AT79" i="1"/>
  <c r="AU79" i="1"/>
  <c r="AV79" i="1"/>
  <c r="AW79" i="1"/>
  <c r="AX79" i="1"/>
  <c r="AL80" i="1"/>
  <c r="AM80" i="1"/>
  <c r="AN80" i="1"/>
  <c r="AO80" i="1"/>
  <c r="AP80" i="1"/>
  <c r="AQ80" i="1"/>
  <c r="AS80" i="1"/>
  <c r="AT80" i="1"/>
  <c r="AU80" i="1"/>
  <c r="AV80" i="1"/>
  <c r="AW80" i="1"/>
  <c r="AX80" i="1"/>
  <c r="AL81" i="1"/>
  <c r="AM81" i="1"/>
  <c r="AN81" i="1"/>
  <c r="AO81" i="1"/>
  <c r="AP81" i="1"/>
  <c r="AQ81" i="1"/>
  <c r="AS81" i="1"/>
  <c r="AT81" i="1"/>
  <c r="AU81" i="1"/>
  <c r="AV81" i="1"/>
  <c r="AW81" i="1"/>
  <c r="AX81" i="1"/>
  <c r="AL82" i="1"/>
  <c r="AM82" i="1"/>
  <c r="AN82" i="1"/>
  <c r="AO82" i="1"/>
  <c r="AP82" i="1"/>
  <c r="AQ82" i="1"/>
  <c r="AS82" i="1"/>
  <c r="AT82" i="1"/>
  <c r="AU82" i="1"/>
  <c r="AV82" i="1"/>
  <c r="AW82" i="1"/>
  <c r="AX82" i="1"/>
  <c r="AL83" i="1"/>
  <c r="AM83" i="1"/>
  <c r="AN83" i="1"/>
  <c r="AO83" i="1"/>
  <c r="AP83" i="1"/>
  <c r="AQ83" i="1"/>
  <c r="AS83" i="1"/>
  <c r="AT83" i="1"/>
  <c r="AU83" i="1"/>
  <c r="AV83" i="1"/>
  <c r="AW83" i="1"/>
  <c r="AX83" i="1"/>
  <c r="N147" i="1"/>
  <c r="O147" i="1"/>
  <c r="P147" i="1"/>
  <c r="Q147" i="1"/>
  <c r="R147" i="1"/>
  <c r="S147" i="1"/>
  <c r="T147" i="1"/>
  <c r="V147" i="1"/>
  <c r="W147" i="1"/>
  <c r="X147" i="1"/>
  <c r="Y147" i="1"/>
  <c r="Z147" i="1"/>
  <c r="AA147" i="1"/>
  <c r="N148" i="1"/>
  <c r="O148" i="1"/>
  <c r="P148" i="1"/>
  <c r="Q148" i="1"/>
  <c r="R148" i="1"/>
  <c r="S148" i="1"/>
  <c r="T148" i="1"/>
  <c r="V148" i="1"/>
  <c r="W148" i="1"/>
  <c r="X148" i="1"/>
  <c r="Y148" i="1"/>
  <c r="Z148" i="1"/>
  <c r="AA148" i="1"/>
  <c r="N149" i="1"/>
  <c r="O149" i="1"/>
  <c r="P149" i="1"/>
  <c r="Q149" i="1"/>
  <c r="R149" i="1"/>
  <c r="S149" i="1"/>
  <c r="T149" i="1"/>
  <c r="V149" i="1"/>
  <c r="W149" i="1"/>
  <c r="X149" i="1"/>
  <c r="Y149" i="1"/>
  <c r="Z149" i="1"/>
  <c r="AA149" i="1"/>
  <c r="N150" i="1"/>
  <c r="O150" i="1"/>
  <c r="P150" i="1"/>
  <c r="Q150" i="1"/>
  <c r="R150" i="1"/>
  <c r="S150" i="1"/>
  <c r="T150" i="1"/>
  <c r="V150" i="1"/>
  <c r="W150" i="1"/>
  <c r="X150" i="1"/>
  <c r="Y150" i="1"/>
  <c r="Z150" i="1"/>
  <c r="AA150" i="1"/>
  <c r="N151" i="1"/>
  <c r="O151" i="1"/>
  <c r="P151" i="1"/>
  <c r="Q151" i="1"/>
  <c r="R151" i="1"/>
  <c r="S151" i="1"/>
  <c r="T151" i="1"/>
  <c r="V151" i="1"/>
  <c r="W151" i="1"/>
  <c r="X151" i="1"/>
  <c r="Y151" i="1"/>
  <c r="Z151" i="1"/>
  <c r="AA151" i="1"/>
  <c r="N152" i="1"/>
  <c r="O152" i="1"/>
  <c r="P152" i="1"/>
  <c r="Q152" i="1"/>
  <c r="R152" i="1"/>
  <c r="S152" i="1"/>
  <c r="T152" i="1"/>
  <c r="V152" i="1"/>
  <c r="W152" i="1"/>
  <c r="X152" i="1"/>
  <c r="Y152" i="1"/>
  <c r="Z152" i="1"/>
  <c r="AA152" i="1"/>
  <c r="N153" i="1"/>
  <c r="O153" i="1"/>
  <c r="P153" i="1"/>
  <c r="Q153" i="1"/>
  <c r="R153" i="1"/>
  <c r="S153" i="1"/>
  <c r="T153" i="1"/>
  <c r="V153" i="1"/>
  <c r="W153" i="1"/>
  <c r="X153" i="1"/>
  <c r="Y153" i="1"/>
  <c r="Z153" i="1"/>
  <c r="AA153" i="1"/>
  <c r="N154" i="1"/>
  <c r="O154" i="1"/>
  <c r="P154" i="1"/>
  <c r="Q154" i="1"/>
  <c r="R154" i="1"/>
  <c r="S154" i="1"/>
  <c r="T154" i="1"/>
  <c r="V154" i="1"/>
  <c r="W154" i="1"/>
  <c r="X154" i="1"/>
  <c r="Y154" i="1"/>
  <c r="Z154" i="1"/>
  <c r="AA154" i="1"/>
  <c r="N155" i="1"/>
  <c r="O155" i="1"/>
  <c r="P155" i="1"/>
  <c r="Q155" i="1"/>
  <c r="R155" i="1"/>
  <c r="S155" i="1"/>
  <c r="T155" i="1"/>
  <c r="V155" i="1"/>
  <c r="W155" i="1"/>
  <c r="X155" i="1"/>
  <c r="Y155" i="1"/>
  <c r="Z155" i="1"/>
  <c r="AA155" i="1"/>
  <c r="N156" i="1"/>
  <c r="O156" i="1"/>
  <c r="P156" i="1"/>
  <c r="Q156" i="1"/>
  <c r="R156" i="1"/>
  <c r="S156" i="1"/>
  <c r="T156" i="1"/>
  <c r="V156" i="1"/>
  <c r="W156" i="1"/>
  <c r="X156" i="1"/>
  <c r="Y156" i="1"/>
  <c r="Z156" i="1"/>
  <c r="AA156" i="1"/>
  <c r="N157" i="1"/>
  <c r="O157" i="1"/>
  <c r="P157" i="1"/>
  <c r="Q157" i="1"/>
  <c r="R157" i="1"/>
  <c r="S157" i="1"/>
  <c r="T157" i="1"/>
  <c r="V157" i="1"/>
  <c r="W157" i="1"/>
  <c r="X157" i="1"/>
  <c r="Y157" i="1"/>
  <c r="Z157" i="1"/>
  <c r="AA157" i="1"/>
  <c r="N158" i="1"/>
  <c r="O158" i="1"/>
  <c r="P158" i="1"/>
  <c r="Q158" i="1"/>
  <c r="R158" i="1"/>
  <c r="S158" i="1"/>
  <c r="T158" i="1"/>
  <c r="V158" i="1"/>
  <c r="W158" i="1"/>
  <c r="X158" i="1"/>
  <c r="Y158" i="1"/>
  <c r="Z158" i="1"/>
  <c r="AA158" i="1"/>
  <c r="N159" i="1"/>
  <c r="O159" i="1"/>
  <c r="P159" i="1"/>
  <c r="Q159" i="1"/>
  <c r="R159" i="1"/>
  <c r="S159" i="1"/>
  <c r="T159" i="1"/>
  <c r="V159" i="1"/>
  <c r="W159" i="1"/>
  <c r="X159" i="1"/>
  <c r="Y159" i="1"/>
  <c r="Z159" i="1"/>
  <c r="AA159" i="1"/>
  <c r="N160" i="1"/>
  <c r="O160" i="1"/>
  <c r="P160" i="1"/>
  <c r="Q160" i="1"/>
  <c r="R160" i="1"/>
  <c r="S160" i="1"/>
  <c r="T160" i="1"/>
  <c r="V160" i="1"/>
  <c r="W160" i="1"/>
  <c r="X160" i="1"/>
  <c r="Y160" i="1"/>
  <c r="Z160" i="1"/>
  <c r="AA160" i="1"/>
  <c r="N161" i="1"/>
  <c r="O161" i="1"/>
  <c r="P161" i="1"/>
  <c r="Q161" i="1"/>
  <c r="R161" i="1"/>
  <c r="S161" i="1"/>
  <c r="T161" i="1"/>
  <c r="V161" i="1"/>
  <c r="W161" i="1"/>
  <c r="X161" i="1"/>
  <c r="Y161" i="1"/>
  <c r="Z161" i="1"/>
  <c r="AA161" i="1"/>
  <c r="N162" i="1"/>
  <c r="O162" i="1"/>
  <c r="P162" i="1"/>
  <c r="Q162" i="1"/>
  <c r="R162" i="1"/>
  <c r="S162" i="1"/>
  <c r="T162" i="1"/>
  <c r="V162" i="1"/>
  <c r="W162" i="1"/>
  <c r="X162" i="1"/>
  <c r="Y162" i="1"/>
  <c r="Z162" i="1"/>
  <c r="AA162" i="1"/>
  <c r="N163" i="1"/>
  <c r="O163" i="1"/>
  <c r="P163" i="1"/>
  <c r="Q163" i="1"/>
  <c r="R163" i="1"/>
  <c r="S163" i="1"/>
  <c r="T163" i="1"/>
  <c r="V163" i="1"/>
  <c r="W163" i="1"/>
  <c r="X163" i="1"/>
  <c r="Y163" i="1"/>
  <c r="Z163" i="1"/>
  <c r="AA163" i="1"/>
  <c r="N114" i="1"/>
  <c r="O114" i="1"/>
  <c r="P114" i="1"/>
  <c r="Q114" i="1"/>
  <c r="R114" i="1"/>
  <c r="S114" i="1"/>
  <c r="T114" i="1"/>
  <c r="V114" i="1"/>
  <c r="W114" i="1"/>
  <c r="X114" i="1"/>
  <c r="Y114" i="1"/>
  <c r="Z114" i="1"/>
  <c r="AA114" i="1"/>
  <c r="N115" i="1"/>
  <c r="O115" i="1"/>
  <c r="P115" i="1"/>
  <c r="Q115" i="1"/>
  <c r="R115" i="1"/>
  <c r="S115" i="1"/>
  <c r="T115" i="1"/>
  <c r="V115" i="1"/>
  <c r="W115" i="1"/>
  <c r="X115" i="1"/>
  <c r="Y115" i="1"/>
  <c r="Z115" i="1"/>
  <c r="AA115" i="1"/>
  <c r="N116" i="1"/>
  <c r="O116" i="1"/>
  <c r="P116" i="1"/>
  <c r="Q116" i="1"/>
  <c r="R116" i="1"/>
  <c r="S116" i="1"/>
  <c r="T116" i="1"/>
  <c r="V116" i="1"/>
  <c r="W116" i="1"/>
  <c r="X116" i="1"/>
  <c r="Y116" i="1"/>
  <c r="Z116" i="1"/>
  <c r="AA116" i="1"/>
  <c r="N117" i="1"/>
  <c r="O117" i="1"/>
  <c r="P117" i="1"/>
  <c r="Q117" i="1"/>
  <c r="R117" i="1"/>
  <c r="S117" i="1"/>
  <c r="T117" i="1"/>
  <c r="V117" i="1"/>
  <c r="W117" i="1"/>
  <c r="X117" i="1"/>
  <c r="Y117" i="1"/>
  <c r="Z117" i="1"/>
  <c r="AA117" i="1"/>
  <c r="N118" i="1"/>
  <c r="O118" i="1"/>
  <c r="P118" i="1"/>
  <c r="Q118" i="1"/>
  <c r="R118" i="1"/>
  <c r="S118" i="1"/>
  <c r="T118" i="1"/>
  <c r="V118" i="1"/>
  <c r="W118" i="1"/>
  <c r="X118" i="1"/>
  <c r="Y118" i="1"/>
  <c r="Z118" i="1"/>
  <c r="AA118" i="1"/>
  <c r="N119" i="1"/>
  <c r="O119" i="1"/>
  <c r="P119" i="1"/>
  <c r="Q119" i="1"/>
  <c r="R119" i="1"/>
  <c r="S119" i="1"/>
  <c r="T119" i="1"/>
  <c r="V119" i="1"/>
  <c r="W119" i="1"/>
  <c r="X119" i="1"/>
  <c r="Y119" i="1"/>
  <c r="Z119" i="1"/>
  <c r="AA119" i="1"/>
  <c r="N120" i="1"/>
  <c r="O120" i="1"/>
  <c r="P120" i="1"/>
  <c r="Q120" i="1"/>
  <c r="R120" i="1"/>
  <c r="S120" i="1"/>
  <c r="T120" i="1"/>
  <c r="V120" i="1"/>
  <c r="W120" i="1"/>
  <c r="X120" i="1"/>
  <c r="Y120" i="1"/>
  <c r="Z120" i="1"/>
  <c r="AA120" i="1"/>
  <c r="N121" i="1"/>
  <c r="O121" i="1"/>
  <c r="P121" i="1"/>
  <c r="Q121" i="1"/>
  <c r="R121" i="1"/>
  <c r="S121" i="1"/>
  <c r="T121" i="1"/>
  <c r="V121" i="1"/>
  <c r="W121" i="1"/>
  <c r="X121" i="1"/>
  <c r="Y121" i="1"/>
  <c r="Z121" i="1"/>
  <c r="AA121" i="1"/>
  <c r="N122" i="1"/>
  <c r="O122" i="1"/>
  <c r="P122" i="1"/>
  <c r="Q122" i="1"/>
  <c r="R122" i="1"/>
  <c r="S122" i="1"/>
  <c r="T122" i="1"/>
  <c r="V122" i="1"/>
  <c r="W122" i="1"/>
  <c r="X122" i="1"/>
  <c r="Y122" i="1"/>
  <c r="Z122" i="1"/>
  <c r="AA122" i="1"/>
  <c r="N123" i="1"/>
  <c r="O123" i="1"/>
  <c r="P123" i="1"/>
  <c r="Q123" i="1"/>
  <c r="R123" i="1"/>
  <c r="S123" i="1"/>
  <c r="T123" i="1"/>
  <c r="V123" i="1"/>
  <c r="W123" i="1"/>
  <c r="X123" i="1"/>
  <c r="Y123" i="1"/>
  <c r="Z123" i="1"/>
  <c r="AA123" i="1"/>
  <c r="N124" i="1"/>
  <c r="O124" i="1"/>
  <c r="P124" i="1"/>
  <c r="Q124" i="1"/>
  <c r="R124" i="1"/>
  <c r="S124" i="1"/>
  <c r="T124" i="1"/>
  <c r="V124" i="1"/>
  <c r="W124" i="1"/>
  <c r="X124" i="1"/>
  <c r="Y124" i="1"/>
  <c r="Z124" i="1"/>
  <c r="AA124" i="1"/>
  <c r="N125" i="1"/>
  <c r="O125" i="1"/>
  <c r="P125" i="1"/>
  <c r="Q125" i="1"/>
  <c r="R125" i="1"/>
  <c r="S125" i="1"/>
  <c r="T125" i="1"/>
  <c r="V125" i="1"/>
  <c r="W125" i="1"/>
  <c r="X125" i="1"/>
  <c r="Y125" i="1"/>
  <c r="Z125" i="1"/>
  <c r="AA125" i="1"/>
  <c r="N126" i="1"/>
  <c r="O126" i="1"/>
  <c r="P126" i="1"/>
  <c r="Q126" i="1"/>
  <c r="R126" i="1"/>
  <c r="S126" i="1"/>
  <c r="T126" i="1"/>
  <c r="V126" i="1"/>
  <c r="W126" i="1"/>
  <c r="X126" i="1"/>
  <c r="Y126" i="1"/>
  <c r="Z126" i="1"/>
  <c r="AA126" i="1"/>
  <c r="N127" i="1"/>
  <c r="O127" i="1"/>
  <c r="P127" i="1"/>
  <c r="Q127" i="1"/>
  <c r="R127" i="1"/>
  <c r="S127" i="1"/>
  <c r="T127" i="1"/>
  <c r="V127" i="1"/>
  <c r="W127" i="1"/>
  <c r="X127" i="1"/>
  <c r="Y127" i="1"/>
  <c r="Z127" i="1"/>
  <c r="AA127" i="1"/>
  <c r="N128" i="1"/>
  <c r="O128" i="1"/>
  <c r="P128" i="1"/>
  <c r="Q128" i="1"/>
  <c r="R128" i="1"/>
  <c r="S128" i="1"/>
  <c r="T128" i="1"/>
  <c r="V128" i="1"/>
  <c r="W128" i="1"/>
  <c r="X128" i="1"/>
  <c r="Y128" i="1"/>
  <c r="Z128" i="1"/>
  <c r="AA128" i="1"/>
  <c r="N129" i="1"/>
  <c r="O129" i="1"/>
  <c r="P129" i="1"/>
  <c r="Q129" i="1"/>
  <c r="R129" i="1"/>
  <c r="S129" i="1"/>
  <c r="T129" i="1"/>
  <c r="V129" i="1"/>
  <c r="W129" i="1"/>
  <c r="X129" i="1"/>
  <c r="Y129" i="1"/>
  <c r="Z129" i="1"/>
  <c r="AA129" i="1"/>
  <c r="N130" i="1"/>
  <c r="O130" i="1"/>
  <c r="P130" i="1"/>
  <c r="Q130" i="1"/>
  <c r="R130" i="1"/>
  <c r="S130" i="1"/>
  <c r="T130" i="1"/>
  <c r="V130" i="1"/>
  <c r="W130" i="1"/>
  <c r="X130" i="1"/>
  <c r="Y130" i="1"/>
  <c r="Z130" i="1"/>
  <c r="AA130" i="1"/>
  <c r="N131" i="1"/>
  <c r="O131" i="1"/>
  <c r="P131" i="1"/>
  <c r="Q131" i="1"/>
  <c r="R131" i="1"/>
  <c r="S131" i="1"/>
  <c r="T131" i="1"/>
  <c r="V131" i="1"/>
  <c r="W131" i="1"/>
  <c r="X131" i="1"/>
  <c r="Y131" i="1"/>
  <c r="Z131" i="1"/>
  <c r="AA131" i="1"/>
  <c r="N132" i="1"/>
  <c r="O132" i="1"/>
  <c r="P132" i="1"/>
  <c r="Q132" i="1"/>
  <c r="R132" i="1"/>
  <c r="S132" i="1"/>
  <c r="T132" i="1"/>
  <c r="V132" i="1"/>
  <c r="W132" i="1"/>
  <c r="X132" i="1"/>
  <c r="Y132" i="1"/>
  <c r="Z132" i="1"/>
  <c r="AA132" i="1"/>
  <c r="N133" i="1"/>
  <c r="O133" i="1"/>
  <c r="P133" i="1"/>
  <c r="Q133" i="1"/>
  <c r="R133" i="1"/>
  <c r="S133" i="1"/>
  <c r="T133" i="1"/>
  <c r="V133" i="1"/>
  <c r="W133" i="1"/>
  <c r="X133" i="1"/>
  <c r="Y133" i="1"/>
  <c r="Z133" i="1"/>
  <c r="AA133" i="1"/>
  <c r="N134" i="1"/>
  <c r="O134" i="1"/>
  <c r="P134" i="1"/>
  <c r="Q134" i="1"/>
  <c r="R134" i="1"/>
  <c r="S134" i="1"/>
  <c r="T134" i="1"/>
  <c r="V134" i="1"/>
  <c r="W134" i="1"/>
  <c r="X134" i="1"/>
  <c r="Y134" i="1"/>
  <c r="Z134" i="1"/>
  <c r="AA134" i="1"/>
  <c r="N135" i="1"/>
  <c r="O135" i="1"/>
  <c r="P135" i="1"/>
  <c r="Q135" i="1"/>
  <c r="R135" i="1"/>
  <c r="S135" i="1"/>
  <c r="T135" i="1"/>
  <c r="V135" i="1"/>
  <c r="W135" i="1"/>
  <c r="X135" i="1"/>
  <c r="Y135" i="1"/>
  <c r="Z135" i="1"/>
  <c r="AA135" i="1"/>
  <c r="N136" i="1"/>
  <c r="O136" i="1"/>
  <c r="P136" i="1"/>
  <c r="Q136" i="1"/>
  <c r="R136" i="1"/>
  <c r="S136" i="1"/>
  <c r="T136" i="1"/>
  <c r="V136" i="1"/>
  <c r="W136" i="1"/>
  <c r="X136" i="1"/>
  <c r="Y136" i="1"/>
  <c r="Z136" i="1"/>
  <c r="AA136" i="1"/>
  <c r="N137" i="1"/>
  <c r="O137" i="1"/>
  <c r="P137" i="1"/>
  <c r="Q137" i="1"/>
  <c r="R137" i="1"/>
  <c r="S137" i="1"/>
  <c r="T137" i="1"/>
  <c r="V137" i="1"/>
  <c r="W137" i="1"/>
  <c r="X137" i="1"/>
  <c r="Y137" i="1"/>
  <c r="Z137" i="1"/>
  <c r="AA137" i="1"/>
  <c r="N138" i="1"/>
  <c r="O138" i="1"/>
  <c r="P138" i="1"/>
  <c r="Q138" i="1"/>
  <c r="R138" i="1"/>
  <c r="S138" i="1"/>
  <c r="T138" i="1"/>
  <c r="V138" i="1"/>
  <c r="W138" i="1"/>
  <c r="X138" i="1"/>
  <c r="Y138" i="1"/>
  <c r="Z138" i="1"/>
  <c r="AA138" i="1"/>
  <c r="N139" i="1"/>
  <c r="O139" i="1"/>
  <c r="P139" i="1"/>
  <c r="Q139" i="1"/>
  <c r="R139" i="1"/>
  <c r="S139" i="1"/>
  <c r="T139" i="1"/>
  <c r="V139" i="1"/>
  <c r="W139" i="1"/>
  <c r="X139" i="1"/>
  <c r="Y139" i="1"/>
  <c r="Z139" i="1"/>
  <c r="AA139" i="1"/>
  <c r="N140" i="1"/>
  <c r="O140" i="1"/>
  <c r="P140" i="1"/>
  <c r="Q140" i="1"/>
  <c r="R140" i="1"/>
  <c r="S140" i="1"/>
  <c r="T140" i="1"/>
  <c r="V140" i="1"/>
  <c r="W140" i="1"/>
  <c r="X140" i="1"/>
  <c r="Y140" i="1"/>
  <c r="Z140" i="1"/>
  <c r="AA140" i="1"/>
  <c r="N141" i="1"/>
  <c r="O141" i="1"/>
  <c r="P141" i="1"/>
  <c r="Q141" i="1"/>
  <c r="R141" i="1"/>
  <c r="S141" i="1"/>
  <c r="T141" i="1"/>
  <c r="V141" i="1"/>
  <c r="W141" i="1"/>
  <c r="X141" i="1"/>
  <c r="Y141" i="1"/>
  <c r="Z141" i="1"/>
  <c r="AA141" i="1"/>
  <c r="N142" i="1"/>
  <c r="O142" i="1"/>
  <c r="P142" i="1"/>
  <c r="Q142" i="1"/>
  <c r="R142" i="1"/>
  <c r="S142" i="1"/>
  <c r="T142" i="1"/>
  <c r="V142" i="1"/>
  <c r="W142" i="1"/>
  <c r="X142" i="1"/>
  <c r="Y142" i="1"/>
  <c r="Z142" i="1"/>
  <c r="AA142" i="1"/>
  <c r="N143" i="1"/>
  <c r="O143" i="1"/>
  <c r="P143" i="1"/>
  <c r="Q143" i="1"/>
  <c r="R143" i="1"/>
  <c r="S143" i="1"/>
  <c r="T143" i="1"/>
  <c r="V143" i="1"/>
  <c r="W143" i="1"/>
  <c r="X143" i="1"/>
  <c r="Y143" i="1"/>
  <c r="Z143" i="1"/>
  <c r="AA143" i="1"/>
  <c r="N144" i="1"/>
  <c r="O144" i="1"/>
  <c r="P144" i="1"/>
  <c r="Q144" i="1"/>
  <c r="R144" i="1"/>
  <c r="S144" i="1"/>
  <c r="T144" i="1"/>
  <c r="V144" i="1"/>
  <c r="W144" i="1"/>
  <c r="X144" i="1"/>
  <c r="Y144" i="1"/>
  <c r="Z144" i="1"/>
  <c r="AA144" i="1"/>
  <c r="N145" i="1"/>
  <c r="O145" i="1"/>
  <c r="P145" i="1"/>
  <c r="Q145" i="1"/>
  <c r="R145" i="1"/>
  <c r="S145" i="1"/>
  <c r="T145" i="1"/>
  <c r="V145" i="1"/>
  <c r="W145" i="1"/>
  <c r="X145" i="1"/>
  <c r="Y145" i="1"/>
  <c r="Z145" i="1"/>
  <c r="AA145" i="1"/>
  <c r="N146" i="1"/>
  <c r="O146" i="1"/>
  <c r="P146" i="1"/>
  <c r="Q146" i="1"/>
  <c r="R146" i="1"/>
  <c r="S146" i="1"/>
  <c r="T146" i="1"/>
  <c r="V146" i="1"/>
  <c r="W146" i="1"/>
  <c r="X146" i="1"/>
  <c r="Y146" i="1"/>
  <c r="Z146" i="1"/>
  <c r="AA146" i="1"/>
  <c r="F160" i="1"/>
  <c r="G160" i="1"/>
  <c r="F161" i="1"/>
  <c r="G161" i="1"/>
  <c r="F162" i="1"/>
  <c r="G162" i="1"/>
  <c r="F153" i="1"/>
  <c r="G153" i="1"/>
  <c r="F154" i="1"/>
  <c r="G154" i="1"/>
  <c r="F155" i="1"/>
  <c r="G155" i="1"/>
  <c r="F156" i="1"/>
  <c r="G156" i="1"/>
  <c r="F157" i="1"/>
  <c r="G157" i="1"/>
  <c r="F158" i="1"/>
  <c r="G158" i="1"/>
  <c r="F159" i="1"/>
  <c r="G159" i="1"/>
  <c r="I74" i="1"/>
  <c r="J74" i="1"/>
  <c r="K74" i="1"/>
  <c r="I75" i="1"/>
  <c r="J75" i="1"/>
  <c r="K75" i="1"/>
  <c r="I76" i="1"/>
  <c r="J76" i="1"/>
  <c r="K76" i="1"/>
  <c r="I77" i="1"/>
  <c r="J77" i="1"/>
  <c r="K77" i="1"/>
  <c r="I78" i="1"/>
  <c r="J78" i="1"/>
  <c r="K78" i="1"/>
  <c r="I79" i="1"/>
  <c r="J79" i="1"/>
  <c r="K79" i="1"/>
  <c r="I80" i="1"/>
  <c r="J80" i="1"/>
  <c r="K80" i="1"/>
  <c r="I81" i="1"/>
  <c r="J81" i="1"/>
  <c r="K81" i="1"/>
  <c r="I82" i="1"/>
  <c r="J82" i="1"/>
  <c r="K82" i="1"/>
  <c r="I53" i="1"/>
  <c r="J53" i="1"/>
  <c r="K53" i="1"/>
  <c r="I54" i="1"/>
  <c r="J54" i="1"/>
  <c r="K54" i="1"/>
  <c r="I55" i="1"/>
  <c r="J55" i="1"/>
  <c r="K55" i="1"/>
  <c r="I56" i="1"/>
  <c r="J56" i="1"/>
  <c r="K56" i="1"/>
  <c r="I57" i="1"/>
  <c r="J57" i="1"/>
  <c r="K57" i="1"/>
  <c r="I58" i="1"/>
  <c r="J58" i="1"/>
  <c r="K58" i="1"/>
  <c r="I59" i="1"/>
  <c r="J59" i="1"/>
  <c r="K59" i="1"/>
  <c r="I60" i="1"/>
  <c r="J60" i="1"/>
  <c r="K60" i="1"/>
  <c r="I61" i="1"/>
  <c r="J61" i="1"/>
  <c r="K61" i="1"/>
  <c r="I62" i="1"/>
  <c r="J62" i="1"/>
  <c r="K62" i="1"/>
  <c r="I63" i="1"/>
  <c r="J63" i="1"/>
  <c r="K63" i="1"/>
  <c r="I64" i="1"/>
  <c r="J64" i="1"/>
  <c r="K64" i="1"/>
  <c r="I65" i="1"/>
  <c r="J65" i="1"/>
  <c r="K65" i="1"/>
  <c r="I66" i="1"/>
  <c r="J66" i="1"/>
  <c r="K66" i="1"/>
  <c r="I67" i="1"/>
  <c r="J67" i="1"/>
  <c r="K67" i="1"/>
  <c r="I68" i="1"/>
  <c r="J68" i="1"/>
  <c r="K68" i="1"/>
  <c r="I69" i="1"/>
  <c r="J69" i="1"/>
  <c r="K69" i="1"/>
  <c r="I70" i="1"/>
  <c r="J70" i="1"/>
  <c r="K70" i="1"/>
  <c r="I71" i="1"/>
  <c r="J71" i="1"/>
  <c r="K71" i="1"/>
  <c r="I72" i="1"/>
  <c r="J72" i="1"/>
  <c r="K72" i="1"/>
  <c r="I73" i="1"/>
  <c r="J73" i="1"/>
  <c r="K73" i="1"/>
  <c r="C99" i="4"/>
  <c r="E99" i="4"/>
  <c r="G99" i="4"/>
  <c r="H99" i="4"/>
  <c r="K99" i="4"/>
  <c r="M99" i="4"/>
  <c r="N99" i="4"/>
  <c r="O99" i="4"/>
  <c r="P99" i="4"/>
  <c r="Q99" i="4"/>
  <c r="C100" i="4"/>
  <c r="E100" i="4"/>
  <c r="G100" i="4"/>
  <c r="H100" i="4"/>
  <c r="K100" i="4"/>
  <c r="M100" i="4"/>
  <c r="N100" i="4"/>
  <c r="O100" i="4"/>
  <c r="P100" i="4"/>
  <c r="Q100" i="4"/>
  <c r="CF139" i="4" l="1"/>
  <c r="CO139" i="4"/>
  <c r="CO127" i="4"/>
  <c r="CF127" i="4"/>
  <c r="CF153" i="4"/>
  <c r="CO153" i="4"/>
  <c r="CF147" i="4"/>
  <c r="CO147" i="4"/>
  <c r="CO138" i="4"/>
  <c r="CF138" i="4"/>
  <c r="CO126" i="4"/>
  <c r="CF126" i="4"/>
  <c r="CF164" i="4"/>
  <c r="CO164" i="4"/>
  <c r="CO152" i="4"/>
  <c r="CF152" i="4"/>
  <c r="CF137" i="4"/>
  <c r="CO137" i="4"/>
  <c r="CF125" i="4"/>
  <c r="CO125" i="4"/>
  <c r="CO163" i="4"/>
  <c r="CF163" i="4"/>
  <c r="CO151" i="4"/>
  <c r="CF151" i="4"/>
  <c r="CF149" i="4"/>
  <c r="CO149" i="4"/>
  <c r="CF136" i="4"/>
  <c r="CO136" i="4"/>
  <c r="CO124" i="4"/>
  <c r="CF124" i="4"/>
  <c r="CF162" i="4"/>
  <c r="CO162" i="4"/>
  <c r="CO150" i="4"/>
  <c r="CF150" i="4"/>
  <c r="CO135" i="4"/>
  <c r="CF135" i="4"/>
  <c r="CO161" i="4"/>
  <c r="CF161" i="4"/>
  <c r="CF146" i="4"/>
  <c r="CO146" i="4"/>
  <c r="CO134" i="4"/>
  <c r="CF134" i="4"/>
  <c r="CF160" i="4"/>
  <c r="CO160" i="4"/>
  <c r="CO148" i="4"/>
  <c r="CF148" i="4"/>
  <c r="CO145" i="4"/>
  <c r="CF145" i="4"/>
  <c r="CF133" i="4"/>
  <c r="CO133" i="4"/>
  <c r="CF159" i="4"/>
  <c r="CO159" i="4"/>
  <c r="CO144" i="4"/>
  <c r="CF144" i="4"/>
  <c r="CO132" i="4"/>
  <c r="CF132" i="4"/>
  <c r="CO158" i="4"/>
  <c r="CF158" i="4"/>
  <c r="CF143" i="4"/>
  <c r="CO143" i="4"/>
  <c r="CO131" i="4"/>
  <c r="CF131" i="4"/>
  <c r="CO157" i="4"/>
  <c r="CF157" i="4"/>
  <c r="CO142" i="4"/>
  <c r="CF142" i="4"/>
  <c r="CF130" i="4"/>
  <c r="CO130" i="4"/>
  <c r="CF156" i="4"/>
  <c r="CO156" i="4"/>
  <c r="CF141" i="4"/>
  <c r="CO141" i="4"/>
  <c r="CF129" i="4"/>
  <c r="CO129" i="4"/>
  <c r="CF155" i="4"/>
  <c r="CO155" i="4"/>
  <c r="CO123" i="4"/>
  <c r="CO140" i="4"/>
  <c r="CF140" i="4"/>
  <c r="CF128" i="4"/>
  <c r="CO128" i="4"/>
  <c r="CO154" i="4"/>
  <c r="CF154" i="4"/>
  <c r="C5" i="3"/>
  <c r="D5" i="3"/>
  <c r="E5" i="3"/>
  <c r="F5" i="3"/>
  <c r="G5" i="3"/>
  <c r="C6" i="3"/>
  <c r="D6" i="3"/>
  <c r="E6" i="3"/>
  <c r="F6" i="3"/>
  <c r="G6" i="3"/>
  <c r="C7" i="3"/>
  <c r="D7" i="3"/>
  <c r="E7" i="3"/>
  <c r="F7" i="3"/>
  <c r="G7" i="3"/>
  <c r="C8" i="3"/>
  <c r="D8" i="3"/>
  <c r="E8" i="3"/>
  <c r="F8" i="3"/>
  <c r="G8" i="3"/>
  <c r="C9" i="3"/>
  <c r="D9" i="3"/>
  <c r="E9" i="3"/>
  <c r="F9" i="3"/>
  <c r="G9" i="3"/>
  <c r="D4" i="3"/>
  <c r="E4" i="3"/>
  <c r="F4" i="3"/>
  <c r="G4" i="3"/>
  <c r="C4" i="3"/>
  <c r="X104" i="4" l="1"/>
  <c r="X102" i="4"/>
  <c r="U101" i="4"/>
  <c r="W102" i="4"/>
  <c r="W103" i="4"/>
  <c r="W101" i="4"/>
  <c r="W104" i="4"/>
  <c r="V102" i="4"/>
  <c r="V101" i="4"/>
  <c r="V104" i="4"/>
  <c r="V103" i="4"/>
  <c r="U104" i="4"/>
  <c r="U102" i="4"/>
  <c r="U103" i="4"/>
  <c r="X103" i="4"/>
  <c r="X101" i="4"/>
  <c r="CP137" i="4"/>
  <c r="CP124" i="4"/>
  <c r="CP153" i="4"/>
  <c r="CP129" i="4"/>
  <c r="CP132" i="4"/>
  <c r="CP151" i="4"/>
  <c r="CP126" i="4"/>
  <c r="CP139" i="4"/>
  <c r="CP158" i="4"/>
  <c r="CP133" i="4"/>
  <c r="CP128" i="4"/>
  <c r="CP160" i="4"/>
  <c r="CP150" i="4"/>
  <c r="CP138" i="4"/>
  <c r="CP155" i="4"/>
  <c r="CP136" i="4"/>
  <c r="CP152" i="4"/>
  <c r="CP149" i="4"/>
  <c r="CP164" i="4"/>
  <c r="CP127" i="4"/>
  <c r="CP156" i="4"/>
  <c r="CP159" i="4"/>
  <c r="CP125" i="4"/>
  <c r="CP147" i="4"/>
  <c r="CP141" i="4"/>
  <c r="CP144" i="4"/>
  <c r="CP163" i="4"/>
  <c r="CP140" i="4"/>
  <c r="CP131" i="4"/>
  <c r="CP162" i="4"/>
  <c r="CP143" i="4"/>
  <c r="CP130" i="4"/>
  <c r="CP146" i="4"/>
  <c r="CP134" i="4"/>
  <c r="CP154" i="4"/>
  <c r="CP142" i="4"/>
  <c r="CP145" i="4"/>
  <c r="CP161" i="4"/>
  <c r="CP157" i="4"/>
  <c r="CP148" i="4"/>
  <c r="CP135" i="4"/>
  <c r="T100" i="4"/>
  <c r="T99" i="4"/>
  <c r="S69" i="5"/>
  <c r="U159" i="5"/>
  <c r="Y21" i="2"/>
  <c r="X49" i="2"/>
  <c r="V81" i="5"/>
  <c r="U62" i="5"/>
  <c r="T92" i="5"/>
  <c r="Y27" i="2"/>
  <c r="X11" i="2"/>
  <c r="V7" i="5"/>
  <c r="V37" i="2"/>
  <c r="S142" i="5"/>
  <c r="S129" i="5"/>
  <c r="X26" i="2"/>
  <c r="U141" i="5"/>
  <c r="T62" i="5"/>
  <c r="S21" i="5"/>
  <c r="U137" i="5"/>
  <c r="V70" i="2"/>
  <c r="Y22" i="2"/>
  <c r="X31" i="2"/>
  <c r="U132" i="5"/>
  <c r="V58" i="2"/>
  <c r="T12" i="5"/>
  <c r="S147" i="5"/>
  <c r="U86" i="5"/>
  <c r="Y45" i="2"/>
  <c r="U105" i="5"/>
  <c r="V115" i="5"/>
  <c r="U76" i="5"/>
  <c r="T44" i="5"/>
  <c r="W66" i="5"/>
  <c r="W79" i="2"/>
  <c r="X63" i="2"/>
  <c r="W5" i="2"/>
  <c r="Y20" i="2"/>
  <c r="V89" i="2"/>
  <c r="U106" i="5"/>
  <c r="T14" i="5"/>
  <c r="S154" i="5"/>
  <c r="V100" i="5"/>
  <c r="T20" i="5"/>
  <c r="U44" i="5"/>
  <c r="W106" i="5"/>
  <c r="U78" i="5"/>
  <c r="V64" i="5"/>
  <c r="T77" i="5"/>
  <c r="S93" i="5"/>
  <c r="V151" i="5"/>
  <c r="X79" i="2"/>
  <c r="S18" i="5"/>
  <c r="Y54" i="2"/>
  <c r="T114" i="5"/>
  <c r="V43" i="5"/>
  <c r="V78" i="2"/>
  <c r="S104" i="5"/>
  <c r="S108" i="5"/>
  <c r="U113" i="5"/>
  <c r="W105" i="5"/>
  <c r="V84" i="5"/>
  <c r="T103" i="5"/>
  <c r="S156" i="5"/>
  <c r="S145" i="5"/>
  <c r="W32" i="2"/>
  <c r="W67" i="5"/>
  <c r="V33" i="5"/>
  <c r="V63" i="5"/>
  <c r="U68" i="5"/>
  <c r="U21" i="5"/>
  <c r="W35" i="2"/>
  <c r="Y78" i="2"/>
  <c r="U143" i="5"/>
  <c r="V79" i="5"/>
  <c r="V50" i="2"/>
  <c r="W53" i="5"/>
  <c r="S9" i="5"/>
  <c r="W25" i="2"/>
  <c r="Y76" i="2"/>
  <c r="Y28" i="2"/>
  <c r="U19" i="5"/>
  <c r="V36" i="5"/>
  <c r="V6" i="2"/>
  <c r="Y24" i="2"/>
  <c r="S149" i="5"/>
  <c r="W63" i="2"/>
  <c r="U17" i="5"/>
  <c r="S77" i="5"/>
  <c r="V50" i="5"/>
  <c r="W65" i="2"/>
  <c r="W149" i="5"/>
  <c r="T99" i="5"/>
  <c r="V104" i="5"/>
  <c r="T113" i="5"/>
  <c r="W30" i="5"/>
  <c r="X51" i="2"/>
  <c r="T131" i="5"/>
  <c r="V15" i="2"/>
  <c r="V86" i="5"/>
  <c r="V11" i="2"/>
  <c r="S132" i="5"/>
  <c r="S91" i="5"/>
  <c r="U50" i="5"/>
  <c r="W117" i="5"/>
  <c r="V26" i="5"/>
  <c r="U22" i="5"/>
  <c r="U11" i="5"/>
  <c r="W61" i="5"/>
  <c r="V69" i="5"/>
  <c r="V68" i="5"/>
  <c r="V74" i="2"/>
  <c r="W54" i="5"/>
  <c r="T13" i="5"/>
  <c r="U74" i="5"/>
  <c r="W91" i="5"/>
  <c r="W88" i="2"/>
  <c r="S98" i="5"/>
  <c r="T66" i="5"/>
  <c r="Y60" i="2"/>
  <c r="S134" i="5"/>
  <c r="U10" i="5"/>
  <c r="W110" i="5"/>
  <c r="U128" i="5"/>
  <c r="V147" i="5"/>
  <c r="X87" i="2"/>
  <c r="X84" i="2"/>
  <c r="F5" i="2"/>
  <c r="S135" i="5"/>
  <c r="U20" i="5"/>
  <c r="E6" i="2"/>
  <c r="V73" i="5"/>
  <c r="W46" i="2"/>
  <c r="V14" i="5"/>
  <c r="X47" i="2"/>
  <c r="V153" i="5"/>
  <c r="S46" i="5"/>
  <c r="W47" i="2"/>
  <c r="W36" i="5"/>
  <c r="U69" i="5"/>
  <c r="V11" i="5"/>
  <c r="U103" i="5"/>
  <c r="U61" i="5"/>
  <c r="W162" i="5"/>
  <c r="V112" i="5"/>
  <c r="V41" i="2"/>
  <c r="W84" i="5"/>
  <c r="T127" i="5"/>
  <c r="S59" i="5"/>
  <c r="W30" i="2"/>
  <c r="Y40" i="2"/>
  <c r="W129" i="5"/>
  <c r="V60" i="2"/>
  <c r="Y23" i="2"/>
  <c r="X60" i="2"/>
  <c r="T164" i="5"/>
  <c r="V92" i="2"/>
  <c r="S5" i="5"/>
  <c r="U125" i="5"/>
  <c r="T10" i="5"/>
  <c r="W22" i="5"/>
  <c r="W75" i="5"/>
  <c r="Y160" i="5"/>
  <c r="Y75" i="2"/>
  <c r="X89" i="2"/>
  <c r="V77" i="2"/>
  <c r="W118" i="5"/>
  <c r="S152" i="5"/>
  <c r="W24" i="2"/>
  <c r="T26" i="5"/>
  <c r="V148" i="5"/>
  <c r="V87" i="2"/>
  <c r="S24" i="5"/>
  <c r="T154" i="5"/>
  <c r="W49" i="5"/>
  <c r="S68" i="5"/>
  <c r="U80" i="5"/>
  <c r="T130" i="5"/>
  <c r="V152" i="5"/>
  <c r="V163" i="5"/>
  <c r="U57" i="5"/>
  <c r="V28" i="2"/>
  <c r="S106" i="5"/>
  <c r="U49" i="5"/>
  <c r="V90" i="2"/>
  <c r="V143" i="5"/>
  <c r="X62" i="2"/>
  <c r="U26" i="5"/>
  <c r="Y62" i="2"/>
  <c r="W14" i="2"/>
  <c r="S57" i="5"/>
  <c r="V127" i="5"/>
  <c r="W77" i="2"/>
  <c r="W16" i="5"/>
  <c r="T42" i="5"/>
  <c r="U24" i="5"/>
  <c r="T76" i="5"/>
  <c r="W116" i="5"/>
  <c r="X82" i="2"/>
  <c r="V33" i="2"/>
  <c r="W41" i="5"/>
  <c r="V65" i="2"/>
  <c r="W86" i="2"/>
  <c r="T120" i="5"/>
  <c r="W143" i="5"/>
  <c r="S71" i="5"/>
  <c r="T136" i="5"/>
  <c r="W155" i="5"/>
  <c r="Y56" i="2"/>
  <c r="X61" i="2"/>
  <c r="V72" i="5"/>
  <c r="T152" i="5"/>
  <c r="Y34" i="2"/>
  <c r="S32" i="5"/>
  <c r="W89" i="2"/>
  <c r="T134" i="5"/>
  <c r="T145" i="5"/>
  <c r="F4" i="2"/>
  <c r="S79" i="5"/>
  <c r="U13" i="5"/>
  <c r="W134" i="5"/>
  <c r="V109" i="5"/>
  <c r="X68" i="2"/>
  <c r="T61" i="5"/>
  <c r="V71" i="5"/>
  <c r="S39" i="5"/>
  <c r="W42" i="2"/>
  <c r="W142" i="5"/>
  <c r="U96" i="5"/>
  <c r="V117" i="5"/>
  <c r="V83" i="2"/>
  <c r="Y162" i="5"/>
  <c r="S111" i="5"/>
  <c r="T95" i="5"/>
  <c r="S123" i="5"/>
  <c r="U124" i="5"/>
  <c r="W80" i="5"/>
  <c r="V150" i="5"/>
  <c r="V74" i="5"/>
  <c r="T65" i="5"/>
  <c r="W138" i="5"/>
  <c r="T98" i="5"/>
  <c r="S113" i="5"/>
  <c r="T83" i="5"/>
  <c r="T59" i="5"/>
  <c r="S40" i="5"/>
  <c r="S8" i="5"/>
  <c r="U14" i="5"/>
  <c r="W160" i="5"/>
  <c r="W20" i="5"/>
  <c r="T35" i="5"/>
  <c r="S124" i="5"/>
  <c r="U115" i="5"/>
  <c r="V98" i="5"/>
  <c r="V129" i="5"/>
  <c r="V71" i="2"/>
  <c r="W18" i="5"/>
  <c r="T163" i="5"/>
  <c r="S116" i="5"/>
  <c r="V85" i="5"/>
  <c r="T97" i="5"/>
  <c r="W73" i="2"/>
  <c r="X85" i="2"/>
  <c r="T30" i="5"/>
  <c r="V81" i="2"/>
  <c r="Y70" i="2"/>
  <c r="V29" i="5"/>
  <c r="U16" i="5"/>
  <c r="T119" i="5"/>
  <c r="S60" i="5"/>
  <c r="W5" i="5"/>
  <c r="T58" i="5"/>
  <c r="X64" i="2"/>
  <c r="V9" i="2"/>
  <c r="W24" i="5"/>
  <c r="S35" i="5"/>
  <c r="U18" i="5"/>
  <c r="U136" i="5"/>
  <c r="V37" i="5"/>
  <c r="Y74" i="2"/>
  <c r="V24" i="2"/>
  <c r="V57" i="5"/>
  <c r="T118" i="5"/>
  <c r="W57" i="5"/>
  <c r="S114" i="5"/>
  <c r="U88" i="5"/>
  <c r="W137" i="5"/>
  <c r="X42" i="2"/>
  <c r="V40" i="2"/>
  <c r="S140" i="5"/>
  <c r="S100" i="5"/>
  <c r="U77" i="5"/>
  <c r="W42" i="5"/>
  <c r="X53" i="2"/>
  <c r="V10" i="5"/>
  <c r="S110" i="5"/>
  <c r="T155" i="5"/>
  <c r="S117" i="5"/>
  <c r="S150" i="5"/>
  <c r="W85" i="2"/>
  <c r="Y14" i="2"/>
  <c r="V118" i="5"/>
  <c r="V20" i="5"/>
  <c r="T50" i="5"/>
  <c r="Y161" i="5"/>
  <c r="W109" i="5"/>
  <c r="W87" i="2"/>
  <c r="X83" i="2"/>
  <c r="V82" i="2"/>
  <c r="W93" i="2"/>
  <c r="S109" i="5"/>
  <c r="W27" i="2"/>
  <c r="T143" i="5"/>
  <c r="W67" i="2"/>
  <c r="U70" i="5"/>
  <c r="X69" i="2"/>
  <c r="V7" i="2"/>
  <c r="V93" i="2"/>
  <c r="S66" i="5"/>
  <c r="W58" i="2"/>
  <c r="Y50" i="2"/>
  <c r="V48" i="5"/>
  <c r="U54" i="5"/>
  <c r="V40" i="5"/>
  <c r="W6" i="2"/>
  <c r="Y52" i="2"/>
  <c r="U59" i="5"/>
  <c r="V139" i="5"/>
  <c r="T159" i="5"/>
  <c r="S22" i="5"/>
  <c r="S23" i="5"/>
  <c r="U63" i="5"/>
  <c r="S138" i="5"/>
  <c r="S44" i="5"/>
  <c r="T102" i="5"/>
  <c r="S83" i="5"/>
  <c r="S81" i="5"/>
  <c r="U147" i="5"/>
  <c r="W163" i="5"/>
  <c r="W8" i="2"/>
  <c r="X46" i="2"/>
  <c r="G5" i="2"/>
  <c r="X86" i="2"/>
  <c r="V44" i="2"/>
  <c r="W95" i="5"/>
  <c r="S65" i="5"/>
  <c r="U23" i="5"/>
  <c r="T125" i="5"/>
  <c r="W107" i="5"/>
  <c r="W59" i="2"/>
  <c r="V19" i="5"/>
  <c r="X73" i="2"/>
  <c r="W53" i="2"/>
  <c r="Y32" i="2"/>
  <c r="U121" i="5"/>
  <c r="V131" i="5"/>
  <c r="V84" i="2"/>
  <c r="W26" i="5"/>
  <c r="W39" i="5"/>
  <c r="T124" i="5"/>
  <c r="U160" i="5"/>
  <c r="W35" i="5"/>
  <c r="V134" i="5"/>
  <c r="V108" i="5"/>
  <c r="T74" i="5"/>
  <c r="T104" i="5"/>
  <c r="Y58" i="2"/>
  <c r="W32" i="5"/>
  <c r="T126" i="5"/>
  <c r="W128" i="5"/>
  <c r="W90" i="2"/>
  <c r="V161" i="5"/>
  <c r="V8" i="2"/>
  <c r="T46" i="5"/>
  <c r="W21" i="5"/>
  <c r="U145" i="5"/>
  <c r="X58" i="2"/>
  <c r="W12" i="5"/>
  <c r="T142" i="5"/>
  <c r="W17" i="2"/>
  <c r="W22" i="2"/>
  <c r="Y72" i="2"/>
  <c r="V60" i="5"/>
  <c r="V49" i="5"/>
  <c r="V111" i="5"/>
  <c r="W80" i="2"/>
  <c r="V45" i="2"/>
  <c r="X92" i="2"/>
  <c r="S148" i="5"/>
  <c r="U116" i="5"/>
  <c r="Y5" i="2"/>
  <c r="X65" i="2"/>
  <c r="V66" i="5"/>
  <c r="V105" i="5"/>
  <c r="W11" i="5"/>
  <c r="T54" i="5"/>
  <c r="D5" i="2"/>
  <c r="S141" i="5"/>
  <c r="W61" i="2"/>
  <c r="D6" i="2"/>
  <c r="V87" i="5"/>
  <c r="V149" i="5"/>
  <c r="U64" i="5"/>
  <c r="V35" i="2"/>
  <c r="S122" i="5"/>
  <c r="U81" i="5"/>
  <c r="W77" i="5"/>
  <c r="V157" i="5"/>
  <c r="X12" i="2"/>
  <c r="W78" i="2"/>
  <c r="W96" i="5"/>
  <c r="T151" i="5"/>
  <c r="X16" i="2"/>
  <c r="W141" i="5"/>
  <c r="V55" i="5"/>
  <c r="X13" i="2"/>
  <c r="T147" i="5"/>
  <c r="W121" i="5"/>
  <c r="T16" i="5"/>
  <c r="U34" i="5"/>
  <c r="W62" i="5"/>
  <c r="E4" i="2"/>
  <c r="T21" i="5"/>
  <c r="W43" i="5"/>
  <c r="T60" i="5"/>
  <c r="U99" i="5"/>
  <c r="V75" i="2"/>
  <c r="W19" i="5"/>
  <c r="S42" i="5"/>
  <c r="U32" i="5"/>
  <c r="V46" i="5"/>
  <c r="T138" i="5"/>
  <c r="T27" i="5"/>
  <c r="W18" i="2"/>
  <c r="V46" i="2"/>
  <c r="Y63" i="2"/>
  <c r="S153" i="5"/>
  <c r="U93" i="5"/>
  <c r="W34" i="5"/>
  <c r="V146" i="5"/>
  <c r="W125" i="5"/>
  <c r="X38" i="2"/>
  <c r="T43" i="5"/>
  <c r="W145" i="5"/>
  <c r="S102" i="5"/>
  <c r="W13" i="2"/>
  <c r="G6" i="2"/>
  <c r="W97" i="5"/>
  <c r="V106" i="5"/>
  <c r="X40" i="2"/>
  <c r="U107" i="5"/>
  <c r="W150" i="5"/>
  <c r="V54" i="5"/>
  <c r="V45" i="5"/>
  <c r="T144" i="5"/>
  <c r="W63" i="5"/>
  <c r="S105" i="5"/>
  <c r="T40" i="5"/>
  <c r="U72" i="5"/>
  <c r="T160" i="5"/>
  <c r="X17" i="2"/>
  <c r="V77" i="5"/>
  <c r="T111" i="5"/>
  <c r="Y10" i="2"/>
  <c r="S151" i="5"/>
  <c r="W60" i="2"/>
  <c r="U122" i="5"/>
  <c r="Y4" i="2"/>
  <c r="S130" i="5"/>
  <c r="S51" i="5"/>
  <c r="U41" i="5"/>
  <c r="Y48" i="2"/>
  <c r="U162" i="5"/>
  <c r="V158" i="5"/>
  <c r="U85" i="5"/>
  <c r="U135" i="5"/>
  <c r="W126" i="5"/>
  <c r="X41" i="2"/>
  <c r="V25" i="2"/>
  <c r="W122" i="5"/>
  <c r="T110" i="5"/>
  <c r="U48" i="5"/>
  <c r="W76" i="2"/>
  <c r="W103" i="5"/>
  <c r="W74" i="5"/>
  <c r="S87" i="5"/>
  <c r="T157" i="5"/>
  <c r="S120" i="5"/>
  <c r="S52" i="5"/>
  <c r="V21" i="5"/>
  <c r="W72" i="2"/>
  <c r="W101" i="5"/>
  <c r="W52" i="2"/>
  <c r="V19" i="2"/>
  <c r="V142" i="5"/>
  <c r="U156" i="5"/>
  <c r="V26" i="2"/>
  <c r="W17" i="5"/>
  <c r="X6" i="2"/>
  <c r="U7" i="5"/>
  <c r="Y17" i="2"/>
  <c r="W75" i="2"/>
  <c r="V16" i="2"/>
  <c r="S128" i="5"/>
  <c r="W55" i="2"/>
  <c r="T73" i="5"/>
  <c r="S54" i="5"/>
  <c r="S103" i="5"/>
  <c r="U129" i="5"/>
  <c r="W83" i="5"/>
  <c r="W70" i="2"/>
  <c r="X21" i="2"/>
  <c r="T107" i="5"/>
  <c r="Y41" i="2"/>
  <c r="S19" i="5"/>
  <c r="U43" i="5"/>
  <c r="Y51" i="2"/>
  <c r="U47" i="5"/>
  <c r="V133" i="5"/>
  <c r="T116" i="5"/>
  <c r="W114" i="5"/>
  <c r="W76" i="5"/>
  <c r="U46" i="5"/>
  <c r="Y80" i="2"/>
  <c r="U158" i="5"/>
  <c r="V16" i="5"/>
  <c r="T39" i="5"/>
  <c r="Y93" i="2"/>
  <c r="S89" i="5"/>
  <c r="W38" i="2"/>
  <c r="W127" i="5"/>
  <c r="X75" i="2"/>
  <c r="V5" i="2"/>
  <c r="Y157" i="5"/>
  <c r="S160" i="5"/>
  <c r="W19" i="2"/>
  <c r="W108" i="5"/>
  <c r="X76" i="2"/>
  <c r="V128" i="5"/>
  <c r="S94" i="5"/>
  <c r="S33" i="5"/>
  <c r="U104" i="5"/>
  <c r="W89" i="5"/>
  <c r="X14" i="2"/>
  <c r="V30" i="5"/>
  <c r="T36" i="5"/>
  <c r="W84" i="2"/>
  <c r="T115" i="5"/>
  <c r="AN158" i="5"/>
  <c r="T63" i="5"/>
  <c r="X8" i="2"/>
  <c r="T123" i="5"/>
  <c r="W55" i="5"/>
  <c r="S143" i="5"/>
  <c r="U119" i="5"/>
  <c r="W99" i="5"/>
  <c r="V25" i="5"/>
  <c r="T162" i="5"/>
  <c r="U75" i="5"/>
  <c r="Y6" i="2"/>
  <c r="T85" i="5"/>
  <c r="V95" i="5"/>
  <c r="T41" i="5"/>
  <c r="S31" i="5"/>
  <c r="S14" i="5"/>
  <c r="V27" i="5"/>
  <c r="T70" i="5"/>
  <c r="U151" i="5"/>
  <c r="V80" i="5"/>
  <c r="X59" i="2"/>
  <c r="V69" i="2"/>
  <c r="Y67" i="2"/>
  <c r="T140" i="5"/>
  <c r="S37" i="5"/>
  <c r="V92" i="5"/>
  <c r="V39" i="2"/>
  <c r="W43" i="2"/>
  <c r="V125" i="5"/>
  <c r="V61" i="2"/>
  <c r="S162" i="5"/>
  <c r="S96" i="5"/>
  <c r="X80" i="2"/>
  <c r="U163" i="5"/>
  <c r="T64" i="5"/>
  <c r="S76" i="5"/>
  <c r="U40" i="5"/>
  <c r="V49" i="2"/>
  <c r="Y30" i="2"/>
  <c r="U37" i="5"/>
  <c r="V47" i="5"/>
  <c r="T47" i="5"/>
  <c r="T141" i="5"/>
  <c r="S126" i="5"/>
  <c r="X44" i="2"/>
  <c r="S41" i="5"/>
  <c r="U90" i="5"/>
  <c r="Y46" i="2"/>
  <c r="X88" i="2"/>
  <c r="V160" i="5"/>
  <c r="T79" i="5"/>
  <c r="T19" i="5"/>
  <c r="Y42" i="2"/>
  <c r="S47" i="5"/>
  <c r="AI162" i="5"/>
  <c r="S163" i="5"/>
  <c r="U155" i="5"/>
  <c r="W94" i="5"/>
  <c r="X52" i="2"/>
  <c r="V110" i="5"/>
  <c r="T38" i="5"/>
  <c r="Y92" i="2"/>
  <c r="T78" i="5"/>
  <c r="AN161" i="5"/>
  <c r="W148" i="5"/>
  <c r="W133" i="5"/>
  <c r="T72" i="5"/>
  <c r="W68" i="5"/>
  <c r="S11" i="5"/>
  <c r="U94" i="5"/>
  <c r="F6" i="2"/>
  <c r="V123" i="5"/>
  <c r="T67" i="5"/>
  <c r="X10" i="2"/>
  <c r="T109" i="5"/>
  <c r="W92" i="5"/>
  <c r="U33" i="5"/>
  <c r="V122" i="5"/>
  <c r="V88" i="2"/>
  <c r="T53" i="5"/>
  <c r="W146" i="5"/>
  <c r="W15" i="2"/>
  <c r="V89" i="5"/>
  <c r="W64" i="5"/>
  <c r="S85" i="5"/>
  <c r="U111" i="5"/>
  <c r="V86" i="2"/>
  <c r="V90" i="5"/>
  <c r="V44" i="5"/>
  <c r="V56" i="5"/>
  <c r="X30" i="2"/>
  <c r="S136" i="5"/>
  <c r="S161" i="5"/>
  <c r="U66" i="5"/>
  <c r="Y71" i="2"/>
  <c r="W131" i="5"/>
  <c r="T94" i="5"/>
  <c r="V39" i="5"/>
  <c r="U35" i="5"/>
  <c r="Y43" i="2"/>
  <c r="V38" i="2"/>
  <c r="Y53" i="2"/>
  <c r="V126" i="5"/>
  <c r="W45" i="2"/>
  <c r="W52" i="5"/>
  <c r="U51" i="5"/>
  <c r="V75" i="5"/>
  <c r="U36" i="5"/>
  <c r="W54" i="2"/>
  <c r="Y164" i="5"/>
  <c r="W86" i="5"/>
  <c r="S15" i="5"/>
  <c r="W68" i="2"/>
  <c r="W120" i="5"/>
  <c r="U157" i="5"/>
  <c r="V97" i="5"/>
  <c r="T84" i="5"/>
  <c r="W78" i="5"/>
  <c r="Y83" i="2"/>
  <c r="W41" i="2"/>
  <c r="Y9" i="2"/>
  <c r="U95" i="5"/>
  <c r="V154" i="5"/>
  <c r="V68" i="2"/>
  <c r="S49" i="5"/>
  <c r="X32" i="2"/>
  <c r="W73" i="5"/>
  <c r="U134" i="5"/>
  <c r="V5" i="5"/>
  <c r="V56" i="2"/>
  <c r="S137" i="5"/>
  <c r="S121" i="5"/>
  <c r="W69" i="2"/>
  <c r="Y85" i="2"/>
  <c r="U60" i="5"/>
  <c r="U152" i="5"/>
  <c r="S119" i="5"/>
  <c r="S127" i="5"/>
  <c r="W39" i="2"/>
  <c r="W33" i="5"/>
  <c r="V65" i="5"/>
  <c r="V13" i="5"/>
  <c r="T86" i="5"/>
  <c r="AN164" i="5"/>
  <c r="Y66" i="2"/>
  <c r="U91" i="5"/>
  <c r="U100" i="5"/>
  <c r="W58" i="5"/>
  <c r="X71" i="2"/>
  <c r="V93" i="5"/>
  <c r="T148" i="5"/>
  <c r="Y29" i="2"/>
  <c r="S133" i="5"/>
  <c r="W51" i="2"/>
  <c r="T37" i="5"/>
  <c r="Y68" i="2"/>
  <c r="S144" i="5"/>
  <c r="W56" i="2"/>
  <c r="Y19" i="2"/>
  <c r="U109" i="5"/>
  <c r="U112" i="5"/>
  <c r="U9" i="5"/>
  <c r="U73" i="5"/>
  <c r="W135" i="5"/>
  <c r="U148" i="5"/>
  <c r="V42" i="5"/>
  <c r="V64" i="2"/>
  <c r="S146" i="5"/>
  <c r="S80" i="5"/>
  <c r="T55" i="5"/>
  <c r="V94" i="5"/>
  <c r="U108" i="5"/>
  <c r="V85" i="2"/>
  <c r="V28" i="5"/>
  <c r="V31" i="5"/>
  <c r="E5" i="2"/>
  <c r="W164" i="5"/>
  <c r="S115" i="5"/>
  <c r="W112" i="5"/>
  <c r="W46" i="5"/>
  <c r="X56" i="2"/>
  <c r="V51" i="2"/>
  <c r="S28" i="5"/>
  <c r="S26" i="5"/>
  <c r="U52" i="5"/>
  <c r="W8" i="5"/>
  <c r="W70" i="5"/>
  <c r="S7" i="5"/>
  <c r="X19" i="2"/>
  <c r="V63" i="2"/>
  <c r="W100" i="5"/>
  <c r="S63" i="5"/>
  <c r="W71" i="2"/>
  <c r="U79" i="5"/>
  <c r="W69" i="5"/>
  <c r="W113" i="5"/>
  <c r="S53" i="5"/>
  <c r="V23" i="2"/>
  <c r="S90" i="5"/>
  <c r="S50" i="5"/>
  <c r="U39" i="5"/>
  <c r="W29" i="5"/>
  <c r="W56" i="5"/>
  <c r="T96" i="5"/>
  <c r="S38" i="5"/>
  <c r="X22" i="2"/>
  <c r="V137" i="5"/>
  <c r="V164" i="5"/>
  <c r="U15" i="5"/>
  <c r="V72" i="2"/>
  <c r="W92" i="2"/>
  <c r="S43" i="5"/>
  <c r="V67" i="5"/>
  <c r="V22" i="2"/>
  <c r="X27" i="2"/>
  <c r="Y8" i="2"/>
  <c r="X67" i="2"/>
  <c r="V38" i="5"/>
  <c r="V31" i="2"/>
  <c r="Y38" i="2"/>
  <c r="S27" i="5"/>
  <c r="V76" i="5"/>
  <c r="X24" i="2"/>
  <c r="V8" i="5"/>
  <c r="Y82" i="2"/>
  <c r="W44" i="5"/>
  <c r="X5" i="2"/>
  <c r="V156" i="5"/>
  <c r="T81" i="5"/>
  <c r="Y13" i="2"/>
  <c r="S74" i="5"/>
  <c r="W82" i="2"/>
  <c r="U30" i="5"/>
  <c r="X7" i="2"/>
  <c r="T122" i="5"/>
  <c r="V34" i="5"/>
  <c r="V59" i="2"/>
  <c r="W82" i="5"/>
  <c r="S92" i="5"/>
  <c r="W20" i="2"/>
  <c r="T48" i="5"/>
  <c r="X78" i="2"/>
  <c r="T71" i="5"/>
  <c r="V96" i="5"/>
  <c r="V47" i="2"/>
  <c r="W9" i="5"/>
  <c r="T24" i="5"/>
  <c r="W62" i="2"/>
  <c r="T51" i="5"/>
  <c r="Y90" i="2"/>
  <c r="V24" i="5"/>
  <c r="U138" i="5"/>
  <c r="AK158" i="5"/>
  <c r="T18" i="5"/>
  <c r="V67" i="2"/>
  <c r="Y33" i="2"/>
  <c r="X36" i="2"/>
  <c r="T68" i="5"/>
  <c r="W37" i="5"/>
  <c r="T17" i="5"/>
  <c r="U87" i="5"/>
  <c r="V21" i="2"/>
  <c r="W23" i="5"/>
  <c r="AN160" i="5"/>
  <c r="V136" i="5"/>
  <c r="V121" i="5"/>
  <c r="W34" i="2"/>
  <c r="W81" i="5"/>
  <c r="T146" i="5"/>
  <c r="V12" i="5"/>
  <c r="T91" i="5"/>
  <c r="W151" i="5"/>
  <c r="V155" i="5"/>
  <c r="W9" i="2"/>
  <c r="U149" i="5"/>
  <c r="U71" i="5"/>
  <c r="W123" i="5"/>
  <c r="X48" i="2"/>
  <c r="V124" i="5"/>
  <c r="T108" i="5"/>
  <c r="Y69" i="2"/>
  <c r="S34" i="5"/>
  <c r="V23" i="5"/>
  <c r="W66" i="2"/>
  <c r="X77" i="2"/>
  <c r="V79" i="2"/>
  <c r="W111" i="5"/>
  <c r="S139" i="5"/>
  <c r="W21" i="2"/>
  <c r="T132" i="5"/>
  <c r="W98" i="5"/>
  <c r="U154" i="5"/>
  <c r="AP158" i="5"/>
  <c r="AD60" i="5"/>
  <c r="T105" i="5"/>
  <c r="S125" i="5"/>
  <c r="W64" i="2"/>
  <c r="Y16" i="2"/>
  <c r="U114" i="5"/>
  <c r="V52" i="5"/>
  <c r="V73" i="2"/>
  <c r="V107" i="5"/>
  <c r="U25" i="5"/>
  <c r="X15" i="2"/>
  <c r="Y12" i="2"/>
  <c r="U53" i="5"/>
  <c r="S88" i="5"/>
  <c r="W25" i="5"/>
  <c r="W140" i="5"/>
  <c r="V35" i="5"/>
  <c r="V4" i="2"/>
  <c r="G4" i="2"/>
  <c r="W65" i="5"/>
  <c r="W88" i="5"/>
  <c r="AP159" i="5"/>
  <c r="AP60" i="5"/>
  <c r="U139" i="5"/>
  <c r="X72" i="2"/>
  <c r="V57" i="2"/>
  <c r="AD161" i="5"/>
  <c r="S62" i="5"/>
  <c r="W29" i="2"/>
  <c r="W15" i="5"/>
  <c r="S78" i="5"/>
  <c r="T88" i="5"/>
  <c r="AD16" i="5"/>
  <c r="AI160" i="5"/>
  <c r="W50" i="5"/>
  <c r="W60" i="5"/>
  <c r="AI92" i="5"/>
  <c r="AQ153" i="5"/>
  <c r="AB22" i="5"/>
  <c r="T117" i="5"/>
  <c r="AI158" i="5"/>
  <c r="T153" i="5"/>
  <c r="AD59" i="5"/>
  <c r="AQ158" i="5"/>
  <c r="Y26" i="2"/>
  <c r="AF24" i="5"/>
  <c r="AB156" i="5"/>
  <c r="Y55" i="2"/>
  <c r="AG37" i="5"/>
  <c r="Y57" i="2"/>
  <c r="AI20" i="5"/>
  <c r="T6" i="5"/>
  <c r="AI59" i="5"/>
  <c r="AQ58" i="5"/>
  <c r="AQ155" i="5"/>
  <c r="S101" i="5"/>
  <c r="W10" i="5"/>
  <c r="V102" i="5"/>
  <c r="W85" i="5"/>
  <c r="U83" i="5"/>
  <c r="AB61" i="5"/>
  <c r="S107" i="5"/>
  <c r="X25" i="2"/>
  <c r="AL57" i="5"/>
  <c r="Y76" i="5"/>
  <c r="V41" i="5"/>
  <c r="T57" i="5"/>
  <c r="AP62" i="5"/>
  <c r="V70" i="5"/>
  <c r="X29" i="2"/>
  <c r="W49" i="2"/>
  <c r="W115" i="5"/>
  <c r="U140" i="5"/>
  <c r="S20" i="5"/>
  <c r="V78" i="5"/>
  <c r="V53" i="5"/>
  <c r="V120" i="5"/>
  <c r="U110" i="5"/>
  <c r="T128" i="5"/>
  <c r="AP61" i="5"/>
  <c r="AD162" i="5"/>
  <c r="AA68" i="5"/>
  <c r="W7" i="5"/>
  <c r="T22" i="5"/>
  <c r="U153" i="5"/>
  <c r="T135" i="5"/>
  <c r="W139" i="5"/>
  <c r="V144" i="5"/>
  <c r="T100" i="5"/>
  <c r="X34" i="2"/>
  <c r="V141" i="5"/>
  <c r="AA23" i="5"/>
  <c r="AI76" i="5"/>
  <c r="X20" i="2"/>
  <c r="AB157" i="5"/>
  <c r="AB60" i="5"/>
  <c r="AG32" i="5"/>
  <c r="AI93" i="5"/>
  <c r="Y16" i="5"/>
  <c r="V29" i="2"/>
  <c r="U65" i="5"/>
  <c r="AA119" i="5"/>
  <c r="AL32" i="5"/>
  <c r="U130" i="5"/>
  <c r="AF137" i="5"/>
  <c r="AP153" i="5"/>
  <c r="Y113" i="5"/>
  <c r="S29" i="5"/>
  <c r="Y18" i="5"/>
  <c r="Y105" i="5"/>
  <c r="T7" i="5"/>
  <c r="AG151" i="5"/>
  <c r="T161" i="5"/>
  <c r="V66" i="2"/>
  <c r="S45" i="5"/>
  <c r="U120" i="5"/>
  <c r="W104" i="5"/>
  <c r="V51" i="5"/>
  <c r="AA46" i="5" s="1"/>
  <c r="S73" i="5"/>
  <c r="AF41" i="5"/>
  <c r="S25" i="5"/>
  <c r="S30" i="5"/>
  <c r="X43" i="2"/>
  <c r="AF28" i="5"/>
  <c r="U29" i="5"/>
  <c r="T5" i="5"/>
  <c r="S67" i="5"/>
  <c r="S16" i="5"/>
  <c r="U82" i="5"/>
  <c r="W72" i="5"/>
  <c r="V62" i="5"/>
  <c r="V140" i="5"/>
  <c r="AQ159" i="5"/>
  <c r="AD91" i="5"/>
  <c r="AK34" i="5"/>
  <c r="X57" i="2"/>
  <c r="AA71" i="5"/>
  <c r="U98" i="5"/>
  <c r="AB37" i="5"/>
  <c r="V34" i="2"/>
  <c r="T11" i="5"/>
  <c r="AP59" i="5"/>
  <c r="AB155" i="5"/>
  <c r="Y49" i="2"/>
  <c r="AN163" i="5"/>
  <c r="AK70" i="5"/>
  <c r="AB152" i="5"/>
  <c r="V114" i="5"/>
  <c r="Y93" i="5"/>
  <c r="T9" i="5"/>
  <c r="W59" i="5"/>
  <c r="AG156" i="5"/>
  <c r="U89" i="5"/>
  <c r="S48" i="5"/>
  <c r="AL22" i="5"/>
  <c r="V145" i="5"/>
  <c r="Y31" i="2"/>
  <c r="T75" i="5"/>
  <c r="X55" i="2"/>
  <c r="Y79" i="2"/>
  <c r="AP156" i="5"/>
  <c r="AQ48" i="5"/>
  <c r="X66" i="2"/>
  <c r="W153" i="5"/>
  <c r="AP23" i="5"/>
  <c r="AI19" i="5"/>
  <c r="V91" i="2"/>
  <c r="AP140" i="5"/>
  <c r="AK96" i="5"/>
  <c r="W27" i="5"/>
  <c r="W124" i="5"/>
  <c r="U38" i="5"/>
  <c r="AK155" i="5"/>
  <c r="W74" i="2"/>
  <c r="V116" i="5"/>
  <c r="U123" i="5"/>
  <c r="T34" i="5"/>
  <c r="U150" i="5"/>
  <c r="S13" i="5"/>
  <c r="Y73" i="2"/>
  <c r="S72" i="5"/>
  <c r="AN38" i="5"/>
  <c r="AA31" i="5"/>
  <c r="AF32" i="5"/>
  <c r="U6" i="5"/>
  <c r="V12" i="2"/>
  <c r="Y47" i="2"/>
  <c r="X37" i="2"/>
  <c r="U55" i="5"/>
  <c r="W38" i="5"/>
  <c r="AB33" i="5" s="1"/>
  <c r="V52" i="2"/>
  <c r="Y89" i="2"/>
  <c r="AK163" i="5"/>
  <c r="AI91" i="5"/>
  <c r="W6" i="5"/>
  <c r="AF155" i="5"/>
  <c r="AI159" i="5"/>
  <c r="AP47" i="5"/>
  <c r="S12" i="5"/>
  <c r="AA163" i="5"/>
  <c r="AQ23" i="5"/>
  <c r="Y63" i="5"/>
  <c r="S86" i="5"/>
  <c r="AF68" i="5"/>
  <c r="AI34" i="5"/>
  <c r="AG158" i="5"/>
  <c r="X9" i="2"/>
  <c r="T93" i="5"/>
  <c r="AD36" i="5"/>
  <c r="T32" i="5"/>
  <c r="AL99" i="5"/>
  <c r="Y35" i="2"/>
  <c r="V99" i="5"/>
  <c r="U142" i="5"/>
  <c r="W36" i="2"/>
  <c r="T89" i="5"/>
  <c r="S36" i="5"/>
  <c r="V20" i="2"/>
  <c r="AF73" i="5"/>
  <c r="T150" i="5"/>
  <c r="V119" i="5"/>
  <c r="AF115" i="5" s="1"/>
  <c r="V113" i="5"/>
  <c r="U56" i="5"/>
  <c r="V48" i="2"/>
  <c r="W119" i="5"/>
  <c r="S10" i="5"/>
  <c r="V138" i="5"/>
  <c r="U31" i="5"/>
  <c r="AF65" i="5"/>
  <c r="S55" i="5"/>
  <c r="W28" i="2"/>
  <c r="W31" i="5"/>
  <c r="U164" i="5"/>
  <c r="V82" i="5"/>
  <c r="T90" i="5"/>
  <c r="S155" i="5"/>
  <c r="V76" i="2"/>
  <c r="AN37" i="5"/>
  <c r="W147" i="5"/>
  <c r="AP133" i="5"/>
  <c r="AP152" i="5"/>
  <c r="T80" i="5"/>
  <c r="AF135" i="5"/>
  <c r="AL151" i="5"/>
  <c r="U133" i="5"/>
  <c r="AL58" i="5"/>
  <c r="U126" i="5"/>
  <c r="W47" i="5"/>
  <c r="AL40" i="5" s="1"/>
  <c r="AJ158" i="5"/>
  <c r="AK66" i="5"/>
  <c r="AI161" i="5"/>
  <c r="U58" i="5"/>
  <c r="AO164" i="5"/>
  <c r="AQ100" i="5"/>
  <c r="AB83" i="5"/>
  <c r="AD38" i="5"/>
  <c r="T121" i="5"/>
  <c r="W10" i="2"/>
  <c r="AJ157" i="5"/>
  <c r="AG94" i="5"/>
  <c r="AQ33" i="5"/>
  <c r="Y65" i="2"/>
  <c r="Z162" i="5"/>
  <c r="AL86" i="5"/>
  <c r="AG96" i="5"/>
  <c r="X50" i="2"/>
  <c r="AP98" i="5"/>
  <c r="AE160" i="5"/>
  <c r="T45" i="5"/>
  <c r="AG22" i="5"/>
  <c r="AI106" i="5"/>
  <c r="W79" i="5"/>
  <c r="AP28" i="5"/>
  <c r="AD157" i="5"/>
  <c r="AF161" i="5"/>
  <c r="AQ29" i="5"/>
  <c r="V61" i="5"/>
  <c r="AN74" i="5"/>
  <c r="AK110" i="5"/>
  <c r="AB96" i="5"/>
  <c r="AB98" i="5"/>
  <c r="AN105" i="5"/>
  <c r="AN156" i="5"/>
  <c r="AP96" i="5"/>
  <c r="AK43" i="5"/>
  <c r="AL156" i="5"/>
  <c r="AB73" i="5"/>
  <c r="AI89" i="5"/>
  <c r="W23" i="2"/>
  <c r="V18" i="2"/>
  <c r="W26" i="2"/>
  <c r="U42" i="5"/>
  <c r="Y7" i="2"/>
  <c r="T139" i="5"/>
  <c r="V80" i="2"/>
  <c r="W154" i="5"/>
  <c r="W152" i="5"/>
  <c r="W157" i="5"/>
  <c r="U12" i="5"/>
  <c r="U118" i="5"/>
  <c r="V58" i="5"/>
  <c r="AI38" i="5"/>
  <c r="W130" i="5"/>
  <c r="W158" i="5"/>
  <c r="V132" i="5"/>
  <c r="AF124" i="5" s="1"/>
  <c r="V135" i="5"/>
  <c r="T101" i="5"/>
  <c r="W90" i="5"/>
  <c r="T69" i="5"/>
  <c r="X33" i="2"/>
  <c r="Y64" i="2"/>
  <c r="U117" i="5"/>
  <c r="AA58" i="5"/>
  <c r="AN93" i="5"/>
  <c r="AD106" i="5"/>
  <c r="AA152" i="5"/>
  <c r="Y77" i="2"/>
  <c r="X45" i="2"/>
  <c r="AD35" i="5"/>
  <c r="AG90" i="5"/>
  <c r="Y87" i="2"/>
  <c r="AF109" i="5"/>
  <c r="AD17" i="5"/>
  <c r="AB158" i="5"/>
  <c r="AG98" i="5"/>
  <c r="W132" i="5"/>
  <c r="AI62" i="5"/>
  <c r="AB104" i="5"/>
  <c r="AB154" i="5"/>
  <c r="W161" i="5"/>
  <c r="AK22" i="5"/>
  <c r="AB82" i="5"/>
  <c r="AQ160" i="5"/>
  <c r="AN59" i="5"/>
  <c r="Y39" i="2"/>
  <c r="AB85" i="5"/>
  <c r="AN89" i="5"/>
  <c r="AQ30" i="5"/>
  <c r="AB84" i="5"/>
  <c r="X81" i="2"/>
  <c r="W14" i="5"/>
  <c r="V6" i="5"/>
  <c r="U84" i="5"/>
  <c r="X54" i="2"/>
  <c r="X93" i="2"/>
  <c r="AN16" i="5"/>
  <c r="U92" i="5"/>
  <c r="U45" i="5"/>
  <c r="W102" i="5"/>
  <c r="S58" i="5"/>
  <c r="V15" i="5"/>
  <c r="V55" i="2"/>
  <c r="D4" i="2"/>
  <c r="T52" i="5"/>
  <c r="X28" i="2"/>
  <c r="V62" i="2"/>
  <c r="W45" i="5"/>
  <c r="T33" i="5"/>
  <c r="U101" i="5"/>
  <c r="T87" i="5"/>
  <c r="W13" i="5"/>
  <c r="U161" i="5"/>
  <c r="X90" i="2"/>
  <c r="AN75" i="5"/>
  <c r="V27" i="2"/>
  <c r="X35" i="2"/>
  <c r="AA40" i="5"/>
  <c r="V14" i="2"/>
  <c r="T49" i="5"/>
  <c r="Y46" i="5" s="1"/>
  <c r="AJ92" i="5"/>
  <c r="AO6" i="5"/>
  <c r="AD63" i="5"/>
  <c r="AG58" i="5"/>
  <c r="AQ156" i="5"/>
  <c r="AN94" i="5"/>
  <c r="V162" i="5"/>
  <c r="AG83" i="5"/>
  <c r="AJ43" i="5"/>
  <c r="AO12" i="5"/>
  <c r="AB88" i="5"/>
  <c r="AL162" i="5"/>
  <c r="Y82" i="5"/>
  <c r="V83" i="5"/>
  <c r="AP75" i="5" s="1"/>
  <c r="AE104" i="5"/>
  <c r="AO88" i="5"/>
  <c r="AJ48" i="5"/>
  <c r="AG104" i="5"/>
  <c r="AG30" i="5"/>
  <c r="AG11" i="5"/>
  <c r="V59" i="5"/>
  <c r="AN159" i="5"/>
  <c r="Z107" i="5"/>
  <c r="AO50" i="5"/>
  <c r="AD83" i="5"/>
  <c r="AQ103" i="5"/>
  <c r="AG40" i="5"/>
  <c r="W44" i="2"/>
  <c r="T133" i="5"/>
  <c r="AA93" i="5"/>
  <c r="Z75" i="5"/>
  <c r="AO155" i="5"/>
  <c r="AE162" i="5"/>
  <c r="AL85" i="5"/>
  <c r="T28" i="5"/>
  <c r="AP102" i="5"/>
  <c r="AO69" i="5"/>
  <c r="AE46" i="5"/>
  <c r="AJ63" i="5"/>
  <c r="AO158" i="5"/>
  <c r="AQ86" i="5"/>
  <c r="Y90" i="5"/>
  <c r="AP125" i="5"/>
  <c r="Y15" i="2"/>
  <c r="AA126" i="5"/>
  <c r="AN5" i="5"/>
  <c r="Z46" i="5"/>
  <c r="AJ58" i="5"/>
  <c r="Z74" i="5"/>
  <c r="AG6" i="5"/>
  <c r="AG47" i="5"/>
  <c r="AN50" i="5"/>
  <c r="AP126" i="5"/>
  <c r="T129" i="5"/>
  <c r="AD124" i="5" s="1"/>
  <c r="AF94" i="5"/>
  <c r="AK62" i="5"/>
  <c r="Z98" i="5"/>
  <c r="AO63" i="5"/>
  <c r="AE157" i="5"/>
  <c r="AE70" i="5"/>
  <c r="AG48" i="5"/>
  <c r="AQ99" i="5"/>
  <c r="AG99" i="5"/>
  <c r="Y120" i="5"/>
  <c r="Z29" i="5"/>
  <c r="W48" i="2"/>
  <c r="AG15" i="5"/>
  <c r="AO68" i="5"/>
  <c r="AO70" i="5"/>
  <c r="AO108" i="5"/>
  <c r="AN6" i="5"/>
  <c r="AL26" i="5"/>
  <c r="AQ162" i="5"/>
  <c r="AN106" i="5"/>
  <c r="W51" i="5"/>
  <c r="AI77" i="5"/>
  <c r="AJ97" i="5"/>
  <c r="AP51" i="5"/>
  <c r="AJ13" i="5"/>
  <c r="AB93" i="5"/>
  <c r="AB46" i="5"/>
  <c r="Y121" i="5"/>
  <c r="U144" i="5"/>
  <c r="AL60" i="5"/>
  <c r="X39" i="2"/>
  <c r="AJ107" i="5"/>
  <c r="AO34" i="5"/>
  <c r="W31" i="2"/>
  <c r="AA34" i="5"/>
  <c r="U28" i="5"/>
  <c r="AP124" i="5"/>
  <c r="Y20" i="5"/>
  <c r="AQ151" i="5"/>
  <c r="AL97" i="5"/>
  <c r="AB40" i="5"/>
  <c r="AO41" i="5"/>
  <c r="AK106" i="5"/>
  <c r="AA50" i="5"/>
  <c r="AG59" i="5"/>
  <c r="T29" i="5"/>
  <c r="AI163" i="5"/>
  <c r="AG102" i="5"/>
  <c r="AL50" i="5"/>
  <c r="T31" i="5"/>
  <c r="AA49" i="5"/>
  <c r="AE13" i="5"/>
  <c r="AJ82" i="5"/>
  <c r="AB92" i="5"/>
  <c r="AD86" i="5"/>
  <c r="T156" i="5"/>
  <c r="AF97" i="5"/>
  <c r="AE109" i="5"/>
  <c r="AB80" i="5"/>
  <c r="Y89" i="5"/>
  <c r="S157" i="5"/>
  <c r="AO75" i="5"/>
  <c r="AB57" i="5"/>
  <c r="W40" i="5"/>
  <c r="AE92" i="5"/>
  <c r="AE153" i="5"/>
  <c r="AJ45" i="5"/>
  <c r="AG20" i="5"/>
  <c r="AB102" i="5"/>
  <c r="Y33" i="5"/>
  <c r="AK97" i="5"/>
  <c r="S6" i="5"/>
  <c r="AA144" i="5"/>
  <c r="AJ55" i="5"/>
  <c r="Z28" i="5"/>
  <c r="AE61" i="5"/>
  <c r="AO35" i="5"/>
  <c r="AA28" i="5"/>
  <c r="AB51" i="5"/>
  <c r="AB101" i="5"/>
  <c r="Y112" i="5"/>
  <c r="AI117" i="5"/>
  <c r="V17" i="2"/>
  <c r="AP70" i="5"/>
  <c r="AI157" i="5"/>
  <c r="AJ111" i="5"/>
  <c r="AE98" i="5"/>
  <c r="V13" i="2"/>
  <c r="Z71" i="5"/>
  <c r="AL47" i="5"/>
  <c r="AQ94" i="5"/>
  <c r="AQ8" i="5"/>
  <c r="U67" i="5"/>
  <c r="AP38" i="5"/>
  <c r="AQ88" i="5"/>
  <c r="AJ42" i="5"/>
  <c r="AE19" i="5"/>
  <c r="AE108" i="5"/>
  <c r="AE137" i="5"/>
  <c r="AO109" i="5"/>
  <c r="AD95" i="5"/>
  <c r="AB42" i="5"/>
  <c r="AG51" i="5"/>
  <c r="AD98" i="5"/>
  <c r="AL20" i="5"/>
  <c r="AE42" i="5"/>
  <c r="AG34" i="5"/>
  <c r="AN52" i="5"/>
  <c r="AE117" i="5"/>
  <c r="AQ72" i="5"/>
  <c r="AK44" i="5"/>
  <c r="AN96" i="5"/>
  <c r="AG52" i="5"/>
  <c r="AD41" i="5"/>
  <c r="AJ161" i="5"/>
  <c r="Y125" i="5"/>
  <c r="AL54" i="5"/>
  <c r="AQ107" i="5"/>
  <c r="AQ46" i="5"/>
  <c r="AJ155" i="5"/>
  <c r="AE20" i="5"/>
  <c r="AQ43" i="5"/>
  <c r="AN33" i="5"/>
  <c r="V53" i="2"/>
  <c r="AP31" i="5"/>
  <c r="AI74" i="5"/>
  <c r="AJ84" i="5"/>
  <c r="AE148" i="5"/>
  <c r="AN43" i="5"/>
  <c r="AK119" i="5"/>
  <c r="AK84" i="5"/>
  <c r="AI31" i="5"/>
  <c r="Y69" i="5"/>
  <c r="AG69" i="5"/>
  <c r="AB15" i="5"/>
  <c r="AE41" i="5"/>
  <c r="AD126" i="5"/>
  <c r="AP120" i="5"/>
  <c r="AF86" i="5"/>
  <c r="AL67" i="5"/>
  <c r="AO67" i="5"/>
  <c r="AG57" i="5"/>
  <c r="T82" i="5"/>
  <c r="Y81" i="5" s="1"/>
  <c r="S118" i="5"/>
  <c r="V130" i="5"/>
  <c r="AP26" i="5"/>
  <c r="AL29" i="5"/>
  <c r="AI97" i="5"/>
  <c r="Y97" i="5"/>
  <c r="AL161" i="5"/>
  <c r="AG5" i="5"/>
  <c r="AJ44" i="5"/>
  <c r="AO46" i="5"/>
  <c r="AL33" i="5"/>
  <c r="Y18" i="2"/>
  <c r="AJ59" i="5"/>
  <c r="AL19" i="5"/>
  <c r="AG86" i="5"/>
  <c r="V159" i="5"/>
  <c r="AK114" i="5"/>
  <c r="Y62" i="5"/>
  <c r="AO76" i="5"/>
  <c r="AG16" i="5"/>
  <c r="AN18" i="5"/>
  <c r="S112" i="5"/>
  <c r="AO102" i="5"/>
  <c r="AE156" i="5"/>
  <c r="Z56" i="5"/>
  <c r="AG93" i="5"/>
  <c r="AG14" i="5"/>
  <c r="AP56" i="5"/>
  <c r="AO86" i="5"/>
  <c r="AE151" i="5"/>
  <c r="AG33" i="5"/>
  <c r="Y17" i="5"/>
  <c r="S75" i="5"/>
  <c r="Z156" i="5"/>
  <c r="AE72" i="5"/>
  <c r="AQ14" i="5"/>
  <c r="AL6" i="5"/>
  <c r="U131" i="5"/>
  <c r="AF141" i="5"/>
  <c r="AD28" i="5"/>
  <c r="AJ54" i="5"/>
  <c r="AJ144" i="5"/>
  <c r="AL152" i="5"/>
  <c r="AL51" i="5"/>
  <c r="Y12" i="5"/>
  <c r="S99" i="5"/>
  <c r="AP34" i="5"/>
  <c r="AF153" i="5"/>
  <c r="AK28" i="5"/>
  <c r="AJ24" i="5"/>
  <c r="AE81" i="5"/>
  <c r="AE86" i="5"/>
  <c r="AI36" i="5"/>
  <c r="AB43" i="5"/>
  <c r="AG100" i="5"/>
  <c r="T15" i="5"/>
  <c r="AK157" i="5"/>
  <c r="AI82" i="5"/>
  <c r="AE45" i="5"/>
  <c r="AE112" i="5"/>
  <c r="Z65" i="5"/>
  <c r="AJ106" i="5"/>
  <c r="AE97" i="5"/>
  <c r="Y37" i="5"/>
  <c r="AQ32" i="5"/>
  <c r="AL74" i="5"/>
  <c r="AN124" i="5"/>
  <c r="AE36" i="5"/>
  <c r="Y49" i="5"/>
  <c r="AD52" i="5"/>
  <c r="Y114" i="5"/>
  <c r="AK86" i="5"/>
  <c r="Z80" i="5"/>
  <c r="AN123" i="5"/>
  <c r="AD32" i="5"/>
  <c r="V17" i="5"/>
  <c r="AJ159" i="5"/>
  <c r="AI138" i="5"/>
  <c r="AO42" i="5"/>
  <c r="Z97" i="5"/>
  <c r="Y77" i="5"/>
  <c r="Y138" i="5"/>
  <c r="AG112" i="5"/>
  <c r="X74" i="2"/>
  <c r="V103" i="5"/>
  <c r="V42" i="2"/>
  <c r="AF44" i="5"/>
  <c r="AD153" i="5"/>
  <c r="V22" i="5"/>
  <c r="T137" i="5"/>
  <c r="AL100" i="5"/>
  <c r="AL79" i="5"/>
  <c r="AJ19" i="5"/>
  <c r="Z19" i="5"/>
  <c r="AB27" i="5"/>
  <c r="Z12" i="5"/>
  <c r="AO30" i="5"/>
  <c r="AQ61" i="5"/>
  <c r="Y34" i="5"/>
  <c r="U27" i="5"/>
  <c r="AA154" i="5"/>
  <c r="Z108" i="5"/>
  <c r="AL72" i="5"/>
  <c r="AN115" i="5"/>
  <c r="AK133" i="5"/>
  <c r="AJ51" i="5"/>
  <c r="AN157" i="5"/>
  <c r="AG95" i="5"/>
  <c r="AB160" i="5"/>
  <c r="W83" i="2"/>
  <c r="AN48" i="5"/>
  <c r="AE159" i="5"/>
  <c r="Z47" i="5"/>
  <c r="AQ42" i="5"/>
  <c r="AQ39" i="5"/>
  <c r="AF154" i="5"/>
  <c r="AO78" i="5"/>
  <c r="AD136" i="5"/>
  <c r="AB67" i="5"/>
  <c r="AB55" i="5"/>
  <c r="AD65" i="5"/>
  <c r="AD122" i="5"/>
  <c r="W159" i="5"/>
  <c r="S84" i="5"/>
  <c r="AO18" i="5"/>
  <c r="AO156" i="5"/>
  <c r="AO57" i="5"/>
  <c r="AE85" i="5"/>
  <c r="AD61" i="5"/>
  <c r="AB151" i="5"/>
  <c r="AN66" i="5"/>
  <c r="AA96" i="5"/>
  <c r="S56" i="5"/>
  <c r="AI120" i="5"/>
  <c r="Z6" i="5"/>
  <c r="AO106" i="5"/>
  <c r="Z81" i="5"/>
  <c r="AJ52" i="5"/>
  <c r="AJ112" i="5"/>
  <c r="Z100" i="5"/>
  <c r="AG162" i="5"/>
  <c r="AL71" i="5"/>
  <c r="AL23" i="5"/>
  <c r="Y44" i="2"/>
  <c r="AP66" i="5"/>
  <c r="AA24" i="5"/>
  <c r="AK123" i="5"/>
  <c r="AO127" i="5"/>
  <c r="AJ110" i="5"/>
  <c r="Z41" i="5"/>
  <c r="AL45" i="5"/>
  <c r="AL159" i="5"/>
  <c r="AQ31" i="5"/>
  <c r="AQ92" i="5"/>
  <c r="AB10" i="5"/>
  <c r="AG97" i="5"/>
  <c r="AE31" i="5"/>
  <c r="AD131" i="5"/>
  <c r="AA118" i="5"/>
  <c r="AG109" i="5"/>
  <c r="V32" i="5"/>
  <c r="AB106" i="5"/>
  <c r="AQ60" i="5"/>
  <c r="AG108" i="5"/>
  <c r="Z137" i="5"/>
  <c r="AQ69" i="5"/>
  <c r="Z21" i="5"/>
  <c r="Z106" i="5"/>
  <c r="V101" i="5"/>
  <c r="Y81" i="2"/>
  <c r="AG114" i="5"/>
  <c r="AI47" i="5"/>
  <c r="AK89" i="5"/>
  <c r="AE34" i="5"/>
  <c r="Z88" i="5"/>
  <c r="AG28" i="5"/>
  <c r="AG67" i="5"/>
  <c r="AA85" i="5"/>
  <c r="Y61" i="2"/>
  <c r="AP33" i="5"/>
  <c r="AL52" i="5"/>
  <c r="AO117" i="5"/>
  <c r="AF33" i="5"/>
  <c r="AF120" i="5"/>
  <c r="S95" i="5"/>
  <c r="AJ153" i="5"/>
  <c r="AN72" i="5"/>
  <c r="AJ10" i="5"/>
  <c r="AP117" i="5"/>
  <c r="Z89" i="5"/>
  <c r="AI98" i="5"/>
  <c r="AF117" i="5"/>
  <c r="AP127" i="5"/>
  <c r="AG70" i="5"/>
  <c r="AE105" i="5"/>
  <c r="AF101" i="5"/>
  <c r="AA151" i="5"/>
  <c r="AK156" i="5"/>
  <c r="AA104" i="5"/>
  <c r="AF146" i="5"/>
  <c r="AF14" i="5"/>
  <c r="AA77" i="5"/>
  <c r="AK31" i="5"/>
  <c r="AP44" i="5"/>
  <c r="AN71" i="5"/>
  <c r="AD160" i="5"/>
  <c r="AD69" i="5"/>
  <c r="AN34" i="5"/>
  <c r="AI133" i="5"/>
  <c r="AN98" i="5"/>
  <c r="AK29" i="5"/>
  <c r="AA74" i="5"/>
  <c r="AK71" i="5"/>
  <c r="AP132" i="5"/>
  <c r="AF91" i="5"/>
  <c r="AK69" i="5"/>
  <c r="AA125" i="5"/>
  <c r="AF143" i="5"/>
  <c r="AA62" i="5"/>
  <c r="AA94" i="5"/>
  <c r="AP77" i="5"/>
  <c r="AP113" i="5"/>
  <c r="AK131" i="5"/>
  <c r="AP105" i="5"/>
  <c r="AP65" i="5"/>
  <c r="AQ26" i="5"/>
  <c r="AB159" i="5"/>
  <c r="AG155" i="5"/>
  <c r="AL16" i="5"/>
  <c r="AQ13" i="5"/>
  <c r="AL34" i="5"/>
  <c r="AL154" i="5"/>
  <c r="AQ28" i="5"/>
  <c r="AI39" i="5"/>
  <c r="Y35" i="5"/>
  <c r="Y78" i="5"/>
  <c r="Y136" i="5"/>
  <c r="Y21" i="5"/>
  <c r="Y25" i="2"/>
  <c r="AQ163" i="5"/>
  <c r="W91" i="2"/>
  <c r="W7" i="2"/>
  <c r="U8" i="5"/>
  <c r="AA44" i="5"/>
  <c r="AE161" i="5"/>
  <c r="S17" i="5"/>
  <c r="V88" i="5"/>
  <c r="AO24" i="5"/>
  <c r="Z44" i="5"/>
  <c r="AB59" i="5"/>
  <c r="V10" i="2"/>
  <c r="Y59" i="2"/>
  <c r="AQ18" i="5"/>
  <c r="AQ96" i="5"/>
  <c r="AK154" i="5"/>
  <c r="Z61" i="5"/>
  <c r="AE7" i="5"/>
  <c r="AO110" i="5"/>
  <c r="AG23" i="5"/>
  <c r="AD128" i="5"/>
  <c r="AA26" i="5"/>
  <c r="AD76" i="5"/>
  <c r="AJ29" i="5"/>
  <c r="AB30" i="5"/>
  <c r="AL18" i="5"/>
  <c r="V43" i="2"/>
  <c r="AP110" i="5"/>
  <c r="AJ156" i="5"/>
  <c r="AK53" i="5"/>
  <c r="AL103" i="5"/>
  <c r="Y116" i="5"/>
  <c r="AD96" i="5"/>
  <c r="AE149" i="5"/>
  <c r="AJ124" i="5"/>
  <c r="AJ33" i="5"/>
  <c r="AL46" i="5"/>
  <c r="AL49" i="5"/>
  <c r="AD51" i="5"/>
  <c r="W48" i="5"/>
  <c r="V54" i="2"/>
  <c r="AE27" i="5"/>
  <c r="AJ60" i="5"/>
  <c r="AE82" i="5"/>
  <c r="AO28" i="5"/>
  <c r="AF34" i="5"/>
  <c r="AL82" i="5"/>
  <c r="AL87" i="5"/>
  <c r="AB70" i="5"/>
  <c r="Y129" i="5"/>
  <c r="AQ6" i="5"/>
  <c r="U146" i="5"/>
  <c r="AA153" i="5"/>
  <c r="AJ61" i="5"/>
  <c r="AE75" i="5"/>
  <c r="AA115" i="5"/>
  <c r="Z139" i="5"/>
  <c r="AJ83" i="5"/>
  <c r="AJ41" i="5"/>
  <c r="AB41" i="5"/>
  <c r="AB163" i="5"/>
  <c r="X23" i="2"/>
  <c r="AI80" i="5"/>
  <c r="AP160" i="5"/>
  <c r="AO125" i="5"/>
  <c r="AO20" i="5"/>
  <c r="AE50" i="5"/>
  <c r="W37" i="2"/>
  <c r="AI21" i="5"/>
  <c r="AJ6" i="5"/>
  <c r="AB14" i="5"/>
  <c r="Y64" i="5"/>
  <c r="AD97" i="5"/>
  <c r="AP22" i="5"/>
  <c r="AI115" i="5"/>
  <c r="AB54" i="5"/>
  <c r="AA36" i="5"/>
  <c r="AQ114" i="5"/>
  <c r="AI45" i="5"/>
  <c r="X18" i="2"/>
  <c r="AA159" i="5"/>
  <c r="S158" i="5"/>
  <c r="AK72" i="5"/>
  <c r="Z13" i="5"/>
  <c r="AJ74" i="5"/>
  <c r="Z155" i="5"/>
  <c r="AN84" i="5"/>
  <c r="S97" i="5"/>
  <c r="AE76" i="5"/>
  <c r="Z58" i="5"/>
  <c r="AE154" i="5"/>
  <c r="AE89" i="5"/>
  <c r="AQ57" i="5"/>
  <c r="AA14" i="5"/>
  <c r="AI134" i="5"/>
  <c r="AA157" i="5"/>
  <c r="AJ104" i="5"/>
  <c r="AB7" i="5"/>
  <c r="AB18" i="5"/>
  <c r="AF132" i="5"/>
  <c r="AD68" i="5"/>
  <c r="AO13" i="5"/>
  <c r="AG10" i="5"/>
  <c r="AG88" i="5"/>
  <c r="S70" i="5"/>
  <c r="AO161" i="5"/>
  <c r="U102" i="5"/>
  <c r="AB79" i="5"/>
  <c r="AG21" i="5"/>
  <c r="AK134" i="5"/>
  <c r="AO49" i="5"/>
  <c r="AJ164" i="5"/>
  <c r="Z99" i="5"/>
  <c r="AG56" i="5"/>
  <c r="T149" i="5"/>
  <c r="AI65" i="5"/>
  <c r="Y50" i="5"/>
  <c r="AJ34" i="5"/>
  <c r="AP99" i="5"/>
  <c r="AO83" i="5"/>
  <c r="AE124" i="5"/>
  <c r="AN79" i="5"/>
  <c r="AQ152" i="5"/>
  <c r="AL83" i="5"/>
  <c r="AD50" i="5"/>
  <c r="AI127" i="5"/>
  <c r="W71" i="5"/>
  <c r="AA69" i="5"/>
  <c r="Z49" i="5"/>
  <c r="Z110" i="5"/>
  <c r="AO112" i="5"/>
  <c r="AA59" i="5"/>
  <c r="AA95" i="5"/>
  <c r="AJ143" i="5"/>
  <c r="AQ101" i="5"/>
  <c r="AQ104" i="5"/>
  <c r="U5" i="5"/>
  <c r="S164" i="5"/>
  <c r="AF145" i="5"/>
  <c r="AE73" i="5"/>
  <c r="AE67" i="5"/>
  <c r="AN111" i="5"/>
  <c r="AF163" i="5"/>
  <c r="Z159" i="5"/>
  <c r="AO89" i="5"/>
  <c r="AG113" i="5"/>
  <c r="AL61" i="5"/>
  <c r="AQ164" i="5"/>
  <c r="AI131" i="5"/>
  <c r="X25" i="5"/>
  <c r="Z114" i="5"/>
  <c r="AD127" i="5"/>
  <c r="AH29" i="5"/>
  <c r="AI73" i="5"/>
  <c r="AI44" i="5"/>
  <c r="AH33" i="5"/>
  <c r="Y52" i="5"/>
  <c r="AC100" i="5"/>
  <c r="AG103" i="5"/>
  <c r="AH108" i="5"/>
  <c r="AC17" i="5"/>
  <c r="AH21" i="5"/>
  <c r="AM150" i="5"/>
  <c r="Z94" i="5"/>
  <c r="AA121" i="5"/>
  <c r="X7" i="5"/>
  <c r="AJ23" i="5"/>
  <c r="AL42" i="5"/>
  <c r="AC13" i="5"/>
  <c r="AM99" i="5"/>
  <c r="AJ146" i="5"/>
  <c r="AM23" i="5"/>
  <c r="AO103" i="5"/>
  <c r="AE23" i="5"/>
  <c r="AH103" i="5"/>
  <c r="AQ52" i="5"/>
  <c r="AC42" i="5"/>
  <c r="AC107" i="5"/>
  <c r="AJ142" i="5"/>
  <c r="AD152" i="5"/>
  <c r="X84" i="5"/>
  <c r="AK122" i="5"/>
  <c r="AM123" i="5"/>
  <c r="AQ106" i="5"/>
  <c r="Y72" i="5"/>
  <c r="AO105" i="5"/>
  <c r="AN114" i="5"/>
  <c r="AH104" i="5"/>
  <c r="AA120" i="5"/>
  <c r="AH100" i="5"/>
  <c r="AK85" i="5"/>
  <c r="X144" i="5"/>
  <c r="AM107" i="5"/>
  <c r="AD45" i="5"/>
  <c r="AJ67" i="5"/>
  <c r="AN49" i="5"/>
  <c r="AA122" i="5"/>
  <c r="AM147" i="5"/>
  <c r="Z129" i="5"/>
  <c r="AQ108" i="5"/>
  <c r="AA88" i="5"/>
  <c r="X91" i="2"/>
  <c r="AC87" i="5"/>
  <c r="AH87" i="5"/>
  <c r="AL107" i="5"/>
  <c r="AD105" i="5"/>
  <c r="AP18" i="5"/>
  <c r="Y48" i="5"/>
  <c r="AC135" i="5"/>
  <c r="AH140" i="5"/>
  <c r="AH40" i="5"/>
  <c r="Y80" i="5"/>
  <c r="AQ67" i="5"/>
  <c r="X96" i="5"/>
  <c r="X88" i="5"/>
  <c r="AC110" i="5"/>
  <c r="AB105" i="5"/>
  <c r="AD93" i="5"/>
  <c r="AL10" i="5"/>
  <c r="S131" i="5"/>
  <c r="AE24" i="5"/>
  <c r="X116" i="5"/>
  <c r="AM34" i="5"/>
  <c r="AD73" i="5"/>
  <c r="X128" i="5"/>
  <c r="AC126" i="5"/>
  <c r="AQ73" i="5"/>
  <c r="AI50" i="5"/>
  <c r="AM124" i="5"/>
  <c r="AJ93" i="5"/>
  <c r="AB103" i="5"/>
  <c r="AA79" i="5"/>
  <c r="AK99" i="5"/>
  <c r="AK103" i="5"/>
  <c r="AK95" i="5"/>
  <c r="AP50" i="5"/>
  <c r="AP19" i="5"/>
  <c r="AK127" i="5"/>
  <c r="AF77" i="5"/>
  <c r="AF71" i="5"/>
  <c r="AP72" i="5"/>
  <c r="AN13" i="5"/>
  <c r="AI79" i="5"/>
  <c r="AI52" i="5"/>
  <c r="Y36" i="5"/>
  <c r="AD142" i="5"/>
  <c r="AN35" i="5"/>
  <c r="AD30" i="5"/>
  <c r="Y61" i="5"/>
  <c r="AN21" i="5"/>
  <c r="AA99" i="5"/>
  <c r="AP43" i="5"/>
  <c r="AP24" i="5"/>
  <c r="AK113" i="5"/>
  <c r="AA110" i="5"/>
  <c r="AF76" i="5"/>
  <c r="AP48" i="5"/>
  <c r="AA63" i="5"/>
  <c r="AA140" i="5"/>
  <c r="AA105" i="5"/>
  <c r="AA42" i="5"/>
  <c r="AP100" i="5"/>
  <c r="AP109" i="5"/>
  <c r="AF67" i="5"/>
  <c r="AQ75" i="5"/>
  <c r="AQ59" i="5"/>
  <c r="AG84" i="5"/>
  <c r="AG38" i="5"/>
  <c r="AL89" i="5"/>
  <c r="AL64" i="5"/>
  <c r="AL158" i="5"/>
  <c r="AI111" i="5"/>
  <c r="AD10" i="5"/>
  <c r="AD67" i="5"/>
  <c r="Y144" i="5"/>
  <c r="AI6" i="5"/>
  <c r="T23" i="5"/>
  <c r="AF157" i="5"/>
  <c r="T112" i="5"/>
  <c r="AJ49" i="5"/>
  <c r="AJ68" i="5"/>
  <c r="Z103" i="5"/>
  <c r="AO72" i="5"/>
  <c r="AK92" i="5"/>
  <c r="W93" i="5"/>
  <c r="AQ81" i="5" s="1"/>
  <c r="AJ46" i="5"/>
  <c r="AQ85" i="5"/>
  <c r="AD132" i="5"/>
  <c r="Z62" i="5"/>
  <c r="AA116" i="5"/>
  <c r="AB23" i="5"/>
  <c r="AD107" i="5"/>
  <c r="AN112" i="5"/>
  <c r="Z52" i="5"/>
  <c r="AO59" i="5"/>
  <c r="Y51" i="5"/>
  <c r="AQ161" i="5"/>
  <c r="AA148" i="5"/>
  <c r="AO9" i="5"/>
  <c r="Z154" i="5"/>
  <c r="AB28" i="5"/>
  <c r="Y133" i="5"/>
  <c r="W16" i="2"/>
  <c r="AE51" i="5"/>
  <c r="Z48" i="5"/>
  <c r="AL7" i="5"/>
  <c r="Y126" i="5"/>
  <c r="AJ88" i="5"/>
  <c r="AO17" i="5"/>
  <c r="Y75" i="5"/>
  <c r="AB153" i="5"/>
  <c r="AI137" i="5"/>
  <c r="Y123" i="5"/>
  <c r="W57" i="2"/>
  <c r="V30" i="2"/>
  <c r="AP119" i="5"/>
  <c r="AP46" i="5"/>
  <c r="Z92" i="5"/>
  <c r="AO144" i="5"/>
  <c r="AE102" i="5"/>
  <c r="Z136" i="5"/>
  <c r="AL48" i="5"/>
  <c r="AB86" i="5"/>
  <c r="AB58" i="5"/>
  <c r="AG31" i="5"/>
  <c r="Y88" i="2"/>
  <c r="U97" i="5"/>
  <c r="W11" i="2"/>
  <c r="AF64" i="5"/>
  <c r="AE163" i="5"/>
  <c r="AO149" i="5"/>
  <c r="AO142" i="5"/>
  <c r="Y141" i="5"/>
  <c r="AL37" i="5"/>
  <c r="AL88" i="5"/>
  <c r="Y60" i="5"/>
  <c r="W156" i="5"/>
  <c r="AP146" i="5"/>
  <c r="AN39" i="5"/>
  <c r="S159" i="5"/>
  <c r="Z127" i="5"/>
  <c r="AO99" i="5"/>
  <c r="AJ53" i="5"/>
  <c r="AJ150" i="5"/>
  <c r="AB109" i="5"/>
  <c r="AB9" i="5"/>
  <c r="Y41" i="5"/>
  <c r="AN135" i="5"/>
  <c r="X70" i="2"/>
  <c r="AD163" i="5"/>
  <c r="AH141" i="5"/>
  <c r="AM7" i="5"/>
  <c r="Z93" i="5"/>
  <c r="AE21" i="5"/>
  <c r="X6" i="5"/>
  <c r="AE144" i="5"/>
  <c r="AG153" i="5"/>
  <c r="X101" i="5"/>
  <c r="AN47" i="5"/>
  <c r="T106" i="5"/>
  <c r="W50" i="2"/>
  <c r="S82" i="5"/>
  <c r="AK18" i="5"/>
  <c r="AJ11" i="5"/>
  <c r="AA130" i="5"/>
  <c r="AF136" i="5"/>
  <c r="S61" i="5"/>
  <c r="AD111" i="5"/>
  <c r="AE6" i="5"/>
  <c r="AG60" i="5"/>
  <c r="W87" i="5"/>
  <c r="Z164" i="5"/>
  <c r="Z151" i="5"/>
  <c r="AG160" i="5"/>
  <c r="AI99" i="5"/>
  <c r="AL73" i="5"/>
  <c r="Z50" i="5"/>
  <c r="AJ16" i="5"/>
  <c r="AL98" i="5"/>
  <c r="AB36" i="5"/>
  <c r="W40" i="2"/>
  <c r="AN125" i="5"/>
  <c r="AA146" i="5"/>
  <c r="AN118" i="5"/>
  <c r="AG87" i="5"/>
  <c r="Y74" i="5"/>
  <c r="AL104" i="5"/>
  <c r="AF47" i="5"/>
  <c r="AE28" i="5"/>
  <c r="AN11" i="5"/>
  <c r="T158" i="5"/>
  <c r="AD164" i="5"/>
  <c r="AE143" i="5"/>
  <c r="AE22" i="5"/>
  <c r="AG27" i="5"/>
  <c r="AB78" i="5"/>
  <c r="Y108" i="5"/>
  <c r="AI130" i="5"/>
  <c r="T8" i="5"/>
  <c r="AF75" i="5"/>
  <c r="AF51" i="5"/>
  <c r="AO95" i="5"/>
  <c r="AE114" i="5"/>
  <c r="AJ154" i="5"/>
  <c r="AJ22" i="5"/>
  <c r="AB162" i="5"/>
  <c r="AN9" i="5"/>
  <c r="V32" i="2"/>
  <c r="AI5" i="5"/>
  <c r="AI67" i="5"/>
  <c r="AO47" i="5"/>
  <c r="AO154" i="5"/>
  <c r="Z42" i="5"/>
  <c r="AJ85" i="5"/>
  <c r="AJ71" i="5"/>
  <c r="Y163" i="5"/>
  <c r="AG164" i="5"/>
  <c r="AB52" i="5"/>
  <c r="AD149" i="5"/>
  <c r="V36" i="2"/>
  <c r="AI78" i="5"/>
  <c r="AE5" i="5"/>
  <c r="X86" i="5"/>
  <c r="Z157" i="5"/>
  <c r="AJ163" i="5"/>
  <c r="AE78" i="5"/>
  <c r="Z104" i="5"/>
  <c r="AB11" i="5"/>
  <c r="AG92" i="5"/>
  <c r="AL160" i="5"/>
  <c r="AN91" i="5"/>
  <c r="AN151" i="5"/>
  <c r="AC141" i="5"/>
  <c r="AA20" i="5"/>
  <c r="AQ64" i="5"/>
  <c r="AC41" i="5"/>
  <c r="AM102" i="5"/>
  <c r="AC32" i="5"/>
  <c r="X22" i="5"/>
  <c r="AE59" i="5"/>
  <c r="AC27" i="5"/>
  <c r="AO33" i="5"/>
  <c r="AE138" i="5"/>
  <c r="Y67" i="5"/>
  <c r="AC93" i="5"/>
  <c r="AN116" i="5"/>
  <c r="X99" i="5"/>
  <c r="AF84" i="5"/>
  <c r="AE125" i="5"/>
  <c r="AM146" i="5"/>
  <c r="Y36" i="2"/>
  <c r="AE131" i="5"/>
  <c r="Y5" i="5"/>
  <c r="Y117" i="5"/>
  <c r="Y91" i="2"/>
  <c r="Y11" i="2"/>
  <c r="AE164" i="5"/>
  <c r="AE103" i="5"/>
  <c r="AL94" i="5"/>
  <c r="AE106" i="5"/>
  <c r="AP71" i="5"/>
  <c r="AK105" i="5"/>
  <c r="AJ100" i="5"/>
  <c r="AL30" i="5"/>
  <c r="V9" i="5"/>
  <c r="AO53" i="5"/>
  <c r="AJ17" i="5"/>
  <c r="AQ47" i="5"/>
  <c r="W81" i="2"/>
  <c r="AN87" i="5"/>
  <c r="Z85" i="5"/>
  <c r="AO151" i="5"/>
  <c r="AG152" i="5"/>
  <c r="AQ82" i="5"/>
  <c r="T56" i="5"/>
  <c r="AK138" i="5"/>
  <c r="AE37" i="5"/>
  <c r="AA27" i="5"/>
  <c r="AB20" i="5"/>
  <c r="Y111" i="5"/>
  <c r="AF52" i="5"/>
  <c r="AJ99" i="5"/>
  <c r="AJ32" i="5"/>
  <c r="AQ22" i="5"/>
  <c r="AN149" i="5"/>
  <c r="S64" i="5"/>
  <c r="AK52" i="5"/>
  <c r="AO162" i="5"/>
  <c r="AD117" i="5"/>
  <c r="AB68" i="5"/>
  <c r="Y38" i="5"/>
  <c r="Y106" i="5"/>
  <c r="W28" i="5"/>
  <c r="AI70" i="5"/>
  <c r="Z30" i="5"/>
  <c r="AJ12" i="5"/>
  <c r="AO101" i="5"/>
  <c r="Y139" i="5"/>
  <c r="AO87" i="5"/>
  <c r="Z68" i="5"/>
  <c r="AG72" i="5"/>
  <c r="Y95" i="5"/>
  <c r="Y91" i="5"/>
  <c r="V91" i="5"/>
  <c r="V18" i="5"/>
  <c r="AP16" i="5" s="1"/>
  <c r="Y68" i="5"/>
  <c r="AE100" i="5"/>
  <c r="AJ162" i="5"/>
  <c r="U127" i="5"/>
  <c r="AE123" i="5" s="1"/>
  <c r="Z148" i="5"/>
  <c r="AD155" i="5"/>
  <c r="AL92" i="5"/>
  <c r="AL31" i="5"/>
  <c r="Y22" i="5"/>
  <c r="Y86" i="2"/>
  <c r="AA160" i="5"/>
  <c r="Z77" i="5"/>
  <c r="AO121" i="5"/>
  <c r="AJ26" i="5"/>
  <c r="Z141" i="5"/>
  <c r="W144" i="5"/>
  <c r="AF159" i="5"/>
  <c r="Y132" i="5"/>
  <c r="AL157" i="5"/>
  <c r="AQ9" i="5"/>
  <c r="AQ44" i="5"/>
  <c r="Y145" i="5"/>
  <c r="AL12" i="5"/>
  <c r="AH142" i="5"/>
  <c r="AC24" i="5"/>
  <c r="AG163" i="5"/>
  <c r="AH56" i="5"/>
  <c r="AC61" i="5"/>
  <c r="AH134" i="5"/>
  <c r="AM96" i="5"/>
  <c r="AJ120" i="5"/>
  <c r="AH34" i="5"/>
  <c r="AN60" i="5"/>
  <c r="W12" i="2"/>
  <c r="Y7" i="5"/>
  <c r="AM12" i="5"/>
  <c r="AF119" i="5"/>
  <c r="AM33" i="5"/>
  <c r="AE116" i="5"/>
  <c r="AQ111" i="5"/>
  <c r="AC34" i="5"/>
  <c r="X60" i="5"/>
  <c r="AO44" i="5"/>
  <c r="AN122" i="5"/>
  <c r="AC12" i="5"/>
  <c r="AK121" i="5"/>
  <c r="AM60" i="5"/>
  <c r="AL132" i="5"/>
  <c r="AC99" i="5"/>
  <c r="AH152" i="5"/>
  <c r="AL75" i="5"/>
  <c r="AG54" i="5"/>
  <c r="AH9" i="5"/>
  <c r="AM92" i="5"/>
  <c r="AH41" i="5"/>
  <c r="AM101" i="5"/>
  <c r="AL36" i="5"/>
  <c r="AL106" i="5"/>
  <c r="AL43" i="5"/>
  <c r="AK61" i="5"/>
  <c r="AQ40" i="5"/>
  <c r="AH122" i="5"/>
  <c r="AH81" i="5"/>
  <c r="AM78" i="5"/>
  <c r="X163" i="5"/>
  <c r="AB122" i="5"/>
  <c r="AH14" i="5"/>
  <c r="AO43" i="5"/>
  <c r="AH121" i="5"/>
  <c r="AC121" i="5"/>
  <c r="AH55" i="5"/>
  <c r="AH136" i="5"/>
  <c r="AB115" i="5"/>
  <c r="AD47" i="5"/>
  <c r="AG149" i="5"/>
  <c r="T25" i="5"/>
  <c r="AK115" i="5"/>
  <c r="AH17" i="5"/>
  <c r="AC139" i="5"/>
  <c r="AM15" i="5"/>
  <c r="AC69" i="5"/>
  <c r="AQ121" i="5"/>
  <c r="AL101" i="5"/>
  <c r="AH91" i="5"/>
  <c r="AJ81" i="5"/>
  <c r="AQ79" i="5"/>
  <c r="AH66" i="5"/>
  <c r="AB69" i="5"/>
  <c r="AC101" i="5"/>
  <c r="X23" i="5"/>
  <c r="AM19" i="5"/>
  <c r="AI18" i="5"/>
  <c r="AI104" i="5"/>
  <c r="AE90" i="5"/>
  <c r="AQ134" i="5"/>
  <c r="AC20" i="5"/>
  <c r="AN45" i="5"/>
  <c r="AH114" i="5"/>
  <c r="AP138" i="5"/>
  <c r="AG157" i="5"/>
  <c r="AC74" i="5"/>
  <c r="Y99" i="5"/>
  <c r="AH129" i="5"/>
  <c r="AN17" i="5"/>
  <c r="AC65" i="5"/>
  <c r="AK87" i="5"/>
  <c r="AH123" i="5"/>
  <c r="AC62" i="5"/>
  <c r="Z84" i="5"/>
  <c r="Z150" i="5"/>
  <c r="AG89" i="5"/>
  <c r="AM35" i="5"/>
  <c r="AC137" i="5"/>
  <c r="X47" i="5"/>
  <c r="AM108" i="5"/>
  <c r="AM149" i="5"/>
  <c r="AP90" i="5"/>
  <c r="Z73" i="5"/>
  <c r="AL21" i="5"/>
  <c r="AH110" i="5"/>
  <c r="AB56" i="5"/>
  <c r="X155" i="5"/>
  <c r="Z116" i="5"/>
  <c r="AF82" i="5"/>
  <c r="AQ15" i="5"/>
  <c r="AQ105" i="5"/>
  <c r="AK108" i="5"/>
  <c r="AP49" i="5"/>
  <c r="AP123" i="5"/>
  <c r="AP107" i="5"/>
  <c r="AF16" i="5"/>
  <c r="AA47" i="5"/>
  <c r="AK74" i="5"/>
  <c r="AF92" i="5"/>
  <c r="AF53" i="5"/>
  <c r="AK32" i="5"/>
  <c r="AA92" i="5"/>
  <c r="AI96" i="5"/>
  <c r="Y58" i="5"/>
  <c r="AN120" i="5"/>
  <c r="AI41" i="5"/>
  <c r="AD80" i="5"/>
  <c r="AD79" i="5"/>
  <c r="AD92" i="5"/>
  <c r="AI64" i="5"/>
  <c r="AP27" i="5"/>
  <c r="AK142" i="5"/>
  <c r="AF110" i="5"/>
  <c r="AP103" i="5"/>
  <c r="AA45" i="5"/>
  <c r="AA9" i="5"/>
  <c r="AK27" i="5"/>
  <c r="AK51" i="5"/>
  <c r="AF66" i="5"/>
  <c r="AA142" i="5"/>
  <c r="AA15" i="5"/>
  <c r="AK141" i="5"/>
  <c r="AP69" i="5"/>
  <c r="AF81" i="5"/>
  <c r="AA78" i="5"/>
  <c r="AK55" i="5"/>
  <c r="AK59" i="5"/>
  <c r="AG36" i="5"/>
  <c r="AG146" i="5"/>
  <c r="AB150" i="5"/>
  <c r="AB35" i="5"/>
  <c r="AQ157" i="5"/>
  <c r="AQ150" i="5"/>
  <c r="AB161" i="5"/>
  <c r="AA21" i="5"/>
  <c r="AN99" i="5"/>
  <c r="AN10" i="5"/>
  <c r="AN140" i="5"/>
  <c r="AI16" i="5"/>
  <c r="AD19" i="5"/>
  <c r="AN133" i="5"/>
  <c r="AD75" i="5"/>
  <c r="AN107" i="5"/>
  <c r="AN129" i="5"/>
  <c r="AE26" i="5"/>
  <c r="AE14" i="5"/>
  <c r="AE107" i="5"/>
  <c r="Z34" i="5"/>
  <c r="AF36" i="5"/>
  <c r="AK78" i="5"/>
  <c r="AA43" i="5"/>
  <c r="AP25" i="5"/>
  <c r="AP58" i="5"/>
  <c r="AQ146" i="5"/>
  <c r="AB64" i="5"/>
  <c r="AA18" i="5"/>
  <c r="AI119" i="5"/>
  <c r="AD29" i="5"/>
  <c r="AD22" i="5"/>
  <c r="AN42" i="5"/>
  <c r="AD78" i="5"/>
  <c r="AD77" i="5"/>
  <c r="AI42" i="5"/>
  <c r="AE62" i="5"/>
  <c r="AP131" i="5"/>
  <c r="AK48" i="5"/>
  <c r="Y98" i="5"/>
  <c r="X45" i="5"/>
  <c r="AG106" i="5"/>
  <c r="AM90" i="5"/>
  <c r="AC85" i="5"/>
  <c r="AC73" i="5"/>
  <c r="Z152" i="5"/>
  <c r="AC151" i="5"/>
  <c r="AH96" i="5"/>
  <c r="AO32" i="5"/>
  <c r="AD133" i="5"/>
  <c r="AB49" i="5"/>
  <c r="AG133" i="5"/>
  <c r="AJ56" i="5"/>
  <c r="AM85" i="5"/>
  <c r="AH117" i="5"/>
  <c r="AO80" i="5"/>
  <c r="AI69" i="5"/>
  <c r="AC38" i="5"/>
  <c r="AM137" i="5"/>
  <c r="AI33" i="5"/>
  <c r="AF72" i="5"/>
  <c r="AQ38" i="5"/>
  <c r="X57" i="5"/>
  <c r="AO94" i="5"/>
  <c r="AN86" i="5"/>
  <c r="AC111" i="5"/>
  <c r="AM97" i="5"/>
  <c r="AD31" i="5"/>
  <c r="AL116" i="5"/>
  <c r="AQ66" i="5"/>
  <c r="X13" i="5"/>
  <c r="AC23" i="5"/>
  <c r="AN78" i="5"/>
  <c r="AP154" i="5"/>
  <c r="AC5" i="5"/>
  <c r="AI17" i="5"/>
  <c r="AM37" i="5"/>
  <c r="AF31" i="5"/>
  <c r="AH147" i="5"/>
  <c r="AA60" i="5"/>
  <c r="AF107" i="5"/>
  <c r="AA98" i="5"/>
  <c r="AK126" i="5"/>
  <c r="AP53" i="5"/>
  <c r="AF46" i="5"/>
  <c r="AK24" i="5"/>
  <c r="AI57" i="5"/>
  <c r="AD102" i="5"/>
  <c r="AN162" i="5"/>
  <c r="Y88" i="5"/>
  <c r="AN121" i="5"/>
  <c r="AA64" i="5"/>
  <c r="AK94" i="5"/>
  <c r="AP7" i="5"/>
  <c r="AK54" i="5"/>
  <c r="AA76" i="5"/>
  <c r="AA61" i="5"/>
  <c r="AK124" i="5"/>
  <c r="AK37" i="5"/>
  <c r="AA136" i="5"/>
  <c r="AF40" i="5"/>
  <c r="AK63" i="5"/>
  <c r="AL91" i="5"/>
  <c r="AL38" i="5"/>
  <c r="AG150" i="5"/>
  <c r="AL25" i="5"/>
  <c r="AK20" i="5"/>
  <c r="AI136" i="5"/>
  <c r="AI37" i="5"/>
  <c r="AN90" i="5"/>
  <c r="AD138" i="5"/>
  <c r="AD74" i="5"/>
  <c r="AN23" i="5"/>
  <c r="AN28" i="5"/>
  <c r="AE122" i="5"/>
  <c r="AE8" i="5"/>
  <c r="Z33" i="5"/>
  <c r="AF78" i="5"/>
  <c r="AP45" i="5"/>
  <c r="AA48" i="5"/>
  <c r="AK64" i="5"/>
  <c r="AG13" i="5"/>
  <c r="AK13" i="5"/>
  <c r="AI53" i="5"/>
  <c r="AD71" i="5"/>
  <c r="AD26" i="5"/>
  <c r="AI15" i="5"/>
  <c r="AN36" i="5"/>
  <c r="AI13" i="5"/>
  <c r="AI40" i="5"/>
  <c r="AA75" i="5"/>
  <c r="AK111" i="5"/>
  <c r="AA112" i="5"/>
  <c r="AA55" i="5"/>
  <c r="AA101" i="5"/>
  <c r="AF93" i="5"/>
  <c r="AN7" i="5"/>
  <c r="AB81" i="5"/>
  <c r="AG55" i="5"/>
  <c r="AP8" i="5"/>
  <c r="AP6" i="5"/>
  <c r="AN30" i="5"/>
  <c r="AQ70" i="5"/>
  <c r="AQ74" i="5"/>
  <c r="AP141" i="5"/>
  <c r="AI122" i="5"/>
  <c r="AN53" i="5"/>
  <c r="AK57" i="5"/>
  <c r="AD147" i="5"/>
  <c r="AG43" i="5"/>
  <c r="AP37" i="5"/>
  <c r="AQ34" i="5"/>
  <c r="AI140" i="5"/>
  <c r="AD143" i="5"/>
  <c r="AP83" i="5"/>
  <c r="AQ65" i="5"/>
  <c r="Y15" i="5"/>
  <c r="AE132" i="5"/>
  <c r="Z130" i="5"/>
  <c r="AJ145" i="5"/>
  <c r="Z25" i="5"/>
  <c r="Z119" i="5"/>
  <c r="Z124" i="5"/>
  <c r="AJ116" i="5"/>
  <c r="Z149" i="5"/>
  <c r="AJ136" i="5"/>
  <c r="AE129" i="5"/>
  <c r="AO126" i="5"/>
  <c r="AE91" i="5"/>
  <c r="AO118" i="5"/>
  <c r="AE140" i="5"/>
  <c r="Z128" i="5"/>
  <c r="AJ128" i="5"/>
  <c r="AH124" i="5"/>
  <c r="X143" i="5"/>
  <c r="AH44" i="5"/>
  <c r="AC40" i="5"/>
  <c r="AH131" i="5"/>
  <c r="AM133" i="5"/>
  <c r="AH145" i="5"/>
  <c r="X105" i="5"/>
  <c r="AH74" i="5"/>
  <c r="AM27" i="5"/>
  <c r="AC105" i="5"/>
  <c r="AH76" i="5"/>
  <c r="AC58" i="5"/>
  <c r="AH24" i="5"/>
  <c r="AM159" i="5"/>
  <c r="AH10" i="5"/>
  <c r="AH101" i="5"/>
  <c r="X122" i="5"/>
  <c r="AC66" i="5"/>
  <c r="AM72" i="5"/>
  <c r="AH116" i="5"/>
  <c r="AH89" i="5"/>
  <c r="AC48" i="5"/>
  <c r="AH158" i="5"/>
  <c r="AH159" i="5"/>
  <c r="AQ112" i="5"/>
  <c r="AQ144" i="5"/>
  <c r="AL124" i="5"/>
  <c r="AB110" i="5"/>
  <c r="AG117" i="5"/>
  <c r="AL117" i="5"/>
  <c r="AH133" i="5"/>
  <c r="Y24" i="5"/>
  <c r="AI151" i="5"/>
  <c r="AJ118" i="5"/>
  <c r="AJ137" i="5"/>
  <c r="AM86" i="5"/>
  <c r="AM75" i="5"/>
  <c r="AM111" i="5"/>
  <c r="AH148" i="5"/>
  <c r="AC156" i="5"/>
  <c r="AN51" i="5"/>
  <c r="AC144" i="5"/>
  <c r="X77" i="5"/>
  <c r="AF133" i="5"/>
  <c r="AJ80" i="5"/>
  <c r="AI46" i="5"/>
  <c r="AM93" i="5"/>
  <c r="AI27" i="5"/>
  <c r="AH30" i="5"/>
  <c r="AC125" i="5"/>
  <c r="AD33" i="5"/>
  <c r="AP86" i="5"/>
  <c r="AG53" i="5"/>
  <c r="AN44" i="5"/>
  <c r="AM121" i="5"/>
  <c r="AI49" i="5"/>
  <c r="AE18" i="5"/>
  <c r="AC54" i="5"/>
  <c r="AM18" i="5"/>
  <c r="AA86" i="5"/>
  <c r="AH11" i="5"/>
  <c r="AD141" i="5"/>
  <c r="AP121" i="5"/>
  <c r="AM161" i="5"/>
  <c r="AO85" i="5"/>
  <c r="AC18" i="5"/>
  <c r="X81" i="5"/>
  <c r="AE115" i="5"/>
  <c r="X112" i="5"/>
  <c r="Y39" i="5"/>
  <c r="AH161" i="5"/>
  <c r="AC148" i="5"/>
  <c r="AM156" i="5"/>
  <c r="AO137" i="5"/>
  <c r="AM136" i="5"/>
  <c r="AF122" i="5"/>
  <c r="AH47" i="5"/>
  <c r="AO58" i="5"/>
  <c r="AG46" i="5"/>
  <c r="AK60" i="5"/>
  <c r="AF162" i="5"/>
  <c r="AF5" i="5"/>
  <c r="AA111" i="5"/>
  <c r="AA158" i="5"/>
  <c r="AP54" i="5"/>
  <c r="AF45" i="5"/>
  <c r="AN64" i="5"/>
  <c r="AI135" i="5"/>
  <c r="AN153" i="5"/>
  <c r="AN85" i="5"/>
  <c r="AD12" i="5"/>
  <c r="AK23" i="5"/>
  <c r="AF129" i="5"/>
  <c r="AA139" i="5"/>
  <c r="AF50" i="5"/>
  <c r="AA132" i="5"/>
  <c r="AK25" i="5"/>
  <c r="AK128" i="5"/>
  <c r="AK140" i="5"/>
  <c r="AP112" i="5"/>
  <c r="AP55" i="5"/>
  <c r="AB164" i="5"/>
  <c r="AB72" i="5"/>
  <c r="AB31" i="5"/>
  <c r="AL39" i="5"/>
  <c r="AQ149" i="5"/>
  <c r="Y130" i="5"/>
  <c r="AN62" i="5"/>
  <c r="AN152" i="5"/>
  <c r="AD100" i="5"/>
  <c r="AN41" i="5"/>
  <c r="AN146" i="5"/>
  <c r="AD148" i="5"/>
  <c r="AE119" i="5"/>
  <c r="Z18" i="5"/>
  <c r="AE17" i="5"/>
  <c r="AF9" i="5"/>
  <c r="AP135" i="5"/>
  <c r="AF48" i="5"/>
  <c r="AA22" i="5"/>
  <c r="AF62" i="5"/>
  <c r="AG101" i="5"/>
  <c r="AP17" i="5"/>
  <c r="AI28" i="5"/>
  <c r="AI10" i="5"/>
  <c r="AN25" i="5"/>
  <c r="AD34" i="5"/>
  <c r="AD62" i="5"/>
  <c r="AD121" i="5"/>
  <c r="Y11" i="5"/>
  <c r="AP108" i="5"/>
  <c r="AA134" i="5"/>
  <c r="AF116" i="5"/>
  <c r="AA52" i="5"/>
  <c r="AF104" i="5"/>
  <c r="AA91" i="5"/>
  <c r="Y9" i="5"/>
  <c r="AQ56" i="5"/>
  <c r="AL55" i="5"/>
  <c r="AP10" i="5"/>
  <c r="AA5" i="5"/>
  <c r="AI26" i="5"/>
  <c r="AG71" i="5"/>
  <c r="AK144" i="5"/>
  <c r="AN119" i="5"/>
  <c r="Y124" i="5"/>
  <c r="AD53" i="5"/>
  <c r="AF56" i="5"/>
  <c r="AI149" i="5"/>
  <c r="AB44" i="5"/>
  <c r="AF37" i="5"/>
  <c r="AG41" i="5"/>
  <c r="Y140" i="5"/>
  <c r="AN144" i="5"/>
  <c r="AA82" i="5"/>
  <c r="AG65" i="5"/>
  <c r="AE66" i="5"/>
  <c r="AO90" i="5"/>
  <c r="AE133" i="5"/>
  <c r="AJ123" i="5"/>
  <c r="AE79" i="5"/>
  <c r="Z121" i="5"/>
  <c r="Z87" i="5"/>
  <c r="AO129" i="5"/>
  <c r="Z123" i="5"/>
  <c r="AO135" i="5"/>
  <c r="AO113" i="5"/>
  <c r="AO147" i="5"/>
  <c r="AO93" i="5"/>
  <c r="Z146" i="5"/>
  <c r="AE145" i="5"/>
  <c r="Z83" i="5"/>
  <c r="AE121" i="5"/>
  <c r="AC52" i="5"/>
  <c r="AH83" i="5"/>
  <c r="AH146" i="5"/>
  <c r="AM109" i="5"/>
  <c r="AC97" i="5"/>
  <c r="AC53" i="5"/>
  <c r="AH45" i="5"/>
  <c r="X49" i="5"/>
  <c r="AC113" i="5"/>
  <c r="AH69" i="5"/>
  <c r="X27" i="5"/>
  <c r="AC6" i="5"/>
  <c r="AC128" i="5"/>
  <c r="X64" i="5"/>
  <c r="AC161" i="5"/>
  <c r="AH39" i="5"/>
  <c r="AH97" i="5"/>
  <c r="X62" i="5"/>
  <c r="AM32" i="5"/>
  <c r="X131" i="5"/>
  <c r="AM10" i="5"/>
  <c r="AC33" i="5"/>
  <c r="AH111" i="5"/>
  <c r="AH65" i="5"/>
  <c r="AC26" i="5"/>
  <c r="X20" i="5"/>
  <c r="AG140" i="5"/>
  <c r="AB118" i="5"/>
  <c r="AG122" i="5"/>
  <c r="AL112" i="5"/>
  <c r="AG124" i="5"/>
  <c r="AQ142" i="5"/>
  <c r="AB144" i="5"/>
  <c r="AQ136" i="5"/>
  <c r="AB135" i="5"/>
  <c r="AD25" i="5"/>
  <c r="AQ109" i="5"/>
  <c r="AL111" i="5"/>
  <c r="AL9" i="5"/>
  <c r="Z91" i="5"/>
  <c r="AO139" i="5"/>
  <c r="AM71" i="5"/>
  <c r="AC36" i="5"/>
  <c r="AC44" i="5"/>
  <c r="AH160" i="5"/>
  <c r="AB133" i="5"/>
  <c r="X14" i="5"/>
  <c r="AC147" i="5"/>
  <c r="AQ55" i="5"/>
  <c r="AQ37" i="5"/>
  <c r="Z22" i="5"/>
  <c r="AM163" i="5"/>
  <c r="AE11" i="5"/>
  <c r="AC25" i="5"/>
  <c r="X93" i="5"/>
  <c r="AL113" i="5"/>
  <c r="X121" i="5"/>
  <c r="AL59" i="5"/>
  <c r="AF121" i="5"/>
  <c r="AF90" i="5"/>
  <c r="AC120" i="5"/>
  <c r="AO21" i="5"/>
  <c r="AC11" i="5"/>
  <c r="AM157" i="5"/>
  <c r="AP14" i="5"/>
  <c r="Y37" i="2"/>
  <c r="AM59" i="5"/>
  <c r="Y73" i="5"/>
  <c r="AP84" i="5"/>
  <c r="Y135" i="5"/>
  <c r="AC123" i="5"/>
  <c r="AM145" i="5"/>
  <c r="AG12" i="5"/>
  <c r="AH43" i="5"/>
  <c r="AQ19" i="5"/>
  <c r="AD49" i="5"/>
  <c r="AF88" i="5"/>
  <c r="W33" i="2"/>
  <c r="AJ126" i="5"/>
  <c r="AM129" i="5"/>
  <c r="AN73" i="5"/>
  <c r="AP88" i="5"/>
  <c r="AO16" i="5"/>
  <c r="AH51" i="5"/>
  <c r="AA128" i="5"/>
  <c r="AA141" i="5"/>
  <c r="AA156" i="5"/>
  <c r="AP111" i="5"/>
  <c r="AK143" i="5"/>
  <c r="AA162" i="5"/>
  <c r="AP9" i="5"/>
  <c r="Y59" i="5"/>
  <c r="AI94" i="5"/>
  <c r="AI29" i="5"/>
  <c r="AN68" i="5"/>
  <c r="AD39" i="5"/>
  <c r="AK21" i="5"/>
  <c r="AP139" i="5"/>
  <c r="AK7" i="5"/>
  <c r="AP134" i="5"/>
  <c r="AF54" i="5"/>
  <c r="AA131" i="5"/>
  <c r="AP114" i="5"/>
  <c r="AA11" i="5"/>
  <c r="AF144" i="5"/>
  <c r="AA56" i="5"/>
  <c r="AB63" i="5"/>
  <c r="AG29" i="5"/>
  <c r="AG79" i="5"/>
  <c r="AL164" i="5"/>
  <c r="AG73" i="5"/>
  <c r="AD90" i="5"/>
  <c r="Y29" i="5"/>
  <c r="AD66" i="5"/>
  <c r="Y6" i="5"/>
  <c r="AD21" i="5"/>
  <c r="AI71" i="5"/>
  <c r="AD54" i="5"/>
  <c r="AE88" i="5"/>
  <c r="Z16" i="5"/>
  <c r="Z38" i="5"/>
  <c r="AK10" i="5"/>
  <c r="AP78" i="5"/>
  <c r="AK40" i="5"/>
  <c r="AF25" i="5"/>
  <c r="AF58" i="5"/>
  <c r="AQ154" i="5"/>
  <c r="AA19" i="5"/>
  <c r="Y146" i="5"/>
  <c r="AI126" i="5"/>
  <c r="AI152" i="5"/>
  <c r="Y43" i="5"/>
  <c r="AN14" i="5"/>
  <c r="AD85" i="5"/>
  <c r="AN63" i="5"/>
  <c r="AF125" i="5"/>
  <c r="AA145" i="5"/>
  <c r="AK135" i="5"/>
  <c r="AF55" i="5"/>
  <c r="AP94" i="5"/>
  <c r="AA100" i="5"/>
  <c r="AD9" i="5"/>
  <c r="AQ53" i="5"/>
  <c r="AG49" i="5"/>
  <c r="AP12" i="5"/>
  <c r="Y27" i="5"/>
  <c r="AI30" i="5"/>
  <c r="AG66" i="5"/>
  <c r="AA143" i="5"/>
  <c r="AN126" i="5"/>
  <c r="AG9" i="5"/>
  <c r="AI54" i="5"/>
  <c r="AN148" i="5"/>
  <c r="AQ76" i="5"/>
  <c r="AB45" i="5"/>
  <c r="AA35" i="5"/>
  <c r="AQ41" i="5"/>
  <c r="AN145" i="5"/>
  <c r="AN8" i="5"/>
  <c r="AP80" i="5"/>
  <c r="AL63" i="5"/>
  <c r="AO5" i="5"/>
  <c r="AO133" i="5"/>
  <c r="Z122" i="5"/>
  <c r="Z132" i="5"/>
  <c r="AO130" i="5"/>
  <c r="AJ134" i="5"/>
  <c r="Z147" i="5"/>
  <c r="AO82" i="5"/>
  <c r="AE139" i="5"/>
  <c r="Z133" i="5"/>
  <c r="AJ130" i="5"/>
  <c r="AE83" i="5"/>
  <c r="AO27" i="5"/>
  <c r="AE130" i="5"/>
  <c r="AJ65" i="5"/>
  <c r="AJ64" i="5"/>
  <c r="AO132" i="5"/>
  <c r="X114" i="5"/>
  <c r="AC150" i="5"/>
  <c r="AH35" i="5"/>
  <c r="X117" i="5"/>
  <c r="AM29" i="5"/>
  <c r="X146" i="5"/>
  <c r="AC127" i="5"/>
  <c r="AC117" i="5"/>
  <c r="AM81" i="5"/>
  <c r="AC88" i="5"/>
  <c r="AM65" i="5"/>
  <c r="AM5" i="5"/>
  <c r="AM116" i="5"/>
  <c r="AH84" i="5"/>
  <c r="X138" i="5"/>
  <c r="AM47" i="5"/>
  <c r="AH28" i="5"/>
  <c r="AH53" i="5"/>
  <c r="AM138" i="5"/>
  <c r="AH36" i="5"/>
  <c r="X104" i="5"/>
  <c r="AM45" i="5"/>
  <c r="AH86" i="5"/>
  <c r="X50" i="5"/>
  <c r="AM113" i="5"/>
  <c r="AH92" i="5"/>
  <c r="AL135" i="5"/>
  <c r="AB111" i="5"/>
  <c r="AQ120" i="5"/>
  <c r="AL120" i="5"/>
  <c r="AG45" i="5"/>
  <c r="AJ5" i="5"/>
  <c r="AO128" i="5"/>
  <c r="X134" i="5"/>
  <c r="X130" i="5"/>
  <c r="AM21" i="5"/>
  <c r="AM87" i="5"/>
  <c r="AN31" i="5"/>
  <c r="X4" i="2"/>
  <c r="AC86" i="5"/>
  <c r="AB137" i="5"/>
  <c r="AC163" i="5"/>
  <c r="AC98" i="5"/>
  <c r="AQ50" i="5"/>
  <c r="AB113" i="5"/>
  <c r="AJ20" i="5"/>
  <c r="AH19" i="5"/>
  <c r="AM104" i="5"/>
  <c r="AH126" i="5"/>
  <c r="AQ91" i="5"/>
  <c r="AG50" i="5"/>
  <c r="AB140" i="5"/>
  <c r="AQ135" i="5"/>
  <c r="AL78" i="5"/>
  <c r="X110" i="5"/>
  <c r="AH143" i="5"/>
  <c r="AC46" i="5"/>
  <c r="AI107" i="5"/>
  <c r="X100" i="5"/>
  <c r="AM142" i="5"/>
  <c r="Y44" i="5"/>
  <c r="AG85" i="5"/>
  <c r="X145" i="5"/>
  <c r="AH80" i="5"/>
  <c r="X41" i="5"/>
  <c r="AD64" i="5"/>
  <c r="AH46" i="5"/>
  <c r="AD18" i="5"/>
  <c r="AE101" i="5"/>
  <c r="AH54" i="5"/>
  <c r="AE33" i="5"/>
  <c r="AM162" i="5"/>
  <c r="AH99" i="5"/>
  <c r="AP85" i="5"/>
  <c r="AO138" i="5"/>
  <c r="AC14" i="5"/>
  <c r="AA129" i="5"/>
  <c r="AP15" i="5"/>
  <c r="AK47" i="5"/>
  <c r="AF60" i="5"/>
  <c r="AK79" i="5"/>
  <c r="AP91" i="5"/>
  <c r="AD13" i="5"/>
  <c r="AI156" i="5"/>
  <c r="AD58" i="5"/>
  <c r="AI144" i="5"/>
  <c r="Y158" i="5"/>
  <c r="Y119" i="5"/>
  <c r="AK16" i="5"/>
  <c r="AF18" i="5"/>
  <c r="AK145" i="5"/>
  <c r="AK75" i="5"/>
  <c r="AP106" i="5"/>
  <c r="AK56" i="5"/>
  <c r="AK137" i="5"/>
  <c r="AA72" i="5"/>
  <c r="AK139" i="5"/>
  <c r="AF43" i="5"/>
  <c r="AB19" i="5"/>
  <c r="AG19" i="5"/>
  <c r="AQ83" i="5"/>
  <c r="AL84" i="5"/>
  <c r="AG25" i="5"/>
  <c r="AN137" i="5"/>
  <c r="AI109" i="5"/>
  <c r="AI113" i="5"/>
  <c r="AI14" i="5"/>
  <c r="AN22" i="5"/>
  <c r="AI121" i="5"/>
  <c r="AD6" i="5"/>
  <c r="Z39" i="5"/>
  <c r="Z7" i="5"/>
  <c r="AE113" i="5"/>
  <c r="AP35" i="5"/>
  <c r="AA113" i="5"/>
  <c r="AK50" i="5"/>
  <c r="AK80" i="5"/>
  <c r="AK67" i="5"/>
  <c r="AL155" i="5"/>
  <c r="AP21" i="5"/>
  <c r="AI105" i="5"/>
  <c r="AI118" i="5"/>
  <c r="AN29" i="5"/>
  <c r="AN95" i="5"/>
  <c r="AN15" i="5"/>
  <c r="AI128" i="5"/>
  <c r="Z5" i="5"/>
  <c r="AF142" i="5"/>
  <c r="AF126" i="5"/>
  <c r="AF20" i="5"/>
  <c r="AP52" i="5"/>
  <c r="AF95" i="5"/>
  <c r="AP93" i="5"/>
  <c r="Y10" i="5"/>
  <c r="AL53" i="5"/>
  <c r="AQ51" i="5"/>
  <c r="AF7" i="5"/>
  <c r="Y25" i="5"/>
  <c r="AK129" i="5"/>
  <c r="AQ68" i="5"/>
  <c r="AK146" i="5"/>
  <c r="AD118" i="5"/>
  <c r="AG76" i="5"/>
  <c r="AP36" i="5"/>
  <c r="Y142" i="5"/>
  <c r="AN142" i="5"/>
  <c r="AD7" i="5"/>
  <c r="AF83" i="5"/>
  <c r="AG63" i="5"/>
  <c r="AO66" i="5"/>
  <c r="Z134" i="5"/>
  <c r="Z64" i="5"/>
  <c r="AE135" i="5"/>
  <c r="Z26" i="5"/>
  <c r="Z120" i="5"/>
  <c r="AE118" i="5"/>
  <c r="Z113" i="5"/>
  <c r="AM73" i="5"/>
  <c r="AH57" i="5"/>
  <c r="AD44" i="5"/>
  <c r="AG161" i="5"/>
  <c r="Z60" i="5"/>
  <c r="AH88" i="5"/>
  <c r="AN32" i="5"/>
  <c r="X87" i="5"/>
  <c r="X66" i="5"/>
  <c r="AC129" i="5"/>
  <c r="AL110" i="5"/>
  <c r="Z76" i="5"/>
  <c r="X80" i="5"/>
  <c r="X10" i="5"/>
  <c r="AF113" i="5"/>
  <c r="AB139" i="5"/>
  <c r="AD104" i="5"/>
  <c r="AH12" i="5"/>
  <c r="AG111" i="5"/>
  <c r="X40" i="5"/>
  <c r="AL138" i="5"/>
  <c r="AD48" i="5"/>
  <c r="AM110" i="5"/>
  <c r="AH118" i="5"/>
  <c r="AJ70" i="5"/>
  <c r="AM49" i="5"/>
  <c r="AC145" i="5"/>
  <c r="AM79" i="5"/>
  <c r="AG159" i="5"/>
  <c r="AI51" i="5"/>
  <c r="X113" i="5"/>
  <c r="AM144" i="5"/>
  <c r="AA32" i="5"/>
  <c r="AC81" i="5"/>
  <c r="AP118" i="5"/>
  <c r="AQ49" i="5"/>
  <c r="Y83" i="5"/>
  <c r="AD99" i="5"/>
  <c r="AC57" i="5"/>
  <c r="AC30" i="5"/>
  <c r="AQ132" i="5"/>
  <c r="AO84" i="5"/>
  <c r="X42" i="5"/>
  <c r="AF26" i="5"/>
  <c r="AK76" i="5"/>
  <c r="AF74" i="5"/>
  <c r="AA39" i="5"/>
  <c r="AA138" i="5"/>
  <c r="AF134" i="5"/>
  <c r="AD150" i="5"/>
  <c r="AN77" i="5"/>
  <c r="AI56" i="5"/>
  <c r="AN88" i="5"/>
  <c r="AD40" i="5"/>
  <c r="AI164" i="5"/>
  <c r="AF123" i="5"/>
  <c r="AA65" i="5"/>
  <c r="AA106" i="5"/>
  <c r="AK42" i="5"/>
  <c r="AF100" i="5"/>
  <c r="AK8" i="5"/>
  <c r="AF27" i="5"/>
  <c r="AF96" i="5"/>
  <c r="AA114" i="5"/>
  <c r="AK58" i="5"/>
  <c r="AL102" i="5"/>
  <c r="AG61" i="5"/>
  <c r="AB146" i="5"/>
  <c r="AQ87" i="5"/>
  <c r="AL153" i="5"/>
  <c r="AD129" i="5"/>
  <c r="AN138" i="5"/>
  <c r="AI25" i="5"/>
  <c r="AN141" i="5"/>
  <c r="AN92" i="5"/>
  <c r="Y53" i="5"/>
  <c r="AD135" i="5"/>
  <c r="AE35" i="5"/>
  <c r="AE65" i="5"/>
  <c r="Z17" i="5"/>
  <c r="AK35" i="5"/>
  <c r="AA124" i="5"/>
  <c r="AK49" i="5"/>
  <c r="AA81" i="5"/>
  <c r="AF30" i="5"/>
  <c r="AL65" i="5"/>
  <c r="AF15" i="5"/>
  <c r="Y66" i="5"/>
  <c r="AN130" i="5"/>
  <c r="AN69" i="5"/>
  <c r="AI86" i="5"/>
  <c r="Y101" i="5"/>
  <c r="AI112" i="5"/>
  <c r="AE40" i="5"/>
  <c r="AP136" i="5"/>
  <c r="AP137" i="5"/>
  <c r="AF21" i="5"/>
  <c r="AN117" i="5"/>
  <c r="AP104" i="5"/>
  <c r="AA103" i="5"/>
  <c r="AD11" i="5"/>
  <c r="AL56" i="5"/>
  <c r="AB48" i="5"/>
  <c r="AK11" i="5"/>
  <c r="Y32" i="5"/>
  <c r="AP129" i="5"/>
  <c r="AL68" i="5"/>
  <c r="AP143" i="5"/>
  <c r="Y118" i="5"/>
  <c r="AQ10" i="5"/>
  <c r="Y54" i="5"/>
  <c r="AI147" i="5"/>
  <c r="AB76" i="5"/>
  <c r="AK39" i="5"/>
  <c r="AB34" i="5"/>
  <c r="AI142" i="5"/>
  <c r="AN143" i="5"/>
  <c r="AQ25" i="5"/>
  <c r="AA83" i="5"/>
  <c r="AQ63" i="5"/>
  <c r="AJ66" i="5"/>
  <c r="AO145" i="5"/>
  <c r="AE126" i="5"/>
  <c r="Z143" i="5"/>
  <c r="AE141" i="5"/>
  <c r="AJ90" i="5"/>
  <c r="Z79" i="5"/>
  <c r="AO140" i="5"/>
  <c r="AJ119" i="5"/>
  <c r="AE136" i="5"/>
  <c r="AO124" i="5"/>
  <c r="AO136" i="5"/>
  <c r="AJ132" i="5"/>
  <c r="AJ114" i="5"/>
  <c r="AE128" i="5"/>
  <c r="AJ135" i="5"/>
  <c r="X85" i="5"/>
  <c r="AH16" i="5"/>
  <c r="AC75" i="5"/>
  <c r="AC9" i="5"/>
  <c r="AH90" i="5"/>
  <c r="AM41" i="5"/>
  <c r="AH138" i="5"/>
  <c r="X161" i="5"/>
  <c r="AM148" i="5"/>
  <c r="AM63" i="5"/>
  <c r="AC104" i="5"/>
  <c r="X133" i="5"/>
  <c r="AC39" i="5"/>
  <c r="X68" i="5"/>
  <c r="AC15" i="5"/>
  <c r="AC138" i="5"/>
  <c r="AH79" i="5"/>
  <c r="AH27" i="5"/>
  <c r="AM36" i="5"/>
  <c r="AH18" i="5"/>
  <c r="AC109" i="5"/>
  <c r="AC96" i="5"/>
  <c r="AM141" i="5"/>
  <c r="AC31" i="5"/>
  <c r="AC76" i="5"/>
  <c r="AM132" i="5"/>
  <c r="AM128" i="5"/>
  <c r="AG130" i="5"/>
  <c r="AQ117" i="5"/>
  <c r="AQ110" i="5"/>
  <c r="AB121" i="5"/>
  <c r="AQ143" i="5"/>
  <c r="AB129" i="5"/>
  <c r="AB112" i="5"/>
  <c r="AL131" i="5"/>
  <c r="AG119" i="5"/>
  <c r="AF29" i="5"/>
  <c r="AP87" i="5"/>
  <c r="AB119" i="5"/>
  <c r="AM95" i="5"/>
  <c r="AC130" i="5"/>
  <c r="AD140" i="5"/>
  <c r="Z138" i="5"/>
  <c r="AH72" i="5"/>
  <c r="AC103" i="5"/>
  <c r="AC43" i="5"/>
  <c r="AJ25" i="5"/>
  <c r="AF118" i="5"/>
  <c r="AJ9" i="5"/>
  <c r="Z117" i="5"/>
  <c r="AC91" i="5"/>
  <c r="AH85" i="5"/>
  <c r="AQ141" i="5"/>
  <c r="AO119" i="5"/>
  <c r="X71" i="5"/>
  <c r="AH75" i="5"/>
  <c r="AM76" i="5"/>
  <c r="AB66" i="5"/>
  <c r="AM39" i="5"/>
  <c r="AH48" i="5"/>
  <c r="AI32" i="5"/>
  <c r="AQ95" i="5"/>
  <c r="AD119" i="5"/>
  <c r="AA117" i="5"/>
  <c r="AJ129" i="5"/>
  <c r="AM82" i="5"/>
  <c r="W136" i="5"/>
  <c r="X129" i="5"/>
  <c r="X103" i="5"/>
  <c r="X16" i="5"/>
  <c r="AA33" i="5"/>
  <c r="AK118" i="5"/>
  <c r="AJ115" i="5"/>
  <c r="AH163" i="5"/>
  <c r="X89" i="5"/>
  <c r="X19" i="5"/>
  <c r="AH78" i="5"/>
  <c r="X106" i="5"/>
  <c r="AD72" i="5"/>
  <c r="AL70" i="5"/>
  <c r="AM31" i="5"/>
  <c r="AC37" i="5"/>
  <c r="AL130" i="5"/>
  <c r="AL80" i="5"/>
  <c r="AK152" i="5"/>
  <c r="AA17" i="5"/>
  <c r="AK26" i="5"/>
  <c r="AK38" i="5"/>
  <c r="AP145" i="5"/>
  <c r="AK147" i="5"/>
  <c r="AP116" i="5"/>
  <c r="AD46" i="5"/>
  <c r="Y159" i="5"/>
  <c r="AD37" i="5"/>
  <c r="AI87" i="5"/>
  <c r="AI43" i="5"/>
  <c r="AD159" i="5"/>
  <c r="AP115" i="5"/>
  <c r="AK33" i="5"/>
  <c r="AK98" i="5"/>
  <c r="AA67" i="5"/>
  <c r="AK41" i="5"/>
  <c r="AA108" i="5"/>
  <c r="AP76" i="5"/>
  <c r="AF138" i="5"/>
  <c r="AF98" i="5"/>
  <c r="AF63" i="5"/>
  <c r="AB38" i="5"/>
  <c r="AG77" i="5"/>
  <c r="AQ102" i="5"/>
  <c r="AB6" i="5"/>
  <c r="AL77" i="5"/>
  <c r="AD144" i="5"/>
  <c r="AD42" i="5"/>
  <c r="AD20" i="5"/>
  <c r="AD139" i="5"/>
  <c r="Y40" i="5"/>
  <c r="AD115" i="5"/>
  <c r="AN26" i="5"/>
  <c r="Z37" i="5"/>
  <c r="AE74" i="5"/>
  <c r="Z14" i="5"/>
  <c r="AP39" i="5"/>
  <c r="AK102" i="5"/>
  <c r="AA53" i="5"/>
  <c r="AP67" i="5"/>
  <c r="AP29" i="5"/>
  <c r="AL150" i="5"/>
  <c r="AK17" i="5"/>
  <c r="AN110" i="5"/>
  <c r="Y70" i="5"/>
  <c r="AI124" i="5"/>
  <c r="AI114" i="5"/>
  <c r="AI101" i="5"/>
  <c r="AD112" i="5"/>
  <c r="Z15" i="5"/>
  <c r="AF108" i="5"/>
  <c r="AF127" i="5"/>
  <c r="Y131" i="5"/>
  <c r="AD116" i="5"/>
  <c r="AF102" i="5"/>
  <c r="AF99" i="5"/>
  <c r="AI7" i="5"/>
  <c r="AB50" i="5"/>
  <c r="AP11" i="5"/>
  <c r="AF6" i="5"/>
  <c r="Y31" i="5"/>
  <c r="AF128" i="5"/>
  <c r="AB74" i="5"/>
  <c r="AF140" i="5"/>
  <c r="AI123" i="5"/>
  <c r="AN57" i="5"/>
  <c r="Y56" i="5"/>
  <c r="Y147" i="5"/>
  <c r="AB75" i="5"/>
  <c r="AK36" i="5"/>
  <c r="AQ35" i="5"/>
  <c r="AI139" i="5"/>
  <c r="AB24" i="5"/>
  <c r="AP82" i="5"/>
  <c r="Y14" i="5"/>
  <c r="Z90" i="5"/>
  <c r="AJ147" i="5"/>
  <c r="AJ113" i="5"/>
  <c r="AO64" i="5"/>
  <c r="AO65" i="5"/>
  <c r="Z27" i="5"/>
  <c r="AO123" i="5"/>
  <c r="AJ86" i="5"/>
  <c r="Z145" i="5"/>
  <c r="AJ140" i="5"/>
  <c r="X90" i="5"/>
  <c r="AC51" i="5"/>
  <c r="AO91" i="5"/>
  <c r="X46" i="5"/>
  <c r="AQ54" i="5"/>
  <c r="AL148" i="5"/>
  <c r="AM56" i="5"/>
  <c r="AC149" i="5"/>
  <c r="AI72" i="5"/>
  <c r="AL81" i="5"/>
  <c r="Y148" i="5"/>
  <c r="X11" i="5"/>
  <c r="AK117" i="5"/>
  <c r="AO81" i="5"/>
  <c r="AC19" i="5"/>
  <c r="AH93" i="5"/>
  <c r="AH15" i="5"/>
  <c r="AC60" i="5"/>
  <c r="AM115" i="5"/>
  <c r="AH64" i="5"/>
  <c r="AL123" i="5"/>
  <c r="AE93" i="5"/>
  <c r="AO98" i="5"/>
  <c r="AM83" i="5"/>
  <c r="AC21" i="5"/>
  <c r="AD120" i="5"/>
  <c r="AC158" i="5"/>
  <c r="AH135" i="5"/>
  <c r="AL141" i="5"/>
  <c r="AG144" i="5"/>
  <c r="AJ148" i="5"/>
  <c r="AH67" i="5"/>
  <c r="X125" i="5"/>
  <c r="X120" i="5"/>
  <c r="W4" i="2"/>
  <c r="Y94" i="5"/>
  <c r="X69" i="5"/>
  <c r="AH98" i="5"/>
  <c r="AQ124" i="5"/>
  <c r="AQ130" i="5"/>
  <c r="AK104" i="5"/>
  <c r="AK132" i="5"/>
  <c r="AA57" i="5"/>
  <c r="AF13" i="5"/>
  <c r="AP20" i="5"/>
  <c r="AF61" i="5"/>
  <c r="AF59" i="5"/>
  <c r="AN83" i="5"/>
  <c r="AN61" i="5"/>
  <c r="AD70" i="5"/>
  <c r="AD114" i="5"/>
  <c r="AI146" i="5"/>
  <c r="AK125" i="5"/>
  <c r="AF23" i="5"/>
  <c r="AK77" i="5"/>
  <c r="AF42" i="5"/>
  <c r="AK83" i="5"/>
  <c r="AF38" i="5"/>
  <c r="AK73" i="5"/>
  <c r="AA38" i="5"/>
  <c r="AA135" i="5"/>
  <c r="AF106" i="5"/>
  <c r="AK65" i="5"/>
  <c r="AB145" i="5"/>
  <c r="AG154" i="5"/>
  <c r="AG80" i="5"/>
  <c r="AB5" i="5"/>
  <c r="AB77" i="5"/>
  <c r="AI9" i="5"/>
  <c r="AD27" i="5"/>
  <c r="AD123" i="5"/>
  <c r="AI145" i="5"/>
  <c r="AD108" i="5"/>
  <c r="AN70" i="5"/>
  <c r="AI81" i="5"/>
  <c r="Z40" i="5"/>
  <c r="Z35" i="5"/>
  <c r="Z20" i="5"/>
  <c r="AF111" i="5"/>
  <c r="AA109" i="5"/>
  <c r="AA41" i="5"/>
  <c r="AA66" i="5"/>
  <c r="AB91" i="5"/>
  <c r="AQ36" i="5"/>
  <c r="AI116" i="5"/>
  <c r="AD145" i="5"/>
  <c r="Y30" i="5"/>
  <c r="AD125" i="5"/>
  <c r="AD87" i="5"/>
  <c r="AD130" i="5"/>
  <c r="AI23" i="5"/>
  <c r="Z8" i="5"/>
  <c r="AF114" i="5"/>
  <c r="AA137" i="5"/>
  <c r="AI132" i="5"/>
  <c r="Y115" i="5"/>
  <c r="AK100" i="5"/>
  <c r="AF103" i="5"/>
  <c r="AI12" i="5"/>
  <c r="AB53" i="5"/>
  <c r="AF11" i="5"/>
  <c r="AF12" i="5"/>
  <c r="Y26" i="5"/>
  <c r="AP128" i="5"/>
  <c r="AL69" i="5"/>
  <c r="AF139" i="5"/>
  <c r="Y122" i="5"/>
  <c r="AI55" i="5"/>
  <c r="AD56" i="5"/>
  <c r="Y149" i="5"/>
  <c r="AG44" i="5"/>
  <c r="AA37" i="5"/>
  <c r="AG35" i="5"/>
  <c r="Y143" i="5"/>
  <c r="AD146" i="5"/>
  <c r="AQ24" i="5"/>
  <c r="AA80" i="5"/>
  <c r="AD14" i="5"/>
  <c r="Z131" i="5"/>
  <c r="AJ125" i="5"/>
  <c r="AJ127" i="5"/>
  <c r="AJ138" i="5"/>
  <c r="AJ121" i="5"/>
  <c r="AJ91" i="5"/>
  <c r="AE120" i="5"/>
  <c r="AE146" i="5"/>
  <c r="AJ149" i="5"/>
  <c r="AJ141" i="5"/>
  <c r="Z126" i="5"/>
  <c r="AO131" i="5"/>
  <c r="Z63" i="5"/>
  <c r="AL8" i="5"/>
  <c r="X76" i="5"/>
  <c r="AF85" i="5"/>
  <c r="Y110" i="5"/>
  <c r="AM164" i="5"/>
  <c r="AH32" i="5"/>
  <c r="AJ78" i="5"/>
  <c r="AM89" i="5"/>
  <c r="AC70" i="5"/>
  <c r="AL128" i="5"/>
  <c r="AB32" i="5"/>
  <c r="AK120" i="5"/>
  <c r="AM155" i="5"/>
  <c r="AC159" i="5"/>
  <c r="Z158" i="5"/>
  <c r="X147" i="5"/>
  <c r="X5" i="5"/>
  <c r="AO157" i="5"/>
  <c r="AA161" i="5"/>
  <c r="X98" i="5"/>
  <c r="X30" i="5"/>
  <c r="AL115" i="5"/>
  <c r="AH6" i="5"/>
  <c r="AL41" i="5"/>
  <c r="AH139" i="5"/>
  <c r="AJ117" i="5"/>
  <c r="Z101" i="5"/>
  <c r="AM91" i="5"/>
  <c r="X149" i="5"/>
  <c r="AL144" i="5"/>
  <c r="AH137" i="5"/>
  <c r="AD5" i="5"/>
  <c r="AH125" i="5"/>
  <c r="AM139" i="5"/>
  <c r="AO116" i="5"/>
  <c r="AB26" i="5"/>
  <c r="AD151" i="5"/>
  <c r="AC89" i="5"/>
  <c r="AC112" i="5"/>
  <c r="Y84" i="2"/>
  <c r="AD113" i="5"/>
  <c r="AA70" i="5"/>
  <c r="AA127" i="5"/>
  <c r="AK109" i="5"/>
  <c r="AA29" i="5"/>
  <c r="AK68" i="5"/>
  <c r="AP97" i="5"/>
  <c r="AK116" i="5"/>
  <c r="AI48" i="5"/>
  <c r="AN40" i="5"/>
  <c r="AN67" i="5"/>
  <c r="AI66" i="5"/>
  <c r="AI85" i="5"/>
  <c r="AF19" i="5"/>
  <c r="AA7" i="5"/>
  <c r="AA102" i="5"/>
  <c r="AP92" i="5"/>
  <c r="AA54" i="5"/>
  <c r="AP130" i="5"/>
  <c r="AA133" i="5"/>
  <c r="AF22" i="5"/>
  <c r="AF112" i="5"/>
  <c r="AF131" i="5"/>
  <c r="AP63" i="5"/>
  <c r="AB62" i="5"/>
  <c r="AL163" i="5"/>
  <c r="AG26" i="5"/>
  <c r="AB97" i="5"/>
  <c r="AK19" i="5"/>
  <c r="AI8" i="5"/>
  <c r="AN113" i="5"/>
  <c r="AN131" i="5"/>
  <c r="AI60" i="5"/>
  <c r="AI24" i="5"/>
  <c r="AD94" i="5"/>
  <c r="AN128" i="5"/>
  <c r="AE110" i="5"/>
  <c r="AE38" i="5"/>
  <c r="AE56" i="5"/>
  <c r="AP142" i="5"/>
  <c r="AK93" i="5"/>
  <c r="AP57" i="5"/>
  <c r="AP64" i="5"/>
  <c r="AQ45" i="5"/>
  <c r="AF17" i="5"/>
  <c r="Y127" i="5"/>
  <c r="AN58" i="5"/>
  <c r="AI129" i="5"/>
  <c r="AI61" i="5"/>
  <c r="AI90" i="5"/>
  <c r="AN147" i="5"/>
  <c r="AN27" i="5"/>
  <c r="AP74" i="5"/>
  <c r="AK112" i="5"/>
  <c r="AK136" i="5"/>
  <c r="AF49" i="5"/>
  <c r="AA97" i="5"/>
  <c r="AK91" i="5"/>
  <c r="AP101" i="5"/>
  <c r="AG81" i="5"/>
  <c r="AB47" i="5"/>
  <c r="AF10" i="5"/>
  <c r="AK6" i="5"/>
  <c r="Y28" i="5"/>
  <c r="AG68" i="5"/>
  <c r="AL66" i="5"/>
  <c r="AP144" i="5"/>
  <c r="AN127" i="5"/>
  <c r="AN55" i="5"/>
  <c r="Y55" i="5"/>
  <c r="Y151" i="5"/>
  <c r="AL44" i="5"/>
  <c r="AF39" i="5"/>
  <c r="AL35" i="5"/>
  <c r="AI141" i="5"/>
  <c r="AN139" i="5"/>
  <c r="AG24" i="5"/>
  <c r="AB65" i="5"/>
  <c r="AD15" i="5"/>
  <c r="AO115" i="5"/>
  <c r="AE127" i="5"/>
  <c r="Z118" i="5"/>
  <c r="Z78" i="5"/>
  <c r="AE142" i="5"/>
  <c r="AJ133" i="5"/>
  <c r="AO134" i="5"/>
  <c r="Z66" i="5"/>
  <c r="Z86" i="5"/>
  <c r="AJ131" i="5"/>
  <c r="AO143" i="5"/>
  <c r="AO141" i="5"/>
  <c r="AE147" i="5"/>
  <c r="AE63" i="5"/>
  <c r="AE87" i="5"/>
  <c r="Z144" i="5"/>
  <c r="AH149" i="5"/>
  <c r="X154" i="5"/>
  <c r="AH50" i="5"/>
  <c r="AH119" i="5"/>
  <c r="X44" i="5"/>
  <c r="X48" i="5"/>
  <c r="X126" i="5"/>
  <c r="X52" i="5"/>
  <c r="AM30" i="5"/>
  <c r="AM122" i="5"/>
  <c r="AM70" i="5"/>
  <c r="AM80" i="5"/>
  <c r="AM25" i="5"/>
  <c r="AM51" i="5"/>
  <c r="AC82" i="5"/>
  <c r="X137" i="5"/>
  <c r="X162" i="5"/>
  <c r="AM126" i="5"/>
  <c r="AH132" i="5"/>
  <c r="AC134" i="5"/>
  <c r="X153" i="5"/>
  <c r="X127" i="5"/>
  <c r="AM153" i="5"/>
  <c r="AH42" i="5"/>
  <c r="AM55" i="5"/>
  <c r="X15" i="5"/>
  <c r="AH58" i="5"/>
  <c r="AG143" i="5"/>
  <c r="AB136" i="5"/>
  <c r="AL108" i="5"/>
  <c r="AL114" i="5"/>
  <c r="AQ140" i="5"/>
  <c r="AG107" i="5"/>
  <c r="AL143" i="5"/>
  <c r="AQ113" i="5"/>
  <c r="AB143" i="5"/>
  <c r="AG135" i="5"/>
  <c r="AP30" i="5"/>
  <c r="AA89" i="5"/>
  <c r="AG118" i="5"/>
  <c r="AH95" i="5"/>
  <c r="AH130" i="5"/>
  <c r="X160" i="5"/>
  <c r="X142" i="5"/>
  <c r="AQ139" i="5"/>
  <c r="AB108" i="5"/>
  <c r="AQ138" i="5"/>
  <c r="AQ118" i="5"/>
  <c r="AG126" i="5"/>
  <c r="AL105" i="5"/>
  <c r="AK88" i="5"/>
  <c r="AK90" i="5"/>
  <c r="AC95" i="5"/>
  <c r="AC133" i="5"/>
  <c r="AF89" i="5"/>
  <c r="AM131" i="5"/>
  <c r="AB130" i="5"/>
  <c r="AB124" i="5"/>
  <c r="AP89" i="5"/>
  <c r="X132" i="5"/>
  <c r="AD55" i="5"/>
  <c r="Z82" i="5"/>
  <c r="Z115" i="5"/>
  <c r="AO120" i="5"/>
  <c r="X140" i="5"/>
  <c r="AC35" i="5"/>
  <c r="AM84" i="5"/>
  <c r="AC16" i="5"/>
  <c r="AC90" i="5"/>
  <c r="AM62" i="5"/>
  <c r="AC55" i="5"/>
  <c r="X97" i="5"/>
  <c r="X82" i="5"/>
  <c r="AM61" i="5"/>
  <c r="AL137" i="5"/>
  <c r="AG105" i="5"/>
  <c r="AG120" i="5"/>
  <c r="AQ119" i="5"/>
  <c r="AL119" i="5"/>
  <c r="Z125" i="5"/>
  <c r="X135" i="5"/>
  <c r="AH151" i="5"/>
  <c r="X109" i="5"/>
  <c r="AH73" i="5"/>
  <c r="AL121" i="5"/>
  <c r="AB142" i="5"/>
  <c r="X94" i="5"/>
  <c r="AH153" i="5"/>
  <c r="X124" i="5"/>
  <c r="AQ129" i="5"/>
  <c r="AM105" i="5"/>
  <c r="X37" i="5"/>
  <c r="AH105" i="5"/>
  <c r="AL122" i="5"/>
  <c r="AJ27" i="5"/>
  <c r="AC136" i="5"/>
  <c r="AM118" i="5"/>
  <c r="X28" i="5"/>
  <c r="AH150" i="5"/>
  <c r="AC72" i="5"/>
  <c r="AC119" i="5"/>
  <c r="AC155" i="5"/>
  <c r="AC92" i="5"/>
  <c r="AH120" i="5"/>
  <c r="AC80" i="5"/>
  <c r="AL142" i="5"/>
  <c r="AL118" i="5"/>
  <c r="AL134" i="5"/>
  <c r="AG110" i="5"/>
  <c r="AQ116" i="5"/>
  <c r="AC118" i="5"/>
  <c r="X35" i="5"/>
  <c r="X95" i="5"/>
  <c r="X115" i="5"/>
  <c r="AM103" i="5"/>
  <c r="AM57" i="5"/>
  <c r="AL129" i="5"/>
  <c r="AK30" i="5"/>
  <c r="X9" i="5"/>
  <c r="X74" i="5"/>
  <c r="AL133" i="5"/>
  <c r="AF87" i="5"/>
  <c r="AC154" i="5"/>
  <c r="AM42" i="5"/>
  <c r="AQ115" i="5"/>
  <c r="AA87" i="5"/>
  <c r="Z140" i="5"/>
  <c r="AM151" i="5"/>
  <c r="AM125" i="5"/>
  <c r="AC94" i="5"/>
  <c r="AH128" i="5"/>
  <c r="X39" i="5"/>
  <c r="AM11" i="5"/>
  <c r="AC22" i="5"/>
  <c r="AH25" i="5"/>
  <c r="AM40" i="5"/>
  <c r="AG139" i="5"/>
  <c r="AB114" i="5"/>
  <c r="AG115" i="5"/>
  <c r="AB120" i="5"/>
  <c r="AA30" i="5"/>
  <c r="AM94" i="5"/>
  <c r="AJ139" i="5"/>
  <c r="X58" i="5"/>
  <c r="AM119" i="5"/>
  <c r="AH60" i="5"/>
  <c r="X36" i="5"/>
  <c r="X26" i="5"/>
  <c r="AQ133" i="5"/>
  <c r="AH94" i="5"/>
  <c r="X34" i="5"/>
  <c r="AH82" i="5"/>
  <c r="AG129" i="5"/>
  <c r="AG132" i="5"/>
  <c r="Z135" i="5"/>
  <c r="X59" i="5"/>
  <c r="AM154" i="5"/>
  <c r="AH164" i="5"/>
  <c r="AH112" i="5"/>
  <c r="X18" i="5"/>
  <c r="AM74" i="5"/>
  <c r="AH13" i="5"/>
  <c r="AC77" i="5"/>
  <c r="AH106" i="5"/>
  <c r="AB117" i="5"/>
  <c r="AQ123" i="5"/>
  <c r="AL136" i="5"/>
  <c r="AQ122" i="5"/>
  <c r="AA90" i="5"/>
  <c r="AC132" i="5"/>
  <c r="AE64" i="5"/>
  <c r="AJ87" i="5"/>
  <c r="AH154" i="5"/>
  <c r="AM77" i="5"/>
  <c r="AC71" i="5"/>
  <c r="AM143" i="5"/>
  <c r="AH109" i="5"/>
  <c r="AC153" i="5"/>
  <c r="AM9" i="5"/>
  <c r="AC115" i="5"/>
  <c r="AM88" i="5"/>
  <c r="AG116" i="5"/>
  <c r="AL109" i="5"/>
  <c r="AG127" i="5"/>
  <c r="AG141" i="5"/>
  <c r="AB116" i="5"/>
  <c r="AC131" i="5"/>
  <c r="AB107" i="5"/>
  <c r="AO148" i="5"/>
  <c r="AM67" i="5"/>
  <c r="X33" i="5"/>
  <c r="AM130" i="5"/>
  <c r="AE71" i="5"/>
  <c r="AA16" i="5"/>
  <c r="AE134" i="5"/>
  <c r="Y13" i="5"/>
  <c r="AN132" i="5"/>
  <c r="AP42" i="5"/>
  <c r="AG75" i="5"/>
  <c r="AF35" i="5"/>
  <c r="AG42" i="5"/>
  <c r="AE80" i="5"/>
  <c r="Z31" i="5"/>
  <c r="Z24" i="5"/>
  <c r="AK46" i="5"/>
  <c r="Y19" i="5"/>
  <c r="AE68" i="5"/>
  <c r="BJ118" i="4"/>
  <c r="BO151" i="4"/>
  <c r="AR144" i="4"/>
  <c r="AD132" i="4"/>
  <c r="BM136" i="4"/>
  <c r="AD127" i="4"/>
  <c r="BN138" i="4"/>
  <c r="BN136" i="4"/>
  <c r="AD163" i="4"/>
  <c r="BO116" i="4"/>
  <c r="AE152" i="4"/>
  <c r="BL132" i="4"/>
  <c r="AE147" i="4"/>
  <c r="AS138" i="4"/>
  <c r="AT124" i="4"/>
  <c r="BG149" i="4"/>
  <c r="AE143" i="4"/>
  <c r="BI141" i="4"/>
  <c r="AD154" i="4"/>
  <c r="BG123" i="4"/>
  <c r="BL143" i="4"/>
  <c r="BO142" i="4"/>
  <c r="BM145" i="4"/>
  <c r="AU149" i="4"/>
  <c r="AT122" i="4"/>
  <c r="AD151" i="4"/>
  <c r="AE125" i="4"/>
  <c r="AU132" i="4"/>
  <c r="AS137" i="4"/>
  <c r="AS155" i="4"/>
  <c r="AF150" i="4"/>
  <c r="BI134" i="4"/>
  <c r="BJ125" i="4"/>
  <c r="BL146" i="4"/>
  <c r="BH143" i="4"/>
  <c r="AC148" i="4"/>
  <c r="AD141" i="4"/>
  <c r="BG145" i="4"/>
  <c r="BN153" i="4"/>
  <c r="BG138" i="4"/>
  <c r="AT164" i="4"/>
  <c r="BJ130" i="4"/>
  <c r="BO143" i="4"/>
  <c r="BN155" i="4"/>
  <c r="AS126" i="4"/>
  <c r="BI123" i="4"/>
  <c r="AD143" i="4"/>
  <c r="BN131" i="4"/>
  <c r="AE129" i="4"/>
  <c r="BH131" i="4"/>
  <c r="AC129" i="4"/>
  <c r="AR142" i="4"/>
  <c r="BG135" i="4"/>
  <c r="AD149" i="4"/>
  <c r="BO161" i="4"/>
  <c r="BJ164" i="4"/>
  <c r="BI145" i="4"/>
  <c r="AC160" i="4"/>
  <c r="BO157" i="4"/>
  <c r="AE144" i="4"/>
  <c r="AD161" i="4"/>
  <c r="BJ150" i="4"/>
  <c r="BJ160" i="4"/>
  <c r="BG142" i="4"/>
  <c r="AS124" i="4"/>
  <c r="BM155" i="4"/>
  <c r="BH118" i="4"/>
  <c r="AU128" i="4"/>
  <c r="BO146" i="4"/>
  <c r="AR120" i="4"/>
  <c r="BM154" i="4"/>
  <c r="BM118" i="4"/>
  <c r="BI125" i="4"/>
  <c r="BN120" i="4"/>
  <c r="BI131" i="4"/>
  <c r="AD131" i="4"/>
  <c r="AF159" i="4"/>
  <c r="AF121" i="4"/>
  <c r="BI142" i="4"/>
  <c r="AE138" i="4"/>
  <c r="BL160" i="4"/>
  <c r="BG140" i="4"/>
  <c r="BL136" i="4"/>
  <c r="AD140" i="4"/>
  <c r="AD142" i="4"/>
  <c r="AD155" i="4"/>
  <c r="AC158" i="4"/>
  <c r="AT123" i="4"/>
  <c r="BM130" i="4"/>
  <c r="AT136" i="4"/>
  <c r="AS142" i="4"/>
  <c r="BG144" i="4"/>
  <c r="BH161" i="4"/>
  <c r="AT121" i="4"/>
  <c r="BL125" i="4"/>
  <c r="BG124" i="4"/>
  <c r="BH136" i="4"/>
  <c r="BO133" i="4"/>
  <c r="BN121" i="4"/>
  <c r="AR149" i="4"/>
  <c r="AR157" i="4"/>
  <c r="AF137" i="4"/>
  <c r="AF133" i="4"/>
  <c r="AS121" i="4"/>
  <c r="BM129" i="4"/>
  <c r="AD158" i="4"/>
  <c r="BN132" i="4"/>
  <c r="AT156" i="4"/>
  <c r="AE126" i="4"/>
  <c r="BM124" i="4"/>
  <c r="AF140" i="4"/>
  <c r="AE160" i="4"/>
  <c r="BG148" i="4"/>
  <c r="BH127" i="4"/>
  <c r="BI146" i="4"/>
  <c r="BM139" i="4"/>
  <c r="AU152" i="4"/>
  <c r="BN126" i="4"/>
  <c r="BJ117" i="4"/>
  <c r="AF144" i="4"/>
  <c r="BL156" i="4"/>
  <c r="AD124" i="4"/>
  <c r="AS119" i="4"/>
  <c r="AS130" i="4"/>
  <c r="AE154" i="4"/>
  <c r="AC139" i="4"/>
  <c r="AF123" i="4"/>
  <c r="AU143" i="4"/>
  <c r="BO139" i="4"/>
  <c r="BL120" i="4"/>
  <c r="AR123" i="4"/>
  <c r="AR136" i="4"/>
  <c r="AC120" i="4"/>
  <c r="BI143" i="4"/>
  <c r="AS136" i="4"/>
  <c r="BN150" i="4"/>
  <c r="AF132" i="4"/>
  <c r="AR153" i="4"/>
  <c r="AF161" i="4"/>
  <c r="AD139" i="4"/>
  <c r="AR159" i="4"/>
  <c r="BJ132" i="4"/>
  <c r="BG158" i="4"/>
  <c r="BG121" i="4"/>
  <c r="AD119" i="4"/>
  <c r="AT153" i="4"/>
  <c r="AT149" i="4"/>
  <c r="AT161" i="4"/>
  <c r="BI135" i="4"/>
  <c r="BM137" i="4"/>
  <c r="BO122" i="4"/>
  <c r="AC132" i="4"/>
  <c r="AC163" i="4"/>
  <c r="BJ122" i="4"/>
  <c r="BL122" i="4"/>
  <c r="BG132" i="4"/>
  <c r="AR141" i="4"/>
  <c r="BL144" i="4"/>
  <c r="BL154" i="4"/>
  <c r="BG134" i="4"/>
  <c r="AF160" i="4"/>
  <c r="BI164" i="4"/>
  <c r="BN141" i="4"/>
  <c r="AC162" i="4"/>
  <c r="BN149" i="4"/>
  <c r="BH141" i="4"/>
  <c r="AF157" i="4"/>
  <c r="AR137" i="4"/>
  <c r="AU159" i="4"/>
  <c r="AR156" i="4"/>
  <c r="BH144" i="4"/>
  <c r="AD134" i="4"/>
  <c r="BO115" i="4"/>
  <c r="BO136" i="4"/>
  <c r="BH150" i="4"/>
  <c r="BM153" i="4"/>
  <c r="AD135" i="4"/>
  <c r="AE121" i="4"/>
  <c r="AT137" i="4"/>
  <c r="AT144" i="4"/>
  <c r="BM160" i="4"/>
  <c r="AE151" i="4"/>
  <c r="BN151" i="4"/>
  <c r="AF163" i="4"/>
  <c r="BO144" i="4"/>
  <c r="BJ135" i="4"/>
  <c r="AC153" i="4"/>
  <c r="BI155" i="4"/>
  <c r="AC150" i="4"/>
  <c r="BH155" i="4"/>
  <c r="BM120" i="4"/>
  <c r="AE127" i="4"/>
  <c r="BO121" i="4"/>
  <c r="AU140" i="4"/>
  <c r="BM147" i="4"/>
  <c r="AR135" i="4"/>
  <c r="AU120" i="4"/>
  <c r="AR129" i="4"/>
  <c r="BO129" i="4"/>
  <c r="AF128" i="4"/>
  <c r="AF149" i="4"/>
  <c r="AE131" i="4"/>
  <c r="AS159" i="4"/>
  <c r="BH124" i="4"/>
  <c r="AC140" i="4"/>
  <c r="AE137" i="4"/>
  <c r="BO119" i="4"/>
  <c r="BG147" i="4"/>
  <c r="AT131" i="4"/>
  <c r="BI163" i="4"/>
  <c r="AE163" i="4"/>
  <c r="AF127" i="4"/>
  <c r="AE162" i="4"/>
  <c r="AS145" i="4"/>
  <c r="AF138" i="4"/>
  <c r="AE140" i="4"/>
  <c r="AC124" i="4"/>
  <c r="AS128" i="4"/>
  <c r="BL159" i="4"/>
  <c r="BG155" i="4"/>
  <c r="AD150" i="4"/>
  <c r="BM152" i="4"/>
  <c r="AF146" i="4"/>
  <c r="AT139" i="4"/>
  <c r="AC133" i="4"/>
  <c r="AD129" i="4"/>
  <c r="AR158" i="4"/>
  <c r="AE161" i="4"/>
  <c r="AS148" i="4"/>
  <c r="BL150" i="4"/>
  <c r="BG125" i="4"/>
  <c r="AS163" i="4"/>
  <c r="AU141" i="4"/>
  <c r="BM151" i="4"/>
  <c r="AT127" i="4"/>
  <c r="BJ157" i="4"/>
  <c r="AT129" i="4"/>
  <c r="BI160" i="4"/>
  <c r="BN161" i="4"/>
  <c r="BM123" i="4"/>
  <c r="AF129" i="4"/>
  <c r="BH122" i="4"/>
  <c r="AR124" i="4"/>
  <c r="AC161" i="4"/>
  <c r="BH120" i="4"/>
  <c r="BH153" i="4"/>
  <c r="AF158" i="4"/>
  <c r="BJ145" i="4"/>
  <c r="BI144" i="4"/>
  <c r="AD156" i="4"/>
  <c r="BG143" i="4"/>
  <c r="BN157" i="4"/>
  <c r="BI120" i="4"/>
  <c r="BH147" i="4"/>
  <c r="BI154" i="4"/>
  <c r="AE117" i="4"/>
  <c r="BJ142" i="4"/>
  <c r="BI147" i="4"/>
  <c r="AR163" i="4"/>
  <c r="BL158" i="4"/>
  <c r="BJ148" i="4"/>
  <c r="BM126" i="4"/>
  <c r="AF130" i="4"/>
  <c r="AE120" i="4"/>
  <c r="AS122" i="4"/>
  <c r="BI152" i="4"/>
  <c r="AF141" i="4"/>
  <c r="BJ129" i="4"/>
  <c r="AR122" i="4"/>
  <c r="BO126" i="4"/>
  <c r="BG152" i="4"/>
  <c r="BL152" i="4"/>
  <c r="BL138" i="4"/>
  <c r="AF119" i="4"/>
  <c r="BO127" i="4"/>
  <c r="BN145" i="4"/>
  <c r="AC151" i="4"/>
  <c r="AR164" i="4"/>
  <c r="AE119" i="4"/>
  <c r="AD159" i="4"/>
  <c r="AU151" i="4"/>
  <c r="BG153" i="4"/>
  <c r="BL153" i="4"/>
  <c r="BJ124" i="4"/>
  <c r="BI161" i="4"/>
  <c r="BN125" i="4"/>
  <c r="BL135" i="4"/>
  <c r="BG157" i="4"/>
  <c r="BL124" i="4"/>
  <c r="AS161" i="4"/>
  <c r="BO132" i="4"/>
  <c r="BI159" i="4"/>
  <c r="AR131" i="4"/>
  <c r="AU150" i="4"/>
  <c r="AE153" i="4"/>
  <c r="AS149" i="4"/>
  <c r="AF139" i="4"/>
  <c r="BL129" i="4"/>
  <c r="BG127" i="4"/>
  <c r="BJ154" i="4"/>
  <c r="BG146" i="4"/>
  <c r="AF126" i="4"/>
  <c r="BJ140" i="4"/>
  <c r="BI151" i="4"/>
  <c r="BM149" i="4"/>
  <c r="AU163" i="4"/>
  <c r="AU133" i="4"/>
  <c r="BI153" i="4"/>
  <c r="BL151" i="4"/>
  <c r="BM162" i="4"/>
  <c r="BN154" i="4"/>
  <c r="BI136" i="4"/>
  <c r="AR145" i="4"/>
  <c r="AU153" i="4"/>
  <c r="BH159" i="4"/>
  <c r="AR140" i="4"/>
  <c r="AT126" i="4"/>
  <c r="AE150" i="4"/>
  <c r="BN122" i="4"/>
  <c r="BM140" i="4"/>
  <c r="BM159" i="4"/>
  <c r="BH151" i="4"/>
  <c r="AD148" i="4"/>
  <c r="BM144" i="4"/>
  <c r="BJ161" i="4"/>
  <c r="BO145" i="4"/>
  <c r="AU121" i="4"/>
  <c r="BG129" i="4"/>
  <c r="AD147" i="4"/>
  <c r="BG141" i="4"/>
  <c r="BM148" i="4"/>
  <c r="AT163" i="4"/>
  <c r="AU116" i="4"/>
  <c r="BN159" i="4"/>
  <c r="BJ147" i="4"/>
  <c r="AE122" i="4"/>
  <c r="AR138" i="4"/>
  <c r="BJ141" i="4"/>
  <c r="AE157" i="4"/>
  <c r="BL140" i="4"/>
  <c r="BI127" i="4"/>
  <c r="BJ138" i="4"/>
  <c r="BO125" i="4"/>
  <c r="AT119" i="4"/>
  <c r="AE155" i="4"/>
  <c r="AC145" i="4"/>
  <c r="BO138" i="4"/>
  <c r="BL162" i="4"/>
  <c r="AE118" i="4"/>
  <c r="AS162" i="4"/>
  <c r="AT159" i="4"/>
  <c r="BJ133" i="4"/>
  <c r="AD120" i="4"/>
  <c r="AS140" i="4"/>
  <c r="AF116" i="4"/>
  <c r="AT128" i="4"/>
  <c r="AT117" i="4"/>
  <c r="AC144" i="4"/>
  <c r="BN162" i="4"/>
  <c r="BN160" i="4"/>
  <c r="BJ116" i="4"/>
  <c r="AC143" i="4"/>
  <c r="BO124" i="4"/>
  <c r="AD160" i="4"/>
  <c r="BJ153" i="4"/>
  <c r="AE132" i="4"/>
  <c r="AE128" i="4"/>
  <c r="BI139" i="4"/>
  <c r="AT130" i="4"/>
  <c r="BH138" i="4"/>
  <c r="BO153" i="4"/>
  <c r="AF154" i="4"/>
  <c r="BL141" i="4"/>
  <c r="BO134" i="4"/>
  <c r="AE123" i="4"/>
  <c r="BH163" i="4"/>
  <c r="AR160" i="4"/>
  <c r="AC141" i="4"/>
  <c r="BI121" i="4"/>
  <c r="BL164" i="4"/>
  <c r="BH133" i="4"/>
  <c r="BO131" i="4"/>
  <c r="BJ115" i="4"/>
  <c r="AS146" i="4"/>
  <c r="BI130" i="4"/>
  <c r="AU130" i="4"/>
  <c r="AR121" i="4"/>
  <c r="AD118" i="4"/>
  <c r="BM138" i="4"/>
  <c r="BO162" i="4"/>
  <c r="AS133" i="4"/>
  <c r="AF145" i="4"/>
  <c r="AC159" i="4"/>
  <c r="BO158" i="4"/>
  <c r="BO152" i="4"/>
  <c r="BO164" i="4"/>
  <c r="AC154" i="4"/>
  <c r="BL131" i="4"/>
  <c r="BL161" i="4"/>
  <c r="AR126" i="4"/>
  <c r="BH121" i="4"/>
  <c r="BL133" i="4"/>
  <c r="AT157" i="4"/>
  <c r="BH154" i="4"/>
  <c r="AT154" i="4"/>
  <c r="AS152" i="4"/>
  <c r="BN117" i="4"/>
  <c r="BO118" i="4"/>
  <c r="BN134" i="4"/>
  <c r="BI158" i="4"/>
  <c r="BH160" i="4"/>
  <c r="AD137" i="4"/>
  <c r="BN128" i="4"/>
  <c r="AF134" i="4"/>
  <c r="AT152" i="4"/>
  <c r="BN123" i="4"/>
  <c r="BJ155" i="4"/>
  <c r="BH130" i="4"/>
  <c r="AC152" i="4"/>
  <c r="BM158" i="4"/>
  <c r="BO154" i="4"/>
  <c r="AF164" i="4"/>
  <c r="AR125" i="4"/>
  <c r="BO159" i="4"/>
  <c r="AD126" i="4"/>
  <c r="AF153" i="4"/>
  <c r="BM122" i="4"/>
  <c r="BN135" i="4"/>
  <c r="BN139" i="4"/>
  <c r="AT143" i="4"/>
  <c r="AC121" i="4"/>
  <c r="AT142" i="4"/>
  <c r="BL127" i="4"/>
  <c r="BH135" i="4"/>
  <c r="BO147" i="4"/>
  <c r="BG156" i="4"/>
  <c r="AT125" i="4"/>
  <c r="AE159" i="4"/>
  <c r="BL142" i="4"/>
  <c r="AC123" i="4"/>
  <c r="AU134" i="4"/>
  <c r="BH162" i="4"/>
  <c r="AE145" i="4"/>
  <c r="BI129" i="4"/>
  <c r="BJ163" i="4"/>
  <c r="BM127" i="4"/>
  <c r="BI157" i="4"/>
  <c r="BG136" i="4"/>
  <c r="BM125" i="4"/>
  <c r="BG150" i="4"/>
  <c r="AC128" i="4"/>
  <c r="AU139" i="4"/>
  <c r="BH129" i="4"/>
  <c r="BI149" i="4"/>
  <c r="AS131" i="4"/>
  <c r="BN163" i="4"/>
  <c r="AD138" i="4"/>
  <c r="AE135" i="4"/>
  <c r="AC137" i="4"/>
  <c r="AT141" i="4"/>
  <c r="AC164" i="4"/>
  <c r="AD152" i="4"/>
  <c r="AS153" i="4"/>
  <c r="AD122" i="4"/>
  <c r="AR134" i="4"/>
  <c r="BO117" i="4"/>
  <c r="BI122" i="4"/>
  <c r="AT150" i="4"/>
  <c r="AC146" i="4"/>
  <c r="AE164" i="4"/>
  <c r="BO135" i="4"/>
  <c r="BN158" i="4"/>
  <c r="BI148" i="4"/>
  <c r="AE136" i="4"/>
  <c r="AS127" i="4"/>
  <c r="AF117" i="4"/>
  <c r="BO123" i="4"/>
  <c r="BM133" i="4"/>
  <c r="AS160" i="4"/>
  <c r="BH134" i="4"/>
  <c r="AS125" i="4"/>
  <c r="AS144" i="4"/>
  <c r="AC149" i="4"/>
  <c r="AR154" i="4"/>
  <c r="AU125" i="4"/>
  <c r="BJ134" i="4"/>
  <c r="AU124" i="4"/>
  <c r="BO137" i="4"/>
  <c r="AS158" i="4"/>
  <c r="BM143" i="4"/>
  <c r="AD162" i="4"/>
  <c r="BJ120" i="4"/>
  <c r="BG160" i="4"/>
  <c r="AD157" i="4"/>
  <c r="AS139" i="4"/>
  <c r="AC131" i="4"/>
  <c r="BJ126" i="4"/>
  <c r="BN127" i="4"/>
  <c r="BH157" i="4"/>
  <c r="AD121" i="4"/>
  <c r="BJ121" i="4"/>
  <c r="AS129" i="4"/>
  <c r="AS132" i="4"/>
  <c r="AU146" i="4"/>
  <c r="AU144" i="4"/>
  <c r="BI140" i="4"/>
  <c r="AU126" i="4"/>
  <c r="AD164" i="4"/>
  <c r="AC157" i="4"/>
  <c r="BO155" i="4"/>
  <c r="AS154" i="4"/>
  <c r="AD144" i="4"/>
  <c r="AF155" i="4"/>
  <c r="AR132" i="4"/>
  <c r="BL128" i="4"/>
  <c r="AT147" i="4"/>
  <c r="BL155" i="4"/>
  <c r="AD136" i="4"/>
  <c r="AU127" i="4"/>
  <c r="AU118" i="4"/>
  <c r="BN140" i="4"/>
  <c r="AC122" i="4"/>
  <c r="AR128" i="4"/>
  <c r="AF151" i="4"/>
  <c r="BJ156" i="4"/>
  <c r="BN164" i="4"/>
  <c r="BI133" i="4"/>
  <c r="BH145" i="4"/>
  <c r="AT145" i="4"/>
  <c r="AT155" i="4"/>
  <c r="AU161" i="4"/>
  <c r="AU137" i="4"/>
  <c r="AF135" i="4"/>
  <c r="AR139" i="4"/>
  <c r="AR151" i="4"/>
  <c r="AC134" i="4"/>
  <c r="BO120" i="4"/>
  <c r="AT158" i="4"/>
  <c r="AT151" i="4"/>
  <c r="AU117" i="4"/>
  <c r="BG133" i="4"/>
  <c r="BO149" i="4"/>
  <c r="AC156" i="4"/>
  <c r="BM121" i="4"/>
  <c r="BN137" i="4"/>
  <c r="BN118" i="4"/>
  <c r="AU131" i="4"/>
  <c r="BN143" i="4"/>
  <c r="AE148" i="4"/>
  <c r="AR147" i="4"/>
  <c r="BM135" i="4"/>
  <c r="AU158" i="4"/>
  <c r="BH128" i="4"/>
  <c r="BI117" i="4"/>
  <c r="BL149" i="4"/>
  <c r="AF152" i="4"/>
  <c r="BL147" i="4"/>
  <c r="BJ162" i="4"/>
  <c r="BI118" i="4"/>
  <c r="AE156" i="4"/>
  <c r="AT160" i="4"/>
  <c r="BH156" i="4"/>
  <c r="BL163" i="4"/>
  <c r="BJ139" i="4"/>
  <c r="BM156" i="4"/>
  <c r="BJ149" i="4"/>
  <c r="BO156" i="4"/>
  <c r="BM157" i="4"/>
  <c r="AT140" i="4"/>
  <c r="BH125" i="4"/>
  <c r="BI126" i="4"/>
  <c r="AU135" i="4"/>
  <c r="BL121" i="4"/>
  <c r="AC155" i="4"/>
  <c r="BG163" i="4"/>
  <c r="BI124" i="4"/>
  <c r="AF143" i="4"/>
  <c r="BI156" i="4"/>
  <c r="BJ127" i="4"/>
  <c r="AS150" i="4"/>
  <c r="AE134" i="4"/>
  <c r="BN144" i="4"/>
  <c r="AD146" i="4"/>
  <c r="BL123" i="4"/>
  <c r="AR148" i="4"/>
  <c r="AC135" i="4"/>
  <c r="AF125" i="4"/>
  <c r="AU148" i="4"/>
  <c r="BL157" i="4"/>
  <c r="AS135" i="4"/>
  <c r="BN147" i="4"/>
  <c r="AD133" i="4"/>
  <c r="BH152" i="4"/>
  <c r="AC147" i="4"/>
  <c r="BG126" i="4"/>
  <c r="AS118" i="4"/>
  <c r="BH139" i="4"/>
  <c r="BH119" i="4"/>
  <c r="BM163" i="4"/>
  <c r="AU142" i="4"/>
  <c r="BH132" i="4"/>
  <c r="AS134" i="4"/>
  <c r="BL148" i="4"/>
  <c r="BG151" i="4"/>
  <c r="BL137" i="4"/>
  <c r="BH137" i="4"/>
  <c r="BL130" i="4"/>
  <c r="AR152" i="4"/>
  <c r="AU123" i="4"/>
  <c r="AF122" i="4"/>
  <c r="BJ131" i="4"/>
  <c r="AT134" i="4"/>
  <c r="AU122" i="4"/>
  <c r="AU164" i="4"/>
  <c r="BG122" i="4"/>
  <c r="BG128" i="4"/>
  <c r="AR162" i="4"/>
  <c r="BG139" i="4"/>
  <c r="BM131" i="4"/>
  <c r="BI128" i="4"/>
  <c r="AR143" i="4"/>
  <c r="BM161" i="4"/>
  <c r="BN148" i="4"/>
  <c r="BJ123" i="4"/>
  <c r="BG131" i="4"/>
  <c r="BI132" i="4"/>
  <c r="BH142" i="4"/>
  <c r="AS120" i="4"/>
  <c r="BO148" i="4"/>
  <c r="BN133" i="4"/>
  <c r="AE139" i="4"/>
  <c r="AE149" i="4"/>
  <c r="AU162" i="4"/>
  <c r="AU145" i="4"/>
  <c r="BG161" i="4"/>
  <c r="BL145" i="4"/>
  <c r="BH158" i="4"/>
  <c r="BN129" i="4"/>
  <c r="AR155" i="4"/>
  <c r="AD123" i="4"/>
  <c r="AE146" i="4"/>
  <c r="BG159" i="4"/>
  <c r="BO160" i="4"/>
  <c r="BJ158" i="4"/>
  <c r="BG154" i="4"/>
  <c r="AU115" i="4"/>
  <c r="BG120" i="4"/>
  <c r="AD128" i="4"/>
  <c r="BH148" i="4"/>
  <c r="AS143" i="4"/>
  <c r="AE142" i="4"/>
  <c r="AT138" i="4"/>
  <c r="BM150" i="4"/>
  <c r="AC138" i="4"/>
  <c r="AU129" i="4"/>
  <c r="AF156" i="4"/>
  <c r="BH123" i="4"/>
  <c r="BJ137" i="4"/>
  <c r="BM146" i="4"/>
  <c r="BO130" i="4"/>
  <c r="BL126" i="4"/>
  <c r="BN156" i="4"/>
  <c r="AC125" i="4"/>
  <c r="AF148" i="4"/>
  <c r="BG162" i="4"/>
  <c r="AU160" i="4"/>
  <c r="AR150" i="4"/>
  <c r="AU155" i="4"/>
  <c r="BG164" i="4"/>
  <c r="BM134" i="4"/>
  <c r="AF162" i="4"/>
  <c r="AD125" i="4"/>
  <c r="BI150" i="4"/>
  <c r="AR146" i="4"/>
  <c r="BJ128" i="4"/>
  <c r="BN124" i="4"/>
  <c r="AS151" i="4"/>
  <c r="AF142" i="4"/>
  <c r="AD130" i="4"/>
  <c r="AF136" i="4"/>
  <c r="AS147" i="4"/>
  <c r="AT133" i="4"/>
  <c r="BG130" i="4"/>
  <c r="BN142" i="4"/>
  <c r="AT120" i="4"/>
  <c r="AU157" i="4"/>
  <c r="BH164" i="4"/>
  <c r="AT118" i="4"/>
  <c r="BM141" i="4"/>
  <c r="AR133" i="4"/>
  <c r="AT132" i="4"/>
  <c r="BH140" i="4"/>
  <c r="BJ151" i="4"/>
  <c r="BM142" i="4"/>
  <c r="AR161" i="4"/>
  <c r="BO141" i="4"/>
  <c r="AC126" i="4"/>
  <c r="AR127" i="4"/>
  <c r="AE133" i="4"/>
  <c r="AE141" i="4"/>
  <c r="BG137" i="4"/>
  <c r="AD153" i="4"/>
  <c r="BO150" i="4"/>
  <c r="AC127" i="4"/>
  <c r="BO163" i="4"/>
  <c r="BL134" i="4"/>
  <c r="AF124" i="4"/>
  <c r="AF118" i="4"/>
  <c r="BH146" i="4"/>
  <c r="AE130" i="4"/>
  <c r="AS123" i="4"/>
  <c r="AU136" i="4"/>
  <c r="AF131" i="4"/>
  <c r="BL139" i="4"/>
  <c r="AU147" i="4"/>
  <c r="BJ119" i="4"/>
  <c r="AF115" i="4"/>
  <c r="AR130" i="4"/>
  <c r="AS156" i="4"/>
  <c r="AF147" i="4"/>
  <c r="BN152" i="4"/>
  <c r="AD145" i="4"/>
  <c r="AS141" i="4"/>
  <c r="AC142" i="4"/>
  <c r="BH126" i="4"/>
  <c r="AT135" i="4"/>
  <c r="AU154" i="4"/>
  <c r="BJ143" i="4"/>
  <c r="BI137" i="4"/>
  <c r="BI162" i="4"/>
  <c r="BN146" i="4"/>
  <c r="AC130" i="4"/>
  <c r="BJ159" i="4"/>
  <c r="AS164" i="4"/>
  <c r="AU138" i="4"/>
  <c r="AU156" i="4"/>
  <c r="AF120" i="4"/>
  <c r="BM164" i="4"/>
  <c r="BM128" i="4"/>
  <c r="BO128" i="4"/>
  <c r="AT162" i="4"/>
  <c r="AE158" i="4"/>
  <c r="BM119" i="4"/>
  <c r="BO140" i="4"/>
  <c r="AC136" i="4"/>
  <c r="BJ146" i="4"/>
  <c r="AU119" i="4"/>
  <c r="BH149" i="4"/>
  <c r="BN130" i="4"/>
  <c r="BN119" i="4"/>
  <c r="AE124" i="4"/>
  <c r="BJ136" i="4"/>
  <c r="AT148" i="4"/>
  <c r="AT146" i="4"/>
  <c r="BJ152" i="4"/>
  <c r="BJ144" i="4"/>
  <c r="BM132" i="4"/>
  <c r="BI138" i="4"/>
  <c r="BI119" i="4"/>
  <c r="AS157" i="4"/>
  <c r="AD158" i="5"/>
  <c r="AI155" i="5"/>
  <c r="AP148" i="5"/>
  <c r="AF69" i="5"/>
  <c r="AP157" i="5"/>
  <c r="AP164" i="5"/>
  <c r="AP73" i="5"/>
  <c r="AF164" i="5"/>
  <c r="AP155" i="5"/>
  <c r="AF160" i="5"/>
  <c r="AP150" i="5"/>
  <c r="AA164" i="5"/>
  <c r="AK159" i="5"/>
  <c r="AF147" i="5"/>
  <c r="AF150" i="5"/>
  <c r="AK164" i="5"/>
  <c r="AP161" i="5"/>
  <c r="AK149" i="5"/>
  <c r="AK150" i="5"/>
  <c r="AP162" i="5"/>
  <c r="AA150" i="5"/>
  <c r="AF156" i="5"/>
  <c r="AF152" i="5"/>
  <c r="AK153" i="5"/>
  <c r="AP163" i="5"/>
  <c r="AP68" i="5"/>
  <c r="AA73" i="5"/>
  <c r="AP40" i="5"/>
  <c r="AK160" i="5"/>
  <c r="AP41" i="5"/>
  <c r="AP151" i="5"/>
  <c r="AF158" i="5"/>
  <c r="AA155" i="5"/>
  <c r="AK162" i="5"/>
  <c r="AK161" i="5"/>
  <c r="AK148" i="5"/>
  <c r="AF149" i="5"/>
  <c r="AF151" i="5"/>
  <c r="Y42" i="5"/>
  <c r="AD81" i="5"/>
  <c r="AN12" i="5"/>
  <c r="AI150" i="5"/>
  <c r="AI11" i="5"/>
  <c r="AN108" i="5"/>
  <c r="Y71" i="5"/>
  <c r="AI125" i="5"/>
  <c r="Y47" i="5"/>
  <c r="AD110" i="5"/>
  <c r="AN46" i="5"/>
  <c r="Y128" i="5"/>
  <c r="AI35" i="5"/>
  <c r="AN134" i="5"/>
  <c r="AI68" i="5"/>
  <c r="AI95" i="5"/>
  <c r="AI153" i="5"/>
  <c r="Y153" i="5"/>
  <c r="AN154" i="5"/>
  <c r="Y156" i="5"/>
  <c r="Y154" i="5"/>
  <c r="AI75" i="5"/>
  <c r="AD156" i="5"/>
  <c r="Y92" i="5"/>
  <c r="AI154" i="5"/>
  <c r="AD82" i="5"/>
  <c r="AI63" i="5"/>
  <c r="AD43" i="5"/>
  <c r="AN80" i="5"/>
  <c r="Y155" i="5"/>
  <c r="AN82" i="5"/>
  <c r="AN76" i="5"/>
  <c r="AN19" i="5"/>
  <c r="AN20" i="5"/>
  <c r="AN81" i="5"/>
  <c r="Y79" i="5"/>
  <c r="AD154" i="5"/>
  <c r="AP95" i="5"/>
  <c r="AA107" i="5"/>
  <c r="AK101" i="5"/>
  <c r="AF105" i="5"/>
  <c r="AK107" i="5"/>
  <c r="AQ97" i="5"/>
  <c r="AB95" i="5"/>
  <c r="AL90" i="5"/>
  <c r="AG145" i="5"/>
  <c r="AG91" i="5"/>
  <c r="AB89" i="5"/>
  <c r="AB99" i="5"/>
  <c r="AL93" i="5"/>
  <c r="AB90" i="5"/>
  <c r="AQ98" i="5"/>
  <c r="AQ89" i="5"/>
  <c r="AG82" i="5"/>
  <c r="AL96" i="5"/>
  <c r="AL95" i="5"/>
  <c r="AB87" i="5"/>
  <c r="AB94" i="5"/>
  <c r="AQ80" i="5"/>
  <c r="AQ84" i="5"/>
  <c r="AB100" i="5"/>
  <c r="AQ93" i="5"/>
  <c r="AQ90" i="5"/>
  <c r="AI88" i="5"/>
  <c r="AI84" i="5"/>
  <c r="AD88" i="5"/>
  <c r="Y86" i="5"/>
  <c r="Y87" i="5"/>
  <c r="AD84" i="5"/>
  <c r="AI83" i="5"/>
  <c r="AK130" i="5"/>
  <c r="AF130" i="5"/>
  <c r="AL27" i="5"/>
  <c r="AL28" i="5"/>
  <c r="AB29" i="5"/>
  <c r="AQ27" i="5"/>
  <c r="AO19" i="5"/>
  <c r="Z23" i="5"/>
  <c r="AO36" i="5"/>
  <c r="AE43" i="5"/>
  <c r="AJ75" i="5"/>
  <c r="AE95" i="5"/>
  <c r="AO77" i="5"/>
  <c r="AO31" i="5"/>
  <c r="AE158" i="5"/>
  <c r="AE155" i="5"/>
  <c r="AJ15" i="5"/>
  <c r="Z142" i="5"/>
  <c r="AJ40" i="5"/>
  <c r="AJ73" i="5"/>
  <c r="AO38" i="5"/>
  <c r="AJ36" i="5"/>
  <c r="Z95" i="5"/>
  <c r="AO15" i="5"/>
  <c r="Z161" i="5"/>
  <c r="AJ160" i="5"/>
  <c r="AO11" i="5"/>
  <c r="AJ77" i="5"/>
  <c r="AO23" i="5"/>
  <c r="Z55" i="5"/>
  <c r="AO62" i="5"/>
  <c r="AE39" i="5"/>
  <c r="AE58" i="5"/>
  <c r="AJ35" i="5"/>
  <c r="AO37" i="5"/>
  <c r="AJ108" i="5"/>
  <c r="AJ109" i="5"/>
  <c r="AE60" i="5"/>
  <c r="AO74" i="5"/>
  <c r="AJ14" i="5"/>
  <c r="AO104" i="5"/>
  <c r="AJ96" i="5"/>
  <c r="AJ18" i="5"/>
  <c r="Z9" i="5"/>
  <c r="Z36" i="5"/>
  <c r="AJ28" i="5"/>
  <c r="AO29" i="5"/>
  <c r="Z10" i="5"/>
  <c r="AO111" i="5"/>
  <c r="Z51" i="5"/>
  <c r="AO56" i="5"/>
  <c r="AJ57" i="5"/>
  <c r="AJ50" i="5"/>
  <c r="AO39" i="5"/>
  <c r="AE30" i="5"/>
  <c r="Z54" i="5"/>
  <c r="Z70" i="5"/>
  <c r="Z32" i="5"/>
  <c r="AE48" i="5"/>
  <c r="AO97" i="5"/>
  <c r="AE69" i="5"/>
  <c r="AO54" i="5"/>
  <c r="AJ37" i="5"/>
  <c r="AE77" i="5"/>
  <c r="AE54" i="5"/>
  <c r="AO152" i="5"/>
  <c r="AO71" i="5"/>
  <c r="AE16" i="5"/>
  <c r="Z102" i="5"/>
  <c r="AO100" i="5"/>
  <c r="Z105" i="5"/>
  <c r="Z96" i="5"/>
  <c r="AE15" i="5"/>
  <c r="AO160" i="5"/>
  <c r="Z163" i="5"/>
  <c r="AO114" i="5"/>
  <c r="Z160" i="5"/>
  <c r="AO48" i="5"/>
  <c r="AO79" i="5"/>
  <c r="Z111" i="5"/>
  <c r="AE32" i="5"/>
  <c r="AE12" i="5"/>
  <c r="AE99" i="5"/>
  <c r="AE57" i="5"/>
  <c r="Z53" i="5"/>
  <c r="AJ89" i="5"/>
  <c r="AO25" i="5"/>
  <c r="AO92" i="5"/>
  <c r="AO60" i="5"/>
  <c r="Z153" i="5"/>
  <c r="AE150" i="5"/>
  <c r="AO55" i="5"/>
  <c r="AE52" i="5"/>
  <c r="AO163" i="5"/>
  <c r="Z109" i="5"/>
  <c r="AJ38" i="5"/>
  <c r="AO10" i="5"/>
  <c r="AO159" i="5"/>
  <c r="AJ102" i="5"/>
  <c r="Z11" i="5"/>
  <c r="AJ105" i="5"/>
  <c r="AE53" i="5"/>
  <c r="AE47" i="5"/>
  <c r="AJ98" i="5"/>
  <c r="AO51" i="5"/>
  <c r="AJ47" i="5"/>
  <c r="AO73" i="5"/>
  <c r="AB71" i="5"/>
  <c r="AG74" i="5"/>
  <c r="AQ71" i="5"/>
  <c r="Y137" i="5"/>
  <c r="AN136" i="5"/>
  <c r="AD137" i="5"/>
  <c r="Y96" i="5"/>
  <c r="AN97" i="5"/>
  <c r="AN65" i="5"/>
  <c r="Y65" i="5"/>
  <c r="AB12" i="5"/>
  <c r="AL13" i="5"/>
  <c r="AQ16" i="5"/>
  <c r="AG18" i="5"/>
  <c r="AG17" i="5"/>
  <c r="AQ12" i="5"/>
  <c r="AL5" i="5"/>
  <c r="AL14" i="5"/>
  <c r="AB21" i="5"/>
  <c r="AQ5" i="5"/>
  <c r="AL17" i="5"/>
  <c r="AB17" i="5"/>
  <c r="AL15" i="5"/>
  <c r="AL11" i="5"/>
  <c r="AQ7" i="5"/>
  <c r="AQ21" i="5"/>
  <c r="AQ20" i="5"/>
  <c r="AG7" i="5"/>
  <c r="AB8" i="5"/>
  <c r="AB16" i="5"/>
  <c r="AQ11" i="5"/>
  <c r="AB13" i="5"/>
  <c r="AQ17" i="5"/>
  <c r="AG8" i="5"/>
  <c r="AA13" i="5"/>
  <c r="AK14" i="5"/>
  <c r="AP13" i="5"/>
  <c r="AG39" i="5"/>
  <c r="AB39" i="5"/>
  <c r="Y85" i="5"/>
  <c r="Y84" i="5"/>
  <c r="AF57" i="5"/>
  <c r="AA51" i="5"/>
  <c r="AN155" i="5"/>
  <c r="Y152" i="5"/>
  <c r="AP122" i="5"/>
  <c r="AA123" i="5"/>
  <c r="AF148" i="5"/>
  <c r="AK151" i="5"/>
  <c r="AA147" i="5"/>
  <c r="AP147" i="5"/>
  <c r="AA149" i="5"/>
  <c r="AP149" i="5"/>
  <c r="AD134" i="5"/>
  <c r="Y134" i="5"/>
  <c r="AP79" i="5"/>
  <c r="AI143" i="5"/>
  <c r="AI148" i="5"/>
  <c r="Y150" i="5"/>
  <c r="AG64" i="5"/>
  <c r="AG62" i="5"/>
  <c r="AQ62" i="5"/>
  <c r="AL62" i="5"/>
  <c r="AO96" i="5"/>
  <c r="AJ94" i="5"/>
  <c r="AE96" i="5"/>
  <c r="AJ122" i="5"/>
  <c r="AO122" i="5"/>
  <c r="AE94" i="5"/>
  <c r="AJ7" i="5"/>
  <c r="AJ95" i="5"/>
  <c r="AO26" i="5"/>
  <c r="AO153" i="5"/>
  <c r="AE25" i="5"/>
  <c r="AJ151" i="5"/>
  <c r="AO150" i="5"/>
  <c r="AE49" i="5"/>
  <c r="AJ39" i="5"/>
  <c r="Z59" i="5"/>
  <c r="AO14" i="5"/>
  <c r="AJ62" i="5"/>
  <c r="AJ30" i="5"/>
  <c r="AJ103" i="5"/>
  <c r="AJ101" i="5"/>
  <c r="AJ72" i="5"/>
  <c r="Z43" i="5"/>
  <c r="AE10" i="5"/>
  <c r="AO107" i="5"/>
  <c r="Z67" i="5"/>
  <c r="AO146" i="5"/>
  <c r="AO40" i="5"/>
  <c r="AO8" i="5"/>
  <c r="Z112" i="5"/>
  <c r="AE152" i="5"/>
  <c r="AO22" i="5"/>
  <c r="AJ79" i="5"/>
  <c r="AE44" i="5"/>
  <c r="AJ152" i="5"/>
  <c r="AO45" i="5"/>
  <c r="AJ31" i="5"/>
  <c r="AE55" i="5"/>
  <c r="AE84" i="5"/>
  <c r="AJ8" i="5"/>
  <c r="AJ21" i="5"/>
  <c r="AO7" i="5"/>
  <c r="AO61" i="5"/>
  <c r="Z45" i="5"/>
  <c r="AE29" i="5"/>
  <c r="AJ69" i="5"/>
  <c r="Z69" i="5"/>
  <c r="Z72" i="5"/>
  <c r="Z57" i="5"/>
  <c r="AJ76" i="5"/>
  <c r="AE111" i="5"/>
  <c r="AO52" i="5"/>
  <c r="AE9" i="5"/>
  <c r="X118" i="5"/>
  <c r="AC59" i="5"/>
  <c r="AM98" i="5"/>
  <c r="AC49" i="5"/>
  <c r="AH68" i="5"/>
  <c r="AM134" i="5"/>
  <c r="AC64" i="5"/>
  <c r="AC108" i="5"/>
  <c r="X119" i="5"/>
  <c r="AM22" i="5"/>
  <c r="AC10" i="5"/>
  <c r="AC8" i="5"/>
  <c r="X67" i="5"/>
  <c r="AM16" i="5"/>
  <c r="AC124" i="5"/>
  <c r="AC84" i="5"/>
  <c r="X157" i="5"/>
  <c r="X150" i="5"/>
  <c r="X141" i="5"/>
  <c r="X92" i="5"/>
  <c r="AM112" i="5"/>
  <c r="AM100" i="5"/>
  <c r="AC7" i="5"/>
  <c r="AM8" i="5"/>
  <c r="AC146" i="5"/>
  <c r="X78" i="5"/>
  <c r="X32" i="5"/>
  <c r="AM127" i="5"/>
  <c r="X139" i="5"/>
  <c r="X55" i="5"/>
  <c r="X8" i="5"/>
  <c r="AC122" i="5"/>
  <c r="AM17" i="5"/>
  <c r="X29" i="5"/>
  <c r="AM54" i="5"/>
  <c r="AH127" i="5"/>
  <c r="AM38" i="5"/>
  <c r="AC78" i="5"/>
  <c r="X83" i="5"/>
  <c r="AH52" i="5"/>
  <c r="X21" i="5"/>
  <c r="AM114" i="5"/>
  <c r="AM14" i="5"/>
  <c r="AH26" i="5"/>
  <c r="AM24" i="5"/>
  <c r="X63" i="5"/>
  <c r="AM117" i="5"/>
  <c r="AH5" i="5"/>
  <c r="AC160" i="5"/>
  <c r="AC47" i="5"/>
  <c r="AH155" i="5"/>
  <c r="AM44" i="5"/>
  <c r="AM53" i="5"/>
  <c r="X108" i="5"/>
  <c r="AH115" i="5"/>
  <c r="AH20" i="5"/>
  <c r="AM28" i="5"/>
  <c r="AM152" i="5"/>
  <c r="AH23" i="5"/>
  <c r="AH113" i="5"/>
  <c r="X54" i="5"/>
  <c r="AC56" i="5"/>
  <c r="AC83" i="5"/>
  <c r="X65" i="5"/>
  <c r="X31" i="5"/>
  <c r="X158" i="5"/>
  <c r="AC114" i="5"/>
  <c r="AH31" i="5"/>
  <c r="AH70" i="5"/>
  <c r="X152" i="5"/>
  <c r="X73" i="5"/>
  <c r="AH38" i="5"/>
  <c r="X136" i="5"/>
  <c r="AH77" i="5"/>
  <c r="X43" i="5"/>
  <c r="AH22" i="5"/>
  <c r="AM140" i="5"/>
  <c r="X24" i="5"/>
  <c r="AC116" i="5"/>
  <c r="X38" i="5"/>
  <c r="AM106" i="5"/>
  <c r="AH71" i="5"/>
  <c r="AC106" i="5"/>
  <c r="AH107" i="5"/>
  <c r="X111" i="5"/>
  <c r="AC79" i="5"/>
  <c r="AM120" i="5"/>
  <c r="AH59" i="5"/>
  <c r="AC45" i="5"/>
  <c r="AM48" i="5"/>
  <c r="AC143" i="5"/>
  <c r="AH37" i="5"/>
  <c r="X123" i="5"/>
  <c r="X56" i="5"/>
  <c r="AC157" i="5"/>
  <c r="AH7" i="5"/>
  <c r="X17" i="5"/>
  <c r="X107" i="5"/>
  <c r="AC152" i="5"/>
  <c r="X91" i="5"/>
  <c r="AM50" i="5"/>
  <c r="AH102" i="5"/>
  <c r="X102" i="5"/>
  <c r="AC164" i="5"/>
  <c r="AC68" i="5"/>
  <c r="AM6" i="5"/>
  <c r="AM20" i="5"/>
  <c r="AM135" i="5"/>
  <c r="AM26" i="5"/>
  <c r="AC140" i="5"/>
  <c r="X151" i="5"/>
  <c r="X12" i="5"/>
  <c r="X148" i="5"/>
  <c r="AH8" i="5"/>
  <c r="AM46" i="5"/>
  <c r="AM158" i="5"/>
  <c r="AC28" i="5"/>
  <c r="AH49" i="5"/>
  <c r="X159" i="5"/>
  <c r="AC142" i="5"/>
  <c r="AC102" i="5"/>
  <c r="AH144" i="5"/>
  <c r="AC29" i="5"/>
  <c r="AM43" i="5"/>
  <c r="X51" i="5"/>
  <c r="AM13" i="5"/>
  <c r="AD23" i="5"/>
  <c r="AI22" i="5"/>
  <c r="Y23" i="5"/>
  <c r="AI108" i="5"/>
  <c r="AI110" i="5"/>
  <c r="Y109" i="5"/>
  <c r="AN109" i="5"/>
  <c r="Y107" i="5"/>
  <c r="AD109" i="5"/>
  <c r="X164" i="5"/>
  <c r="X156" i="5"/>
  <c r="AM160" i="5"/>
  <c r="AC162" i="5"/>
  <c r="AH157" i="5"/>
  <c r="AH156" i="5"/>
  <c r="AH162" i="5"/>
  <c r="AI100" i="5"/>
  <c r="AN101" i="5"/>
  <c r="AN104" i="5"/>
  <c r="AI103" i="5"/>
  <c r="AD103" i="5"/>
  <c r="Y100" i="5"/>
  <c r="Y102" i="5"/>
  <c r="Y103" i="5"/>
  <c r="AD101" i="5"/>
  <c r="AI102" i="5"/>
  <c r="AN100" i="5"/>
  <c r="Y104" i="5"/>
  <c r="AN103" i="5"/>
  <c r="AN102" i="5"/>
  <c r="AQ77" i="5"/>
  <c r="AL76" i="5"/>
  <c r="AQ78" i="5"/>
  <c r="AG78" i="5"/>
  <c r="AD8" i="5"/>
  <c r="Y8" i="5"/>
  <c r="AK5" i="5"/>
  <c r="AK12" i="5"/>
  <c r="AA10" i="5"/>
  <c r="AA12" i="5"/>
  <c r="AP5" i="5"/>
  <c r="AF8" i="5"/>
  <c r="AA6" i="5"/>
  <c r="AA8" i="5"/>
  <c r="AK9" i="5"/>
  <c r="AD57" i="5"/>
  <c r="Y57" i="5"/>
  <c r="AI58" i="5"/>
  <c r="AN56" i="5"/>
  <c r="AN54" i="5"/>
  <c r="AM66" i="5"/>
  <c r="AC50" i="5"/>
  <c r="AC67" i="5"/>
  <c r="AM69" i="5"/>
  <c r="AM64" i="5"/>
  <c r="X53" i="5"/>
  <c r="AM52" i="5"/>
  <c r="X75" i="5"/>
  <c r="X79" i="5"/>
  <c r="AH62" i="5"/>
  <c r="AM58" i="5"/>
  <c r="AC63" i="5"/>
  <c r="AM68" i="5"/>
  <c r="AH63" i="5"/>
  <c r="X70" i="5"/>
  <c r="X72" i="5"/>
  <c r="X61" i="5"/>
  <c r="AH61" i="5"/>
  <c r="AL24" i="5"/>
  <c r="AB25" i="5"/>
  <c r="AK81" i="5"/>
  <c r="AK82" i="5"/>
  <c r="AP81" i="5"/>
  <c r="AF80" i="5"/>
  <c r="AQ148" i="5"/>
  <c r="AL145" i="5"/>
  <c r="AL146" i="5"/>
  <c r="AL147" i="5"/>
  <c r="AQ145" i="5"/>
  <c r="AB149" i="5"/>
  <c r="AB123" i="5"/>
  <c r="AQ126" i="5"/>
  <c r="AG134" i="5"/>
  <c r="AB134" i="5"/>
  <c r="AG147" i="5"/>
  <c r="AB131" i="5"/>
  <c r="AQ137" i="5"/>
  <c r="AG123" i="5"/>
  <c r="AQ128" i="5"/>
  <c r="AB141" i="5"/>
  <c r="AG125" i="5"/>
  <c r="AQ131" i="5"/>
  <c r="AG138" i="5"/>
  <c r="AB138" i="5"/>
  <c r="AL140" i="5"/>
  <c r="AG136" i="5"/>
  <c r="AG121" i="5"/>
  <c r="AB147" i="5"/>
  <c r="AG131" i="5"/>
  <c r="AB132" i="5"/>
  <c r="AQ127" i="5"/>
  <c r="AG137" i="5"/>
  <c r="AG142" i="5"/>
  <c r="AL139" i="5"/>
  <c r="AG148" i="5"/>
  <c r="AQ147" i="5"/>
  <c r="AL149" i="5"/>
  <c r="AB148" i="5"/>
  <c r="AN24" i="5"/>
  <c r="AD24" i="5"/>
  <c r="AG128" i="5"/>
  <c r="AB128" i="5"/>
  <c r="AL125" i="5"/>
  <c r="AB126" i="5"/>
  <c r="AL127" i="5"/>
  <c r="AL126" i="5"/>
  <c r="AB125" i="5"/>
  <c r="AQ125" i="5"/>
  <c r="AB127" i="5"/>
  <c r="U6" i="4" l="1"/>
  <c r="X6" i="4"/>
  <c r="V7" i="4"/>
  <c r="W8" i="4"/>
  <c r="X8" i="4"/>
  <c r="V6" i="4"/>
  <c r="U8" i="4"/>
  <c r="U7" i="4"/>
  <c r="X7" i="4"/>
  <c r="W6" i="4"/>
  <c r="V8" i="4"/>
  <c r="W7" i="4"/>
  <c r="CL130" i="4"/>
  <c r="CL119" i="4"/>
  <c r="CL159" i="4"/>
  <c r="CL144" i="4"/>
  <c r="CL141" i="4"/>
  <c r="CL146" i="4"/>
  <c r="CL128" i="4"/>
  <c r="CL120" i="4"/>
  <c r="CL142" i="4"/>
  <c r="CL140" i="4"/>
  <c r="CL137" i="4"/>
  <c r="CL124" i="4"/>
  <c r="CL151" i="4"/>
  <c r="CL152" i="4"/>
  <c r="CL160" i="4"/>
  <c r="CL134" i="4"/>
  <c r="CL155" i="4"/>
  <c r="CL121" i="4"/>
  <c r="CL145" i="4"/>
  <c r="CL162" i="4"/>
  <c r="CL126" i="4"/>
  <c r="CL132" i="4"/>
  <c r="CL143" i="4"/>
  <c r="CL127" i="4"/>
  <c r="CL148" i="4"/>
  <c r="CL157" i="4"/>
  <c r="CL139" i="4"/>
  <c r="CL158" i="4"/>
  <c r="CL164" i="4"/>
  <c r="CL150" i="4"/>
  <c r="CL118" i="4"/>
  <c r="CL163" i="4"/>
  <c r="CL136" i="4"/>
  <c r="CL131" i="4"/>
  <c r="CL161" i="4"/>
  <c r="CL133" i="4"/>
  <c r="CL129" i="4"/>
  <c r="CL154" i="4"/>
  <c r="CL125" i="4"/>
  <c r="CL138" i="4"/>
  <c r="CL149" i="4"/>
  <c r="CL153" i="4"/>
  <c r="CL135" i="4"/>
  <c r="CL147" i="4"/>
  <c r="CL123" i="4"/>
  <c r="CL156" i="4"/>
  <c r="CL122" i="4"/>
  <c r="CM147" i="4"/>
  <c r="CM156" i="4"/>
  <c r="CM148" i="4"/>
  <c r="CM161" i="4"/>
  <c r="CM126" i="4"/>
  <c r="CM144" i="4"/>
  <c r="CM160" i="4"/>
  <c r="CM129" i="4"/>
  <c r="CM130" i="4"/>
  <c r="CM131" i="4"/>
  <c r="CM151" i="4"/>
  <c r="CM140" i="4"/>
  <c r="CM142" i="4"/>
  <c r="CM150" i="4"/>
  <c r="CM162" i="4"/>
  <c r="CM157" i="4"/>
  <c r="CM118" i="4"/>
  <c r="CM154" i="4"/>
  <c r="CM137" i="4"/>
  <c r="CM128" i="4"/>
  <c r="CM134" i="4"/>
  <c r="CM149" i="4"/>
  <c r="CM146" i="4"/>
  <c r="CM121" i="4"/>
  <c r="CM125" i="4"/>
  <c r="CM123" i="4"/>
  <c r="CM136" i="4"/>
  <c r="CM158" i="4"/>
  <c r="CM135" i="4"/>
  <c r="CM122" i="4"/>
  <c r="CM141" i="4"/>
  <c r="CM127" i="4"/>
  <c r="CM120" i="4"/>
  <c r="CM155" i="4"/>
  <c r="CM143" i="4"/>
  <c r="CM124" i="4"/>
  <c r="CM119" i="4"/>
  <c r="CM145" i="4"/>
  <c r="CM117" i="4"/>
  <c r="CM132" i="4"/>
  <c r="CM159" i="4"/>
  <c r="CM133" i="4"/>
  <c r="CM163" i="4"/>
  <c r="CM153" i="4"/>
  <c r="CM164" i="4"/>
  <c r="CM139" i="4"/>
  <c r="CM152" i="4"/>
  <c r="CM138" i="4"/>
  <c r="CN139" i="4"/>
  <c r="CN132" i="4"/>
  <c r="CN127" i="4"/>
  <c r="CN149" i="4"/>
  <c r="CN120" i="4"/>
  <c r="CN148" i="4"/>
  <c r="CN133" i="4"/>
  <c r="CN137" i="4"/>
  <c r="CN161" i="4"/>
  <c r="CN131" i="4"/>
  <c r="CN119" i="4"/>
  <c r="CN138" i="4"/>
  <c r="CN162" i="4"/>
  <c r="CN128" i="4"/>
  <c r="CN143" i="4"/>
  <c r="CN134" i="4"/>
  <c r="CN135" i="4"/>
  <c r="CN136" i="4"/>
  <c r="CN159" i="4"/>
  <c r="CN156" i="4"/>
  <c r="CN164" i="4"/>
  <c r="CN125" i="4"/>
  <c r="CN123" i="4"/>
  <c r="CN118" i="4"/>
  <c r="CN146" i="4"/>
  <c r="CN144" i="4"/>
  <c r="CN151" i="4"/>
  <c r="CN130" i="4"/>
  <c r="CN141" i="4"/>
  <c r="CN117" i="4"/>
  <c r="CN147" i="4"/>
  <c r="CN122" i="4"/>
  <c r="CN129" i="4"/>
  <c r="CN115" i="4"/>
  <c r="CN163" i="4"/>
  <c r="CN152" i="4"/>
  <c r="CN153" i="4"/>
  <c r="CN150" i="4"/>
  <c r="CN121" i="4"/>
  <c r="CN160" i="4"/>
  <c r="CN155" i="4"/>
  <c r="CN154" i="4"/>
  <c r="CN126" i="4"/>
  <c r="CN158" i="4"/>
  <c r="CN142" i="4"/>
  <c r="CN140" i="4"/>
  <c r="CN116" i="4"/>
  <c r="CN124" i="4"/>
  <c r="CN157" i="4"/>
  <c r="CN145" i="4"/>
  <c r="CK131" i="4"/>
  <c r="CK162" i="4"/>
  <c r="CK127" i="4"/>
  <c r="CK146" i="4"/>
  <c r="CK133" i="4"/>
  <c r="CK163" i="4"/>
  <c r="CK156" i="4"/>
  <c r="CK136" i="4"/>
  <c r="CK158" i="4"/>
  <c r="CK151" i="4"/>
  <c r="CK164" i="4"/>
  <c r="CK124" i="4"/>
  <c r="CK134" i="4"/>
  <c r="CK143" i="4"/>
  <c r="CK122" i="4"/>
  <c r="CK150" i="4"/>
  <c r="CK120" i="4"/>
  <c r="CK145" i="4"/>
  <c r="CK149" i="4"/>
  <c r="CK142" i="4"/>
  <c r="CK123" i="4"/>
  <c r="CK128" i="4"/>
  <c r="CK121" i="4"/>
  <c r="CK160" i="4"/>
  <c r="CK129" i="4"/>
  <c r="CK138" i="4"/>
  <c r="CK159" i="4"/>
  <c r="CK154" i="4"/>
  <c r="CK148" i="4"/>
  <c r="CK132" i="4"/>
  <c r="CK140" i="4"/>
  <c r="CK137" i="4"/>
  <c r="CK152" i="4"/>
  <c r="CK161" i="4"/>
  <c r="CK153" i="4"/>
  <c r="CK126" i="4"/>
  <c r="CK139" i="4"/>
  <c r="CK125" i="4"/>
  <c r="CK135" i="4"/>
  <c r="CK144" i="4"/>
  <c r="CK157" i="4"/>
  <c r="CK141" i="4"/>
  <c r="CK130" i="4"/>
  <c r="CK155" i="4"/>
  <c r="CK147" i="4"/>
  <c r="V105" i="4"/>
  <c r="W105" i="4"/>
  <c r="X105" i="4"/>
  <c r="U105" i="4"/>
  <c r="F36" i="4"/>
  <c r="AK45" i="5"/>
  <c r="Y45" i="5"/>
  <c r="AP32" i="5"/>
  <c r="AA84" i="5"/>
  <c r="AF70" i="5"/>
  <c r="AK15" i="5"/>
  <c r="AD89" i="5"/>
  <c r="AA25" i="5"/>
  <c r="AN150" i="5"/>
  <c r="AF79" i="5"/>
  <c r="BB145" i="4"/>
  <c r="BD152" i="4"/>
  <c r="BE140" i="4"/>
  <c r="BC127" i="4"/>
  <c r="BD121" i="4"/>
  <c r="BE120" i="4"/>
  <c r="BE118" i="4"/>
  <c r="BD141" i="4"/>
  <c r="BC131" i="4"/>
  <c r="BC160" i="4"/>
  <c r="BC151" i="4"/>
  <c r="BB136" i="4"/>
  <c r="BD124" i="4"/>
  <c r="BC135" i="4"/>
  <c r="BD132" i="4"/>
  <c r="BC158" i="4"/>
  <c r="BB149" i="4"/>
  <c r="BE153" i="4"/>
  <c r="BC143" i="4"/>
  <c r="BE128" i="4"/>
  <c r="BC162" i="4"/>
  <c r="BE164" i="4"/>
  <c r="BB127" i="4"/>
  <c r="BE130" i="4"/>
  <c r="BE160" i="4"/>
  <c r="BC123" i="4"/>
  <c r="BC130" i="4"/>
  <c r="BB134" i="4"/>
  <c r="BC153" i="4"/>
  <c r="BB141" i="4"/>
  <c r="BB143" i="4"/>
  <c r="BD148" i="4"/>
  <c r="BB122" i="4"/>
  <c r="BC119" i="4"/>
  <c r="BD139" i="4"/>
  <c r="BC146" i="4"/>
  <c r="BE159" i="4"/>
  <c r="BD119" i="4"/>
  <c r="BD151" i="4"/>
  <c r="BE144" i="4"/>
  <c r="BD133" i="4"/>
  <c r="BE117" i="4"/>
  <c r="BB148" i="4"/>
  <c r="BE122" i="4"/>
  <c r="BD161" i="4"/>
  <c r="BD155" i="4"/>
  <c r="BB158" i="4"/>
  <c r="BC157" i="4"/>
  <c r="BE132" i="4"/>
  <c r="BD130" i="4"/>
  <c r="BE151" i="4"/>
  <c r="BE158" i="4"/>
  <c r="BB137" i="4"/>
  <c r="BD127" i="4"/>
  <c r="BB155" i="4"/>
  <c r="BD147" i="4"/>
  <c r="BD158" i="4"/>
  <c r="BC129" i="4"/>
  <c r="BD120" i="4"/>
  <c r="BE146" i="4"/>
  <c r="BE156" i="4"/>
  <c r="BC161" i="4"/>
  <c r="BC126" i="4"/>
  <c r="BE139" i="4"/>
  <c r="BC122" i="4"/>
  <c r="BE149" i="4"/>
  <c r="BC137" i="4"/>
  <c r="BB159" i="4"/>
  <c r="BD153" i="4"/>
  <c r="BD135" i="4"/>
  <c r="BE157" i="4"/>
  <c r="BD129" i="4"/>
  <c r="BC159" i="4"/>
  <c r="BC145" i="4"/>
  <c r="BC147" i="4"/>
  <c r="BB153" i="4"/>
  <c r="BD144" i="4"/>
  <c r="BE138" i="4"/>
  <c r="BD146" i="4"/>
  <c r="BC154" i="4"/>
  <c r="BB144" i="4"/>
  <c r="BE123" i="4"/>
  <c r="BE126" i="4"/>
  <c r="BE124" i="4"/>
  <c r="BB131" i="4"/>
  <c r="BB163" i="4"/>
  <c r="BC134" i="4"/>
  <c r="BE134" i="4"/>
  <c r="BE127" i="4"/>
  <c r="BD128" i="4"/>
  <c r="BE133" i="4"/>
  <c r="BB129" i="4"/>
  <c r="BD157" i="4"/>
  <c r="BD118" i="4"/>
  <c r="BE148" i="4"/>
  <c r="BB124" i="4"/>
  <c r="BC156" i="4"/>
  <c r="BE155" i="4"/>
  <c r="BD134" i="4"/>
  <c r="BE147" i="4"/>
  <c r="BB125" i="4"/>
  <c r="BD136" i="4"/>
  <c r="BC149" i="4"/>
  <c r="BD143" i="4"/>
  <c r="BB142" i="4"/>
  <c r="BB139" i="4"/>
  <c r="BB160" i="4"/>
  <c r="BD122" i="4"/>
  <c r="BE119" i="4"/>
  <c r="BD156" i="4"/>
  <c r="BD138" i="4"/>
  <c r="BD154" i="4"/>
  <c r="BD140" i="4"/>
  <c r="BB164" i="4"/>
  <c r="BC133" i="4"/>
  <c r="BB152" i="4"/>
  <c r="BD125" i="4"/>
  <c r="BD162" i="4"/>
  <c r="BB151" i="4"/>
  <c r="BD131" i="4"/>
  <c r="BC144" i="4"/>
  <c r="BC124" i="4"/>
  <c r="BB140" i="4"/>
  <c r="BE116" i="4"/>
  <c r="BD159" i="4"/>
  <c r="BE142" i="4"/>
  <c r="BB132" i="4"/>
  <c r="BB156" i="4"/>
  <c r="BB147" i="4"/>
  <c r="BE154" i="4"/>
  <c r="BE141" i="4"/>
  <c r="BC139" i="4"/>
  <c r="BB161" i="4"/>
  <c r="BC132" i="4"/>
  <c r="BE150" i="4"/>
  <c r="BC125" i="4"/>
  <c r="BC121" i="4"/>
  <c r="BD123" i="4"/>
  <c r="BB135" i="4"/>
  <c r="BC141" i="4"/>
  <c r="BE161" i="4"/>
  <c r="BC136" i="4"/>
  <c r="BE152" i="4"/>
  <c r="BC128" i="4"/>
  <c r="BE125" i="4"/>
  <c r="BC140" i="4"/>
  <c r="BD137" i="4"/>
  <c r="BB150" i="4"/>
  <c r="BE131" i="4"/>
  <c r="BE137" i="4"/>
  <c r="BC148" i="4"/>
  <c r="BE121" i="4"/>
  <c r="BB121" i="4"/>
  <c r="BE163" i="4"/>
  <c r="BC150" i="4"/>
  <c r="BD149" i="4"/>
  <c r="BE135" i="4"/>
  <c r="BC163" i="4"/>
  <c r="BC155" i="4"/>
  <c r="BD126" i="4"/>
  <c r="BD160" i="4"/>
  <c r="BB138" i="4"/>
  <c r="BB154" i="4"/>
  <c r="BB130" i="4"/>
  <c r="BB146" i="4"/>
  <c r="BB162" i="4"/>
  <c r="BE162" i="4"/>
  <c r="BE136" i="4"/>
  <c r="BE129" i="4"/>
  <c r="BD150" i="4"/>
  <c r="BD164" i="4"/>
  <c r="BC120" i="4"/>
  <c r="BB133" i="4"/>
  <c r="BD163" i="4"/>
  <c r="BC138" i="4"/>
  <c r="BC164" i="4"/>
  <c r="BD145" i="4"/>
  <c r="BE143" i="4"/>
  <c r="BB128" i="4"/>
  <c r="BC152" i="4"/>
  <c r="BB126" i="4"/>
  <c r="BE145" i="4"/>
  <c r="BC142" i="4"/>
  <c r="BB123" i="4"/>
  <c r="BD142" i="4"/>
  <c r="BB157" i="4"/>
  <c r="CB146" i="4" l="1"/>
  <c r="CB144" i="4"/>
  <c r="CB155" i="4"/>
  <c r="CB124" i="4"/>
  <c r="CB123" i="4"/>
  <c r="CB132" i="4"/>
  <c r="CB143" i="4"/>
  <c r="CB153" i="4"/>
  <c r="CB133" i="4"/>
  <c r="CB141" i="4"/>
  <c r="CB147" i="4"/>
  <c r="CB148" i="4"/>
  <c r="CB125" i="4"/>
  <c r="CB131" i="4"/>
  <c r="CB126" i="4"/>
  <c r="CB163" i="4"/>
  <c r="CB149" i="4"/>
  <c r="CB160" i="4"/>
  <c r="CB142" i="4"/>
  <c r="CB154" i="4"/>
  <c r="CB152" i="4"/>
  <c r="CB164" i="4"/>
  <c r="CB145" i="4"/>
  <c r="CB128" i="4"/>
  <c r="CB127" i="4"/>
  <c r="CB138" i="4"/>
  <c r="CB135" i="4"/>
  <c r="CB121" i="4"/>
  <c r="CB162" i="4"/>
  <c r="CB129" i="4"/>
  <c r="CB139" i="4"/>
  <c r="CB140" i="4"/>
  <c r="CB137" i="4"/>
  <c r="CB157" i="4"/>
  <c r="CB156" i="4"/>
  <c r="CB159" i="4"/>
  <c r="CB134" i="4"/>
  <c r="CB122" i="4"/>
  <c r="CB151" i="4"/>
  <c r="CB130" i="4"/>
  <c r="CB158" i="4"/>
  <c r="CB136" i="4"/>
  <c r="CB150" i="4"/>
  <c r="CB161" i="4"/>
  <c r="CE135" i="4"/>
  <c r="CE131" i="4"/>
  <c r="CE127" i="4"/>
  <c r="CE144" i="4"/>
  <c r="CE156" i="4"/>
  <c r="CE155" i="4"/>
  <c r="CE116" i="4"/>
  <c r="CE160" i="4"/>
  <c r="CE117" i="4"/>
  <c r="CE147" i="4"/>
  <c r="CE134" i="4"/>
  <c r="CE132" i="4"/>
  <c r="CE138" i="4"/>
  <c r="CE151" i="4"/>
  <c r="CE126" i="4"/>
  <c r="CE153" i="4"/>
  <c r="CE130" i="4"/>
  <c r="CE119" i="4"/>
  <c r="CE139" i="4"/>
  <c r="CE136" i="4"/>
  <c r="CE129" i="4"/>
  <c r="CE157" i="4"/>
  <c r="CE146" i="4"/>
  <c r="CE120" i="4"/>
  <c r="CE143" i="4"/>
  <c r="CE121" i="4"/>
  <c r="CE141" i="4"/>
  <c r="CE137" i="4"/>
  <c r="CE161" i="4"/>
  <c r="CE154" i="4"/>
  <c r="CE140" i="4"/>
  <c r="CE142" i="4"/>
  <c r="CE149" i="4"/>
  <c r="CE148" i="4"/>
  <c r="CE152" i="4"/>
  <c r="CE164" i="4"/>
  <c r="CE125" i="4"/>
  <c r="CE118" i="4"/>
  <c r="CE133" i="4"/>
  <c r="CE145" i="4"/>
  <c r="CE163" i="4"/>
  <c r="CE128" i="4"/>
  <c r="CE150" i="4"/>
  <c r="CE158" i="4"/>
  <c r="CE122" i="4"/>
  <c r="CE123" i="4"/>
  <c r="CE159" i="4"/>
  <c r="CE124" i="4"/>
  <c r="CE162" i="4"/>
  <c r="CD143" i="4"/>
  <c r="CD158" i="4"/>
  <c r="CD125" i="4"/>
  <c r="CD138" i="4"/>
  <c r="CD140" i="4"/>
  <c r="CD155" i="4"/>
  <c r="CD136" i="4"/>
  <c r="CD123" i="4"/>
  <c r="CD128" i="4"/>
  <c r="CD131" i="4"/>
  <c r="CD144" i="4"/>
  <c r="CD120" i="4"/>
  <c r="CD159" i="4"/>
  <c r="CD122" i="4"/>
  <c r="CD129" i="4"/>
  <c r="CD126" i="4"/>
  <c r="CD141" i="4"/>
  <c r="CD161" i="4"/>
  <c r="CD156" i="4"/>
  <c r="CD162" i="4"/>
  <c r="CD132" i="4"/>
  <c r="CD148" i="4"/>
  <c r="CD164" i="4"/>
  <c r="CD137" i="4"/>
  <c r="CD163" i="4"/>
  <c r="CD154" i="4"/>
  <c r="CD145" i="4"/>
  <c r="CD149" i="4"/>
  <c r="CD153" i="4"/>
  <c r="CD142" i="4"/>
  <c r="CD150" i="4"/>
  <c r="CD157" i="4"/>
  <c r="CD160" i="4"/>
  <c r="CD135" i="4"/>
  <c r="CD127" i="4"/>
  <c r="CD151" i="4"/>
  <c r="CD133" i="4"/>
  <c r="CD134" i="4"/>
  <c r="CD121" i="4"/>
  <c r="CD130" i="4"/>
  <c r="CD124" i="4"/>
  <c r="CD118" i="4"/>
  <c r="CD119" i="4"/>
  <c r="CD139" i="4"/>
  <c r="CD147" i="4"/>
  <c r="CD146" i="4"/>
  <c r="CD152" i="4"/>
  <c r="CC143" i="4"/>
  <c r="CC144" i="4"/>
  <c r="CC137" i="4"/>
  <c r="CC161" i="4"/>
  <c r="CC120" i="4"/>
  <c r="CC163" i="4"/>
  <c r="CC131" i="4"/>
  <c r="CC148" i="4"/>
  <c r="CC154" i="4"/>
  <c r="CC153" i="4"/>
  <c r="CC123" i="4"/>
  <c r="CC134" i="4"/>
  <c r="CC126" i="4"/>
  <c r="CC122" i="4"/>
  <c r="CC136" i="4"/>
  <c r="CC159" i="4"/>
  <c r="CC130" i="4"/>
  <c r="CC129" i="4"/>
  <c r="CC135" i="4"/>
  <c r="CC155" i="4"/>
  <c r="CC138" i="4"/>
  <c r="CC142" i="4"/>
  <c r="CC156" i="4"/>
  <c r="CC121" i="4"/>
  <c r="CC158" i="4"/>
  <c r="CC152" i="4"/>
  <c r="CC119" i="4"/>
  <c r="CC145" i="4"/>
  <c r="CC162" i="4"/>
  <c r="CC124" i="4"/>
  <c r="CC164" i="4"/>
  <c r="CC151" i="4"/>
  <c r="CC132" i="4"/>
  <c r="CC140" i="4"/>
  <c r="CC128" i="4"/>
  <c r="CC127" i="4"/>
  <c r="CC160" i="4"/>
  <c r="CC147" i="4"/>
  <c r="CC125" i="4"/>
  <c r="CC139" i="4"/>
  <c r="CC133" i="4"/>
  <c r="CC150" i="4"/>
  <c r="CC157" i="4"/>
  <c r="CC149" i="4"/>
  <c r="CC146" i="4"/>
  <c r="CC141" i="4"/>
  <c r="F37" i="4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3" i="1"/>
  <c r="F38" i="4" l="1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C66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67" i="4"/>
  <c r="F99" i="4" l="1"/>
  <c r="J105" i="4"/>
  <c r="J99" i="4"/>
  <c r="F39" i="4"/>
  <c r="F101" i="4" s="1"/>
  <c r="K6" i="3"/>
  <c r="L6" i="3"/>
  <c r="M6" i="3"/>
  <c r="N6" i="3"/>
  <c r="O6" i="3"/>
  <c r="P6" i="3"/>
  <c r="K7" i="3"/>
  <c r="L7" i="3"/>
  <c r="M7" i="3"/>
  <c r="N7" i="3"/>
  <c r="O7" i="3"/>
  <c r="P7" i="3"/>
  <c r="K8" i="3"/>
  <c r="L8" i="3"/>
  <c r="M8" i="3"/>
  <c r="N8" i="3"/>
  <c r="O8" i="3"/>
  <c r="P8" i="3"/>
  <c r="K9" i="3"/>
  <c r="L9" i="3"/>
  <c r="M9" i="3"/>
  <c r="N9" i="3"/>
  <c r="O9" i="3"/>
  <c r="P9" i="3"/>
  <c r="K10" i="3"/>
  <c r="L10" i="3"/>
  <c r="M10" i="3"/>
  <c r="N10" i="3"/>
  <c r="O10" i="3"/>
  <c r="P10" i="3"/>
  <c r="K11" i="3"/>
  <c r="L11" i="3"/>
  <c r="M11" i="3"/>
  <c r="N11" i="3"/>
  <c r="O11" i="3"/>
  <c r="P11" i="3"/>
  <c r="K12" i="3"/>
  <c r="L12" i="3"/>
  <c r="M12" i="3"/>
  <c r="N12" i="3"/>
  <c r="O12" i="3"/>
  <c r="P12" i="3"/>
  <c r="K13" i="3"/>
  <c r="L13" i="3"/>
  <c r="M13" i="3"/>
  <c r="N13" i="3"/>
  <c r="O13" i="3"/>
  <c r="P13" i="3"/>
  <c r="K14" i="3"/>
  <c r="L14" i="3"/>
  <c r="M14" i="3"/>
  <c r="N14" i="3"/>
  <c r="O14" i="3"/>
  <c r="P14" i="3"/>
  <c r="K15" i="3"/>
  <c r="L15" i="3"/>
  <c r="M15" i="3"/>
  <c r="N15" i="3"/>
  <c r="O15" i="3"/>
  <c r="P15" i="3"/>
  <c r="K16" i="3"/>
  <c r="L16" i="3"/>
  <c r="M16" i="3"/>
  <c r="N16" i="3"/>
  <c r="O16" i="3"/>
  <c r="P16" i="3"/>
  <c r="K17" i="3"/>
  <c r="L17" i="3"/>
  <c r="M17" i="3"/>
  <c r="N17" i="3"/>
  <c r="O17" i="3"/>
  <c r="P17" i="3"/>
  <c r="K18" i="3"/>
  <c r="L18" i="3"/>
  <c r="M18" i="3"/>
  <c r="N18" i="3"/>
  <c r="O18" i="3"/>
  <c r="P18" i="3"/>
  <c r="K19" i="3"/>
  <c r="L19" i="3"/>
  <c r="M19" i="3"/>
  <c r="N19" i="3"/>
  <c r="O19" i="3"/>
  <c r="P19" i="3"/>
  <c r="K20" i="3"/>
  <c r="L20" i="3"/>
  <c r="M20" i="3"/>
  <c r="N20" i="3"/>
  <c r="O20" i="3"/>
  <c r="P20" i="3"/>
  <c r="K21" i="3"/>
  <c r="L21" i="3"/>
  <c r="M21" i="3"/>
  <c r="N21" i="3"/>
  <c r="O21" i="3"/>
  <c r="P21" i="3"/>
  <c r="L5" i="3"/>
  <c r="M5" i="3"/>
  <c r="N5" i="3"/>
  <c r="O5" i="3"/>
  <c r="P5" i="3"/>
  <c r="K5" i="3"/>
  <c r="F105" i="4" l="1"/>
  <c r="F103" i="4"/>
  <c r="F102" i="4"/>
  <c r="F104" i="4"/>
  <c r="J104" i="4"/>
  <c r="J103" i="4"/>
  <c r="J102" i="4"/>
  <c r="J101" i="4"/>
  <c r="J100" i="4"/>
  <c r="D105" i="4"/>
  <c r="D99" i="4"/>
  <c r="F100" i="4"/>
  <c r="E97" i="4"/>
  <c r="E96" i="4"/>
  <c r="T96" i="4"/>
  <c r="T97" i="4"/>
  <c r="T98" i="4"/>
  <c r="G96" i="4"/>
  <c r="M96" i="4"/>
  <c r="N96" i="4"/>
  <c r="O96" i="4"/>
  <c r="P96" i="4"/>
  <c r="Q96" i="4"/>
  <c r="G97" i="4"/>
  <c r="M97" i="4"/>
  <c r="N97" i="4"/>
  <c r="O97" i="4"/>
  <c r="P97" i="4"/>
  <c r="Q97" i="4"/>
  <c r="E98" i="4"/>
  <c r="G98" i="4"/>
  <c r="M98" i="4"/>
  <c r="N98" i="4"/>
  <c r="O98" i="4"/>
  <c r="P98" i="4"/>
  <c r="Q98" i="4"/>
  <c r="AN130" i="4"/>
  <c r="AN131" i="4"/>
  <c r="AM132" i="4"/>
  <c r="AO123" i="4"/>
  <c r="AJ151" i="4"/>
  <c r="AL152" i="4"/>
  <c r="AK157" i="4"/>
  <c r="AO136" i="4"/>
  <c r="AN124" i="4"/>
  <c r="AH144" i="4"/>
  <c r="AK148" i="4"/>
  <c r="AP145" i="4"/>
  <c r="AJ142" i="4"/>
  <c r="AJ162" i="4"/>
  <c r="AK122" i="4"/>
  <c r="AH129" i="4"/>
  <c r="AG144" i="4"/>
  <c r="AN156" i="4"/>
  <c r="AM125" i="4"/>
  <c r="AK156" i="4"/>
  <c r="AL150" i="4"/>
  <c r="AM133" i="4"/>
  <c r="AG136" i="4"/>
  <c r="AP124" i="4"/>
  <c r="AL126" i="4"/>
  <c r="AO140" i="4"/>
  <c r="AO135" i="4"/>
  <c r="AJ140" i="4"/>
  <c r="AH148" i="4"/>
  <c r="AG129" i="4"/>
  <c r="AG150" i="4"/>
  <c r="AO122" i="4"/>
  <c r="AL156" i="4"/>
  <c r="AG161" i="4"/>
  <c r="AP146" i="4"/>
  <c r="AI122" i="4"/>
  <c r="AM145" i="4"/>
  <c r="AM158" i="4"/>
  <c r="AH128" i="4"/>
  <c r="AP116" i="4"/>
  <c r="AP125" i="4"/>
  <c r="AN152" i="4"/>
  <c r="AL146" i="4"/>
  <c r="AJ120" i="4"/>
  <c r="AN129" i="4"/>
  <c r="AH134" i="4"/>
  <c r="AH145" i="4"/>
  <c r="AM162" i="4"/>
  <c r="AH142" i="4"/>
  <c r="AK131" i="4"/>
  <c r="AN162" i="4"/>
  <c r="AN143" i="4"/>
  <c r="AN127" i="4"/>
  <c r="AI142" i="4"/>
  <c r="AI127" i="4"/>
  <c r="AO120" i="4"/>
  <c r="AK138" i="4"/>
  <c r="AO152" i="4"/>
  <c r="AL141" i="4"/>
  <c r="AH155" i="4"/>
  <c r="AK152" i="4"/>
  <c r="AO139" i="4"/>
  <c r="AG162" i="4"/>
  <c r="AP148" i="4"/>
  <c r="AO132" i="4"/>
  <c r="AM147" i="4"/>
  <c r="AJ118" i="4"/>
  <c r="AP153" i="4"/>
  <c r="AI128" i="4"/>
  <c r="AP134" i="4"/>
  <c r="AK132" i="4"/>
  <c r="AG155" i="4"/>
  <c r="AG159" i="4"/>
  <c r="AK159" i="4"/>
  <c r="AK119" i="4"/>
  <c r="AP136" i="4"/>
  <c r="AM155" i="4"/>
  <c r="AP152" i="4"/>
  <c r="AO150" i="4"/>
  <c r="AL145" i="4"/>
  <c r="AO156" i="4"/>
  <c r="AN139" i="4"/>
  <c r="AK116" i="4"/>
  <c r="AN123" i="4"/>
  <c r="AO164" i="4"/>
  <c r="AM127" i="4"/>
  <c r="AK134" i="4"/>
  <c r="AK125" i="4"/>
  <c r="AG124" i="4"/>
  <c r="AK129" i="4"/>
  <c r="AH136" i="4"/>
  <c r="AK139" i="4"/>
  <c r="AM144" i="4"/>
  <c r="AJ144" i="4"/>
  <c r="AG147" i="4"/>
  <c r="AP118" i="4"/>
  <c r="AI143" i="4"/>
  <c r="AI136" i="4"/>
  <c r="AL164" i="4"/>
  <c r="AJ123" i="4"/>
  <c r="AK160" i="4"/>
  <c r="AP151" i="4"/>
  <c r="AL139" i="4"/>
  <c r="AJ149" i="4"/>
  <c r="AI141" i="4"/>
  <c r="AN154" i="4"/>
  <c r="AI158" i="4"/>
  <c r="AI124" i="4"/>
  <c r="AK127" i="4"/>
  <c r="AH160" i="4"/>
  <c r="AM151" i="4"/>
  <c r="AK137" i="4"/>
  <c r="AG156" i="4"/>
  <c r="AG135" i="4"/>
  <c r="AO128" i="4"/>
  <c r="AM129" i="4"/>
  <c r="AJ158" i="4"/>
  <c r="AL135" i="4"/>
  <c r="AO160" i="4"/>
  <c r="AH138" i="4"/>
  <c r="AM152" i="4"/>
  <c r="AK142" i="4"/>
  <c r="AM156" i="4"/>
  <c r="AO157" i="4"/>
  <c r="AK144" i="4"/>
  <c r="AI145" i="4"/>
  <c r="AN164" i="4"/>
  <c r="AL127" i="4"/>
  <c r="AI126" i="4"/>
  <c r="AG138" i="4"/>
  <c r="AG154" i="4"/>
  <c r="AO148" i="4"/>
  <c r="AJ157" i="4"/>
  <c r="AG132" i="4"/>
  <c r="AG123" i="4"/>
  <c r="AH151" i="4"/>
  <c r="AG153" i="4"/>
  <c r="AI140" i="4"/>
  <c r="AP163" i="4"/>
  <c r="AO146" i="4"/>
  <c r="AG139" i="4"/>
  <c r="AG148" i="4"/>
  <c r="AP154" i="4"/>
  <c r="AK117" i="4"/>
  <c r="AP123" i="4"/>
  <c r="AJ122" i="4"/>
  <c r="AP142" i="4"/>
  <c r="AP159" i="4"/>
  <c r="AK133" i="4"/>
  <c r="AK135" i="4"/>
  <c r="AM142" i="4"/>
  <c r="AJ127" i="4"/>
  <c r="AN126" i="4"/>
  <c r="AH152" i="4"/>
  <c r="AI138" i="4"/>
  <c r="AP138" i="4"/>
  <c r="AM159" i="4"/>
  <c r="AM126" i="4"/>
  <c r="AN119" i="4"/>
  <c r="AL147" i="4"/>
  <c r="AN153" i="4"/>
  <c r="AN132" i="4"/>
  <c r="AJ128" i="4"/>
  <c r="AH139" i="4"/>
  <c r="AO141" i="4"/>
  <c r="AH158" i="4"/>
  <c r="AL132" i="4"/>
  <c r="AI163" i="4"/>
  <c r="AM137" i="4"/>
  <c r="AL129" i="4"/>
  <c r="AI164" i="4"/>
  <c r="AH135" i="4"/>
  <c r="AL125" i="4"/>
  <c r="AG145" i="4"/>
  <c r="AJ129" i="4"/>
  <c r="AJ164" i="4"/>
  <c r="AL138" i="4"/>
  <c r="AH157" i="4"/>
  <c r="AL130" i="4"/>
  <c r="AH161" i="4"/>
  <c r="AM121" i="4"/>
  <c r="AO134" i="4"/>
  <c r="AG163" i="4"/>
  <c r="AM140" i="4"/>
  <c r="AN147" i="4"/>
  <c r="AL142" i="4"/>
  <c r="AI162" i="4"/>
  <c r="AN161" i="4"/>
  <c r="AI157" i="4"/>
  <c r="AN135" i="4"/>
  <c r="AL158" i="4"/>
  <c r="AM164" i="4"/>
  <c r="AI133" i="4"/>
  <c r="AG137" i="4"/>
  <c r="AJ130" i="4"/>
  <c r="AN134" i="4"/>
  <c r="AN149" i="4"/>
  <c r="AL157" i="4"/>
  <c r="AH153" i="4"/>
  <c r="AI132" i="4"/>
  <c r="AK145" i="4"/>
  <c r="AM123" i="4"/>
  <c r="AN142" i="4"/>
  <c r="AO143" i="4"/>
  <c r="AH121" i="4"/>
  <c r="AO126" i="4"/>
  <c r="AP121" i="4"/>
  <c r="AK155" i="4"/>
  <c r="AG151" i="4"/>
  <c r="AP119" i="4"/>
  <c r="AO138" i="4"/>
  <c r="AP129" i="4"/>
  <c r="AP158" i="4"/>
  <c r="AH131" i="4"/>
  <c r="AP156" i="4"/>
  <c r="AO142" i="4"/>
  <c r="AL144" i="4"/>
  <c r="AH154" i="4"/>
  <c r="AK126" i="4"/>
  <c r="AP164" i="4"/>
  <c r="AO130" i="4"/>
  <c r="AM153" i="4"/>
  <c r="AP122" i="4"/>
  <c r="AG157" i="4"/>
  <c r="AM148" i="4"/>
  <c r="AJ153" i="4"/>
  <c r="AO129" i="4"/>
  <c r="AP120" i="4"/>
  <c r="AI161" i="4"/>
  <c r="AP155" i="4"/>
  <c r="AP117" i="4"/>
  <c r="AL134" i="4"/>
  <c r="AI137" i="4"/>
  <c r="AL161" i="4"/>
  <c r="AH141" i="4"/>
  <c r="AM124" i="4"/>
  <c r="AI147" i="4"/>
  <c r="AH143" i="4"/>
  <c r="AP144" i="4"/>
  <c r="AI130" i="4"/>
  <c r="AM143" i="4"/>
  <c r="AO158" i="4"/>
  <c r="AG131" i="4"/>
  <c r="AK118" i="4"/>
  <c r="AN148" i="4"/>
  <c r="AP161" i="4"/>
  <c r="AI153" i="4"/>
  <c r="AM134" i="4"/>
  <c r="AK146" i="4"/>
  <c r="AN133" i="4"/>
  <c r="AL143" i="4"/>
  <c r="AH127" i="4"/>
  <c r="AK124" i="4"/>
  <c r="AO145" i="4"/>
  <c r="AK128" i="4"/>
  <c r="AI150" i="4"/>
  <c r="AJ155" i="4"/>
  <c r="AM149" i="4"/>
  <c r="AN120" i="4"/>
  <c r="AO119" i="4"/>
  <c r="AN146" i="4"/>
  <c r="AO127" i="4"/>
  <c r="AO121" i="4"/>
  <c r="AJ148" i="4"/>
  <c r="AK120" i="4"/>
  <c r="AK141" i="4"/>
  <c r="AG141" i="4"/>
  <c r="AK121" i="4"/>
  <c r="AJ137" i="4"/>
  <c r="AM163" i="4"/>
  <c r="AH126" i="4"/>
  <c r="AJ135" i="4"/>
  <c r="AI154" i="4"/>
  <c r="AH163" i="4"/>
  <c r="AO137" i="4"/>
  <c r="AJ145" i="4"/>
  <c r="AK149" i="4"/>
  <c r="AP128" i="4"/>
  <c r="AH124" i="4"/>
  <c r="AL149" i="4"/>
  <c r="AL160" i="4"/>
  <c r="AO151" i="4"/>
  <c r="AH147" i="4"/>
  <c r="AH122" i="4"/>
  <c r="AL154" i="4"/>
  <c r="AN145" i="4"/>
  <c r="AH164" i="4"/>
  <c r="AL131" i="4"/>
  <c r="AH125" i="4"/>
  <c r="AL140" i="4"/>
  <c r="AG126" i="4"/>
  <c r="AL133" i="4"/>
  <c r="AH133" i="4"/>
  <c r="AP162" i="4"/>
  <c r="AN138" i="4"/>
  <c r="AI155" i="4"/>
  <c r="AG158" i="4"/>
  <c r="AJ131" i="4"/>
  <c r="AG152" i="4"/>
  <c r="AJ160" i="4"/>
  <c r="AP133" i="4"/>
  <c r="AI120" i="4"/>
  <c r="AJ139" i="4"/>
  <c r="AN136" i="4"/>
  <c r="AI144" i="4"/>
  <c r="AN158" i="4"/>
  <c r="AL136" i="4"/>
  <c r="AK163" i="4"/>
  <c r="AI149" i="4"/>
  <c r="AN140" i="4"/>
  <c r="AM122" i="4"/>
  <c r="AM160" i="4"/>
  <c r="AO155" i="4"/>
  <c r="AL162" i="4"/>
  <c r="AM128" i="4"/>
  <c r="AN160" i="4"/>
  <c r="AN155" i="4"/>
  <c r="AJ154" i="4"/>
  <c r="AI135" i="4"/>
  <c r="AP127" i="4"/>
  <c r="AO118" i="4"/>
  <c r="AN125" i="4"/>
  <c r="AJ141" i="4"/>
  <c r="AI146" i="4"/>
  <c r="AG160" i="4"/>
  <c r="AG130" i="4"/>
  <c r="AP147" i="4"/>
  <c r="AH130" i="4"/>
  <c r="AI129" i="4"/>
  <c r="AN128" i="4"/>
  <c r="AK162" i="4"/>
  <c r="AN121" i="4"/>
  <c r="AP141" i="4"/>
  <c r="AI119" i="4"/>
  <c r="AJ146" i="4"/>
  <c r="AK151" i="4"/>
  <c r="AK140" i="4"/>
  <c r="AK136" i="4"/>
  <c r="AO133" i="4"/>
  <c r="AM146" i="4"/>
  <c r="AI152" i="4"/>
  <c r="AM157" i="4"/>
  <c r="AM141" i="4"/>
  <c r="AG142" i="4"/>
  <c r="AI159" i="4"/>
  <c r="AN122" i="4"/>
  <c r="AL153" i="4"/>
  <c r="AG133" i="4"/>
  <c r="AN141" i="4"/>
  <c r="AK150" i="4"/>
  <c r="AK130" i="4"/>
  <c r="AP126" i="4"/>
  <c r="AJ159" i="4"/>
  <c r="AM131" i="4"/>
  <c r="AI125" i="4"/>
  <c r="AH146" i="4"/>
  <c r="AP131" i="4"/>
  <c r="AG125" i="4"/>
  <c r="AG128" i="4"/>
  <c r="AI121" i="4"/>
  <c r="AP157" i="4"/>
  <c r="AM154" i="4"/>
  <c r="AH137" i="4"/>
  <c r="AL124" i="4"/>
  <c r="AP137" i="4"/>
  <c r="AP149" i="4"/>
  <c r="AN137" i="4"/>
  <c r="AL148" i="4"/>
  <c r="AP130" i="4"/>
  <c r="AK161" i="4"/>
  <c r="AH149" i="4"/>
  <c r="AP140" i="4"/>
  <c r="AK164" i="4"/>
  <c r="AK153" i="4"/>
  <c r="AO161" i="4"/>
  <c r="AI156" i="4"/>
  <c r="AL151" i="4"/>
  <c r="AJ124" i="4"/>
  <c r="AP135" i="4"/>
  <c r="AO154" i="4"/>
  <c r="AH162" i="4"/>
  <c r="AL163" i="4"/>
  <c r="AH140" i="4"/>
  <c r="AN163" i="4"/>
  <c r="AL137" i="4"/>
  <c r="AO162" i="4"/>
  <c r="AH123" i="4"/>
  <c r="AH156" i="4"/>
  <c r="AJ125" i="4"/>
  <c r="AJ134" i="4"/>
  <c r="AI160" i="4"/>
  <c r="AJ150" i="4"/>
  <c r="AM150" i="4"/>
  <c r="AN150" i="4"/>
  <c r="AJ143" i="4"/>
  <c r="AJ156" i="4"/>
  <c r="AO153" i="4"/>
  <c r="AI134" i="4"/>
  <c r="AN159" i="4"/>
  <c r="AJ163" i="4"/>
  <c r="AJ152" i="4"/>
  <c r="AJ147" i="4"/>
  <c r="AO144" i="4"/>
  <c r="AK123" i="4"/>
  <c r="AL123" i="4"/>
  <c r="AN151" i="4"/>
  <c r="AN157" i="4"/>
  <c r="AK154" i="4"/>
  <c r="AI151" i="4"/>
  <c r="AO147" i="4"/>
  <c r="AO125" i="4"/>
  <c r="AH132" i="4"/>
  <c r="AM138" i="4"/>
  <c r="AM135" i="4"/>
  <c r="AM161" i="4"/>
  <c r="AG134" i="4"/>
  <c r="AP143" i="4"/>
  <c r="AM136" i="4"/>
  <c r="AP150" i="4"/>
  <c r="AJ132" i="4"/>
  <c r="AJ121" i="4"/>
  <c r="AJ133" i="4"/>
  <c r="AM130" i="4"/>
  <c r="AK158" i="4"/>
  <c r="AG143" i="4"/>
  <c r="AO124" i="4"/>
  <c r="AJ126" i="4"/>
  <c r="AH150" i="4"/>
  <c r="AL155" i="4"/>
  <c r="AI123" i="4"/>
  <c r="AH159" i="4"/>
  <c r="AO159" i="4"/>
  <c r="AG149" i="4"/>
  <c r="AL159" i="4"/>
  <c r="AJ161" i="4"/>
  <c r="AG127" i="4"/>
  <c r="AP160" i="4"/>
  <c r="AK147" i="4"/>
  <c r="AI148" i="4"/>
  <c r="AG164" i="4"/>
  <c r="AM139" i="4"/>
  <c r="AP139" i="4"/>
  <c r="AG140" i="4"/>
  <c r="AO163" i="4"/>
  <c r="AJ138" i="4"/>
  <c r="AL128" i="4"/>
  <c r="AO149" i="4"/>
  <c r="AP132" i="4"/>
  <c r="AK143" i="4"/>
  <c r="AJ136" i="4"/>
  <c r="AI131" i="4"/>
  <c r="AO131" i="4"/>
  <c r="AI139" i="4"/>
  <c r="AJ119" i="4"/>
  <c r="AN144" i="4"/>
  <c r="AG146" i="4"/>
  <c r="D104" i="4" l="1"/>
  <c r="D103" i="4"/>
  <c r="D102" i="4"/>
  <c r="D101" i="4"/>
  <c r="D100" i="4"/>
  <c r="E68" i="4"/>
  <c r="G68" i="4"/>
  <c r="M68" i="4"/>
  <c r="N68" i="4"/>
  <c r="O68" i="4"/>
  <c r="P68" i="4"/>
  <c r="Q68" i="4"/>
  <c r="E69" i="4"/>
  <c r="G69" i="4"/>
  <c r="M69" i="4"/>
  <c r="N69" i="4"/>
  <c r="O69" i="4"/>
  <c r="P69" i="4"/>
  <c r="Q69" i="4"/>
  <c r="E70" i="4"/>
  <c r="G70" i="4"/>
  <c r="M70" i="4"/>
  <c r="N70" i="4"/>
  <c r="O70" i="4"/>
  <c r="P70" i="4"/>
  <c r="Q70" i="4"/>
  <c r="E71" i="4"/>
  <c r="G71" i="4"/>
  <c r="M71" i="4"/>
  <c r="N71" i="4"/>
  <c r="O71" i="4"/>
  <c r="P71" i="4"/>
  <c r="Q71" i="4"/>
  <c r="E72" i="4"/>
  <c r="G72" i="4"/>
  <c r="M72" i="4"/>
  <c r="N72" i="4"/>
  <c r="O72" i="4"/>
  <c r="P72" i="4"/>
  <c r="Q72" i="4"/>
  <c r="E73" i="4"/>
  <c r="G73" i="4"/>
  <c r="M73" i="4"/>
  <c r="N73" i="4"/>
  <c r="O73" i="4"/>
  <c r="P73" i="4"/>
  <c r="Q73" i="4"/>
  <c r="E74" i="4"/>
  <c r="G74" i="4"/>
  <c r="M74" i="4"/>
  <c r="N74" i="4"/>
  <c r="O74" i="4"/>
  <c r="P74" i="4"/>
  <c r="Q74" i="4"/>
  <c r="E75" i="4"/>
  <c r="G75" i="4"/>
  <c r="M75" i="4"/>
  <c r="N75" i="4"/>
  <c r="O75" i="4"/>
  <c r="P75" i="4"/>
  <c r="Q75" i="4"/>
  <c r="E76" i="4"/>
  <c r="G76" i="4"/>
  <c r="M76" i="4"/>
  <c r="N76" i="4"/>
  <c r="O76" i="4"/>
  <c r="P76" i="4"/>
  <c r="Q76" i="4"/>
  <c r="E77" i="4"/>
  <c r="G77" i="4"/>
  <c r="M77" i="4"/>
  <c r="N77" i="4"/>
  <c r="O77" i="4"/>
  <c r="P77" i="4"/>
  <c r="Q77" i="4"/>
  <c r="E78" i="4"/>
  <c r="G78" i="4"/>
  <c r="M78" i="4"/>
  <c r="N78" i="4"/>
  <c r="O78" i="4"/>
  <c r="P78" i="4"/>
  <c r="Q78" i="4"/>
  <c r="E79" i="4"/>
  <c r="G79" i="4"/>
  <c r="M79" i="4"/>
  <c r="N79" i="4"/>
  <c r="O79" i="4"/>
  <c r="P79" i="4"/>
  <c r="Q79" i="4"/>
  <c r="E80" i="4"/>
  <c r="G80" i="4"/>
  <c r="M80" i="4"/>
  <c r="N80" i="4"/>
  <c r="O80" i="4"/>
  <c r="P80" i="4"/>
  <c r="Q80" i="4"/>
  <c r="E81" i="4"/>
  <c r="G81" i="4"/>
  <c r="M81" i="4"/>
  <c r="N81" i="4"/>
  <c r="O81" i="4"/>
  <c r="P81" i="4"/>
  <c r="Q81" i="4"/>
  <c r="E82" i="4"/>
  <c r="G82" i="4"/>
  <c r="M82" i="4"/>
  <c r="N82" i="4"/>
  <c r="O82" i="4"/>
  <c r="P82" i="4"/>
  <c r="Q82" i="4"/>
  <c r="E83" i="4"/>
  <c r="G83" i="4"/>
  <c r="M83" i="4"/>
  <c r="N83" i="4"/>
  <c r="O83" i="4"/>
  <c r="P83" i="4"/>
  <c r="Q83" i="4"/>
  <c r="E84" i="4"/>
  <c r="G84" i="4"/>
  <c r="M84" i="4"/>
  <c r="N84" i="4"/>
  <c r="O84" i="4"/>
  <c r="P84" i="4"/>
  <c r="Q84" i="4"/>
  <c r="E85" i="4"/>
  <c r="G85" i="4"/>
  <c r="M85" i="4"/>
  <c r="N85" i="4"/>
  <c r="O85" i="4"/>
  <c r="P85" i="4"/>
  <c r="Q85" i="4"/>
  <c r="E86" i="4"/>
  <c r="G86" i="4"/>
  <c r="M86" i="4"/>
  <c r="N86" i="4"/>
  <c r="O86" i="4"/>
  <c r="P86" i="4"/>
  <c r="Q86" i="4"/>
  <c r="E87" i="4"/>
  <c r="G87" i="4"/>
  <c r="M87" i="4"/>
  <c r="N87" i="4"/>
  <c r="O87" i="4"/>
  <c r="P87" i="4"/>
  <c r="Q87" i="4"/>
  <c r="E88" i="4"/>
  <c r="G88" i="4"/>
  <c r="M88" i="4"/>
  <c r="N88" i="4"/>
  <c r="O88" i="4"/>
  <c r="P88" i="4"/>
  <c r="Q88" i="4"/>
  <c r="E89" i="4"/>
  <c r="G89" i="4"/>
  <c r="M89" i="4"/>
  <c r="N89" i="4"/>
  <c r="O89" i="4"/>
  <c r="P89" i="4"/>
  <c r="Q89" i="4"/>
  <c r="E90" i="4"/>
  <c r="G90" i="4"/>
  <c r="M90" i="4"/>
  <c r="N90" i="4"/>
  <c r="O90" i="4"/>
  <c r="P90" i="4"/>
  <c r="Q90" i="4"/>
  <c r="E91" i="4"/>
  <c r="G91" i="4"/>
  <c r="M91" i="4"/>
  <c r="N91" i="4"/>
  <c r="O91" i="4"/>
  <c r="P91" i="4"/>
  <c r="Q91" i="4"/>
  <c r="E92" i="4"/>
  <c r="G92" i="4"/>
  <c r="M92" i="4"/>
  <c r="N92" i="4"/>
  <c r="O92" i="4"/>
  <c r="P92" i="4"/>
  <c r="Q92" i="4"/>
  <c r="E93" i="4"/>
  <c r="G93" i="4"/>
  <c r="M93" i="4"/>
  <c r="N93" i="4"/>
  <c r="O93" i="4"/>
  <c r="P93" i="4"/>
  <c r="Q93" i="4"/>
  <c r="E94" i="4"/>
  <c r="G94" i="4"/>
  <c r="M94" i="4"/>
  <c r="N94" i="4"/>
  <c r="O94" i="4"/>
  <c r="P94" i="4"/>
  <c r="Q94" i="4"/>
  <c r="E95" i="4"/>
  <c r="G95" i="4"/>
  <c r="M95" i="4"/>
  <c r="N95" i="4"/>
  <c r="O95" i="4"/>
  <c r="P95" i="4"/>
  <c r="Q95" i="4"/>
  <c r="C97" i="4" l="1"/>
  <c r="C98" i="4"/>
  <c r="C96" i="4"/>
  <c r="C68" i="4"/>
  <c r="C71" i="4"/>
  <c r="C74" i="4"/>
  <c r="C77" i="4"/>
  <c r="C80" i="4"/>
  <c r="C83" i="4"/>
  <c r="C86" i="4"/>
  <c r="C92" i="4"/>
  <c r="C70" i="4"/>
  <c r="C73" i="4"/>
  <c r="C76" i="4"/>
  <c r="C79" i="4"/>
  <c r="C82" i="4"/>
  <c r="C85" i="4"/>
  <c r="C88" i="4"/>
  <c r="C91" i="4"/>
  <c r="C94" i="4"/>
  <c r="C89" i="4"/>
  <c r="C95" i="4"/>
  <c r="C69" i="4"/>
  <c r="C72" i="4"/>
  <c r="C75" i="4"/>
  <c r="C78" i="4"/>
  <c r="C81" i="4"/>
  <c r="C84" i="4"/>
  <c r="C87" i="4"/>
  <c r="C90" i="4"/>
  <c r="C93" i="4"/>
  <c r="O67" i="4"/>
  <c r="E67" i="4"/>
  <c r="M67" i="4"/>
  <c r="N67" i="4"/>
  <c r="P67" i="4"/>
  <c r="Q67" i="4"/>
  <c r="T87" i="4"/>
  <c r="T88" i="4"/>
  <c r="T89" i="4"/>
  <c r="T90" i="4"/>
  <c r="T91" i="4"/>
  <c r="T92" i="4"/>
  <c r="T93" i="4"/>
  <c r="T94" i="4"/>
  <c r="T95" i="4"/>
  <c r="G67" i="4"/>
  <c r="BI25" i="1"/>
  <c r="CE5" i="1" l="1"/>
  <c r="CE6" i="1"/>
  <c r="CE7" i="1"/>
  <c r="CE8" i="1"/>
  <c r="CE9" i="1"/>
  <c r="CE10" i="1"/>
  <c r="CE11" i="1"/>
  <c r="CE12" i="1"/>
  <c r="CE13" i="1"/>
  <c r="CE14" i="1"/>
  <c r="CE15" i="1"/>
  <c r="CE16" i="1"/>
  <c r="CE17" i="1"/>
  <c r="CE18" i="1"/>
  <c r="CE19" i="1"/>
  <c r="CE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32" i="1"/>
  <c r="BW33" i="1"/>
  <c r="BW34" i="1"/>
  <c r="BW35" i="1"/>
  <c r="BW36" i="1"/>
  <c r="BW37" i="1"/>
  <c r="BW38" i="1"/>
  <c r="BW39" i="1"/>
  <c r="BW40" i="1"/>
  <c r="BW41" i="1"/>
  <c r="BW42" i="1"/>
  <c r="BW43" i="1"/>
  <c r="BW44" i="1"/>
  <c r="BW45" i="1"/>
  <c r="BW46" i="1"/>
  <c r="BW47" i="1"/>
  <c r="BW48" i="1"/>
  <c r="BW49" i="1"/>
  <c r="BW50" i="1"/>
  <c r="BW51" i="1"/>
  <c r="BW52" i="1"/>
  <c r="BW53" i="1"/>
  <c r="BW54" i="1"/>
  <c r="BW55" i="1"/>
  <c r="BW56" i="1"/>
  <c r="BW57" i="1"/>
  <c r="BW58" i="1"/>
  <c r="BW59" i="1"/>
  <c r="BW60" i="1"/>
  <c r="BW61" i="1"/>
  <c r="BW62" i="1"/>
  <c r="BW63" i="1"/>
  <c r="BW64" i="1"/>
  <c r="BW65" i="1"/>
  <c r="BW66" i="1"/>
  <c r="BW67" i="1"/>
  <c r="BW68" i="1"/>
  <c r="BW69" i="1"/>
  <c r="BW70" i="1"/>
  <c r="BW71" i="1"/>
  <c r="BW72" i="1"/>
  <c r="BW73" i="1"/>
  <c r="BW74" i="1"/>
  <c r="BW75" i="1"/>
  <c r="BW76" i="1"/>
  <c r="BW77" i="1"/>
  <c r="BW78" i="1"/>
  <c r="BW79" i="1"/>
  <c r="BW80" i="1"/>
  <c r="BW81" i="1"/>
  <c r="BW82" i="1"/>
  <c r="BW83" i="1"/>
  <c r="BW84" i="1"/>
  <c r="BW85" i="1"/>
  <c r="BW86" i="1"/>
  <c r="BW87" i="1"/>
  <c r="BW88" i="1"/>
  <c r="BW89" i="1"/>
  <c r="BW90" i="1"/>
  <c r="BW91" i="1"/>
  <c r="BW92" i="1"/>
  <c r="BW93" i="1"/>
  <c r="BW94" i="1"/>
  <c r="BW95" i="1"/>
  <c r="BW96" i="1"/>
  <c r="BW97" i="1"/>
  <c r="BW98" i="1"/>
  <c r="BW99" i="1"/>
  <c r="BW100" i="1"/>
  <c r="BW101" i="1"/>
  <c r="BW102" i="1"/>
  <c r="BW103" i="1"/>
  <c r="BW4" i="1"/>
  <c r="BP5" i="1"/>
  <c r="BP6" i="1"/>
  <c r="BP7" i="1"/>
  <c r="BP8" i="1"/>
  <c r="BP9" i="1"/>
  <c r="BP10" i="1"/>
  <c r="BP11" i="1"/>
  <c r="BP12" i="1"/>
  <c r="BP13" i="1"/>
  <c r="BP14" i="1"/>
  <c r="BP15" i="1"/>
  <c r="BP16" i="1"/>
  <c r="BP17" i="1"/>
  <c r="BP18" i="1"/>
  <c r="BP19" i="1"/>
  <c r="BP20" i="1"/>
  <c r="BP21" i="1"/>
  <c r="BP22" i="1"/>
  <c r="BP23" i="1"/>
  <c r="BP24" i="1"/>
  <c r="BP25" i="1"/>
  <c r="BP26" i="1"/>
  <c r="BP27" i="1"/>
  <c r="BP28" i="1"/>
  <c r="BP29" i="1"/>
  <c r="BP30" i="1"/>
  <c r="BP31" i="1"/>
  <c r="BP32" i="1"/>
  <c r="BP33" i="1"/>
  <c r="BP34" i="1"/>
  <c r="BP35" i="1"/>
  <c r="BP36" i="1"/>
  <c r="BP37" i="1"/>
  <c r="BP38" i="1"/>
  <c r="BP39" i="1"/>
  <c r="BP40" i="1"/>
  <c r="BP41" i="1"/>
  <c r="BP42" i="1"/>
  <c r="BP43" i="1"/>
  <c r="BP44" i="1"/>
  <c r="BP45" i="1"/>
  <c r="BP46" i="1"/>
  <c r="BP47" i="1"/>
  <c r="BP48" i="1"/>
  <c r="BP49" i="1"/>
  <c r="BP50" i="1"/>
  <c r="BP51" i="1"/>
  <c r="BP52" i="1"/>
  <c r="BP53" i="1"/>
  <c r="BP4" i="1"/>
  <c r="BI5" i="1"/>
  <c r="BJ5" i="1"/>
  <c r="BK5" i="1"/>
  <c r="BL5" i="1"/>
  <c r="BM5" i="1"/>
  <c r="BN5" i="1"/>
  <c r="BI6" i="1"/>
  <c r="BJ6" i="1"/>
  <c r="BK6" i="1"/>
  <c r="BL6" i="1"/>
  <c r="BM6" i="1"/>
  <c r="BN6" i="1"/>
  <c r="BI7" i="1"/>
  <c r="BJ7" i="1"/>
  <c r="BK7" i="1"/>
  <c r="BL7" i="1"/>
  <c r="BM7" i="1"/>
  <c r="BN7" i="1"/>
  <c r="BI8" i="1"/>
  <c r="BJ8" i="1"/>
  <c r="BK8" i="1"/>
  <c r="BL8" i="1"/>
  <c r="BM8" i="1"/>
  <c r="BN8" i="1"/>
  <c r="BI9" i="1"/>
  <c r="BJ9" i="1"/>
  <c r="BK9" i="1"/>
  <c r="BL9" i="1"/>
  <c r="BM9" i="1"/>
  <c r="BN9" i="1"/>
  <c r="BI10" i="1"/>
  <c r="BJ10" i="1"/>
  <c r="BK10" i="1"/>
  <c r="BL10" i="1"/>
  <c r="BM10" i="1"/>
  <c r="BN10" i="1"/>
  <c r="BI11" i="1"/>
  <c r="BJ11" i="1"/>
  <c r="BK11" i="1"/>
  <c r="BL11" i="1"/>
  <c r="BM11" i="1"/>
  <c r="BN11" i="1"/>
  <c r="BI12" i="1"/>
  <c r="BJ12" i="1"/>
  <c r="BK12" i="1"/>
  <c r="BL12" i="1"/>
  <c r="BM12" i="1"/>
  <c r="BN12" i="1"/>
  <c r="BI13" i="1"/>
  <c r="BJ13" i="1"/>
  <c r="BK13" i="1"/>
  <c r="BL13" i="1"/>
  <c r="BM13" i="1"/>
  <c r="BN13" i="1"/>
  <c r="BI14" i="1"/>
  <c r="BJ14" i="1"/>
  <c r="BK14" i="1"/>
  <c r="BL14" i="1"/>
  <c r="BM14" i="1"/>
  <c r="BN14" i="1"/>
  <c r="BI15" i="1"/>
  <c r="BJ15" i="1"/>
  <c r="BK15" i="1"/>
  <c r="BL15" i="1"/>
  <c r="BM15" i="1"/>
  <c r="BN15" i="1"/>
  <c r="BI16" i="1"/>
  <c r="BJ16" i="1"/>
  <c r="BK16" i="1"/>
  <c r="BL16" i="1"/>
  <c r="BM16" i="1"/>
  <c r="BN16" i="1"/>
  <c r="BI17" i="1"/>
  <c r="BJ17" i="1"/>
  <c r="BK17" i="1"/>
  <c r="BL17" i="1"/>
  <c r="BM17" i="1"/>
  <c r="BN17" i="1"/>
  <c r="BI18" i="1"/>
  <c r="BJ18" i="1"/>
  <c r="BK18" i="1"/>
  <c r="BL18" i="1"/>
  <c r="BM18" i="1"/>
  <c r="BN18" i="1"/>
  <c r="BI19" i="1"/>
  <c r="BJ19" i="1"/>
  <c r="BK19" i="1"/>
  <c r="BL19" i="1"/>
  <c r="BM19" i="1"/>
  <c r="BN19" i="1"/>
  <c r="BI20" i="1"/>
  <c r="BJ20" i="1"/>
  <c r="BK20" i="1"/>
  <c r="BL20" i="1"/>
  <c r="BM20" i="1"/>
  <c r="BN20" i="1"/>
  <c r="BI21" i="1"/>
  <c r="BJ21" i="1"/>
  <c r="BK21" i="1"/>
  <c r="BL21" i="1"/>
  <c r="BM21" i="1"/>
  <c r="BN21" i="1"/>
  <c r="BI22" i="1"/>
  <c r="BJ22" i="1"/>
  <c r="BK22" i="1"/>
  <c r="BL22" i="1"/>
  <c r="BM22" i="1"/>
  <c r="BN22" i="1"/>
  <c r="BI23" i="1"/>
  <c r="BJ23" i="1"/>
  <c r="BK23" i="1"/>
  <c r="BL23" i="1"/>
  <c r="BM23" i="1"/>
  <c r="BN23" i="1"/>
  <c r="BI24" i="1"/>
  <c r="BJ24" i="1"/>
  <c r="BK24" i="1"/>
  <c r="BL24" i="1"/>
  <c r="BM24" i="1"/>
  <c r="BN24" i="1"/>
  <c r="BJ25" i="1"/>
  <c r="BK25" i="1"/>
  <c r="BL25" i="1"/>
  <c r="BM25" i="1"/>
  <c r="BN25" i="1"/>
  <c r="BI26" i="1"/>
  <c r="BJ26" i="1"/>
  <c r="BK26" i="1"/>
  <c r="BL26" i="1"/>
  <c r="BM26" i="1"/>
  <c r="BN26" i="1"/>
  <c r="BI27" i="1"/>
  <c r="BJ27" i="1"/>
  <c r="BK27" i="1"/>
  <c r="BL27" i="1"/>
  <c r="BM27" i="1"/>
  <c r="BN27" i="1"/>
  <c r="BI28" i="1"/>
  <c r="BJ28" i="1"/>
  <c r="BK28" i="1"/>
  <c r="BL28" i="1"/>
  <c r="BM28" i="1"/>
  <c r="BN28" i="1"/>
  <c r="BI29" i="1"/>
  <c r="BJ29" i="1"/>
  <c r="BK29" i="1"/>
  <c r="BL29" i="1"/>
  <c r="BM29" i="1"/>
  <c r="BN29" i="1"/>
  <c r="BI30" i="1"/>
  <c r="BJ30" i="1"/>
  <c r="BK30" i="1"/>
  <c r="BL30" i="1"/>
  <c r="BM30" i="1"/>
  <c r="BN30" i="1"/>
  <c r="BI31" i="1"/>
  <c r="BJ31" i="1"/>
  <c r="BK31" i="1"/>
  <c r="BL31" i="1"/>
  <c r="BM31" i="1"/>
  <c r="BN31" i="1"/>
  <c r="BI32" i="1"/>
  <c r="BJ32" i="1"/>
  <c r="BK32" i="1"/>
  <c r="BL32" i="1"/>
  <c r="BM32" i="1"/>
  <c r="BN32" i="1"/>
  <c r="BI33" i="1"/>
  <c r="BJ33" i="1"/>
  <c r="BK33" i="1"/>
  <c r="BL33" i="1"/>
  <c r="BM33" i="1"/>
  <c r="BN33" i="1"/>
  <c r="BI34" i="1"/>
  <c r="BJ34" i="1"/>
  <c r="BK34" i="1"/>
  <c r="BL34" i="1"/>
  <c r="BM34" i="1"/>
  <c r="BN34" i="1"/>
  <c r="BI35" i="1"/>
  <c r="BJ35" i="1"/>
  <c r="BK35" i="1"/>
  <c r="BL35" i="1"/>
  <c r="BM35" i="1"/>
  <c r="BN35" i="1"/>
  <c r="BI36" i="1"/>
  <c r="BJ36" i="1"/>
  <c r="BK36" i="1"/>
  <c r="BL36" i="1"/>
  <c r="BM36" i="1"/>
  <c r="BN36" i="1"/>
  <c r="BI37" i="1"/>
  <c r="BJ37" i="1"/>
  <c r="BK37" i="1"/>
  <c r="BL37" i="1"/>
  <c r="BM37" i="1"/>
  <c r="BN37" i="1"/>
  <c r="BI38" i="1"/>
  <c r="BJ38" i="1"/>
  <c r="BK38" i="1"/>
  <c r="BL38" i="1"/>
  <c r="BM38" i="1"/>
  <c r="BN38" i="1"/>
  <c r="BI39" i="1"/>
  <c r="BJ39" i="1"/>
  <c r="BK39" i="1"/>
  <c r="BL39" i="1"/>
  <c r="BM39" i="1"/>
  <c r="BN39" i="1"/>
  <c r="BI40" i="1"/>
  <c r="BJ40" i="1"/>
  <c r="BK40" i="1"/>
  <c r="BL40" i="1"/>
  <c r="BM40" i="1"/>
  <c r="BN40" i="1"/>
  <c r="BI41" i="1"/>
  <c r="BJ41" i="1"/>
  <c r="BK41" i="1"/>
  <c r="BL41" i="1"/>
  <c r="BM41" i="1"/>
  <c r="BN41" i="1"/>
  <c r="BI42" i="1"/>
  <c r="BJ42" i="1"/>
  <c r="BK42" i="1"/>
  <c r="BL42" i="1"/>
  <c r="BM42" i="1"/>
  <c r="BN42" i="1"/>
  <c r="BI43" i="1"/>
  <c r="BJ43" i="1"/>
  <c r="BK43" i="1"/>
  <c r="BL43" i="1"/>
  <c r="BM43" i="1"/>
  <c r="BN43" i="1"/>
  <c r="BI44" i="1"/>
  <c r="BJ44" i="1"/>
  <c r="BK44" i="1"/>
  <c r="BL44" i="1"/>
  <c r="BM44" i="1"/>
  <c r="BN44" i="1"/>
  <c r="BI45" i="1"/>
  <c r="BJ45" i="1"/>
  <c r="BK45" i="1"/>
  <c r="BL45" i="1"/>
  <c r="BM45" i="1"/>
  <c r="BN45" i="1"/>
  <c r="BI46" i="1"/>
  <c r="BJ46" i="1"/>
  <c r="BK46" i="1"/>
  <c r="BL46" i="1"/>
  <c r="BM46" i="1"/>
  <c r="BN46" i="1"/>
  <c r="BI47" i="1"/>
  <c r="BJ47" i="1"/>
  <c r="BK47" i="1"/>
  <c r="BL47" i="1"/>
  <c r="BM47" i="1"/>
  <c r="BN47" i="1"/>
  <c r="BI48" i="1"/>
  <c r="BJ48" i="1"/>
  <c r="BK48" i="1"/>
  <c r="BL48" i="1"/>
  <c r="BM48" i="1"/>
  <c r="BN48" i="1"/>
  <c r="BI49" i="1"/>
  <c r="BJ49" i="1"/>
  <c r="BK49" i="1"/>
  <c r="BL49" i="1"/>
  <c r="BM49" i="1"/>
  <c r="BN49" i="1"/>
  <c r="BI50" i="1"/>
  <c r="BJ50" i="1"/>
  <c r="BK50" i="1"/>
  <c r="BL50" i="1"/>
  <c r="BM50" i="1"/>
  <c r="BN50" i="1"/>
  <c r="BI51" i="1"/>
  <c r="BJ51" i="1"/>
  <c r="BK51" i="1"/>
  <c r="BL51" i="1"/>
  <c r="BM51" i="1"/>
  <c r="BN51" i="1"/>
  <c r="BI52" i="1"/>
  <c r="BJ52" i="1"/>
  <c r="BK52" i="1"/>
  <c r="BL52" i="1"/>
  <c r="BM52" i="1"/>
  <c r="BN52" i="1"/>
  <c r="BI53" i="1"/>
  <c r="BJ53" i="1"/>
  <c r="BK53" i="1"/>
  <c r="BL53" i="1"/>
  <c r="BM53" i="1"/>
  <c r="BN53" i="1"/>
  <c r="BI54" i="1"/>
  <c r="BJ54" i="1"/>
  <c r="BK54" i="1"/>
  <c r="BL54" i="1"/>
  <c r="BM54" i="1"/>
  <c r="BN54" i="1"/>
  <c r="BI55" i="1"/>
  <c r="BJ55" i="1"/>
  <c r="BK55" i="1"/>
  <c r="BL55" i="1"/>
  <c r="BM55" i="1"/>
  <c r="BN55" i="1"/>
  <c r="BI56" i="1"/>
  <c r="BJ56" i="1"/>
  <c r="BK56" i="1"/>
  <c r="BL56" i="1"/>
  <c r="BM56" i="1"/>
  <c r="BN56" i="1"/>
  <c r="BI57" i="1"/>
  <c r="BJ57" i="1"/>
  <c r="BK57" i="1"/>
  <c r="BL57" i="1"/>
  <c r="BM57" i="1"/>
  <c r="BN57" i="1"/>
  <c r="BI58" i="1"/>
  <c r="BJ58" i="1"/>
  <c r="BK58" i="1"/>
  <c r="BL58" i="1"/>
  <c r="BM58" i="1"/>
  <c r="BN58" i="1"/>
  <c r="BI59" i="1"/>
  <c r="BJ59" i="1"/>
  <c r="BK59" i="1"/>
  <c r="BL59" i="1"/>
  <c r="BM59" i="1"/>
  <c r="BN59" i="1"/>
  <c r="BI60" i="1"/>
  <c r="BJ60" i="1"/>
  <c r="BK60" i="1"/>
  <c r="BL60" i="1"/>
  <c r="BM60" i="1"/>
  <c r="BN60" i="1"/>
  <c r="BI61" i="1"/>
  <c r="BJ61" i="1"/>
  <c r="BK61" i="1"/>
  <c r="BL61" i="1"/>
  <c r="BM61" i="1"/>
  <c r="BN61" i="1"/>
  <c r="BI62" i="1"/>
  <c r="BJ62" i="1"/>
  <c r="BK62" i="1"/>
  <c r="BL62" i="1"/>
  <c r="BM62" i="1"/>
  <c r="BN62" i="1"/>
  <c r="BI63" i="1"/>
  <c r="BJ63" i="1"/>
  <c r="BK63" i="1"/>
  <c r="BL63" i="1"/>
  <c r="BM63" i="1"/>
  <c r="BN63" i="1"/>
  <c r="BI64" i="1"/>
  <c r="BJ64" i="1"/>
  <c r="BK64" i="1"/>
  <c r="BL64" i="1"/>
  <c r="BM64" i="1"/>
  <c r="BN64" i="1"/>
  <c r="BI65" i="1"/>
  <c r="BJ65" i="1"/>
  <c r="BK65" i="1"/>
  <c r="BL65" i="1"/>
  <c r="BM65" i="1"/>
  <c r="BN65" i="1"/>
  <c r="BI66" i="1"/>
  <c r="BJ66" i="1"/>
  <c r="BK66" i="1"/>
  <c r="BL66" i="1"/>
  <c r="BM66" i="1"/>
  <c r="BN66" i="1"/>
  <c r="BI67" i="1"/>
  <c r="BJ67" i="1"/>
  <c r="BK67" i="1"/>
  <c r="BL67" i="1"/>
  <c r="BM67" i="1"/>
  <c r="BN67" i="1"/>
  <c r="BI68" i="1"/>
  <c r="BJ68" i="1"/>
  <c r="BK68" i="1"/>
  <c r="BL68" i="1"/>
  <c r="BM68" i="1"/>
  <c r="BN68" i="1"/>
  <c r="BI69" i="1"/>
  <c r="BJ69" i="1"/>
  <c r="BK69" i="1"/>
  <c r="BL69" i="1"/>
  <c r="BM69" i="1"/>
  <c r="BN69" i="1"/>
  <c r="BI70" i="1"/>
  <c r="BJ70" i="1"/>
  <c r="BK70" i="1"/>
  <c r="BL70" i="1"/>
  <c r="BM70" i="1"/>
  <c r="BN70" i="1"/>
  <c r="BI71" i="1"/>
  <c r="BJ71" i="1"/>
  <c r="BK71" i="1"/>
  <c r="BL71" i="1"/>
  <c r="BM71" i="1"/>
  <c r="BN71" i="1"/>
  <c r="BI72" i="1"/>
  <c r="BJ72" i="1"/>
  <c r="BK72" i="1"/>
  <c r="BL72" i="1"/>
  <c r="BM72" i="1"/>
  <c r="BN72" i="1"/>
  <c r="BI73" i="1"/>
  <c r="BJ73" i="1"/>
  <c r="BK73" i="1"/>
  <c r="BL73" i="1"/>
  <c r="BM73" i="1"/>
  <c r="BN73" i="1"/>
  <c r="BI74" i="1"/>
  <c r="BJ74" i="1"/>
  <c r="BK74" i="1"/>
  <c r="BL74" i="1"/>
  <c r="BM74" i="1"/>
  <c r="BN74" i="1"/>
  <c r="BI75" i="1"/>
  <c r="BJ75" i="1"/>
  <c r="BK75" i="1"/>
  <c r="BL75" i="1"/>
  <c r="BM75" i="1"/>
  <c r="BN75" i="1"/>
  <c r="BI76" i="1"/>
  <c r="BJ76" i="1"/>
  <c r="BK76" i="1"/>
  <c r="BL76" i="1"/>
  <c r="BM76" i="1"/>
  <c r="BN76" i="1"/>
  <c r="BI77" i="1"/>
  <c r="BJ77" i="1"/>
  <c r="BK77" i="1"/>
  <c r="BL77" i="1"/>
  <c r="BM77" i="1"/>
  <c r="BN77" i="1"/>
  <c r="BI78" i="1"/>
  <c r="BJ78" i="1"/>
  <c r="BK78" i="1"/>
  <c r="BL78" i="1"/>
  <c r="BM78" i="1"/>
  <c r="BN78" i="1"/>
  <c r="BI79" i="1"/>
  <c r="BJ79" i="1"/>
  <c r="BK79" i="1"/>
  <c r="BL79" i="1"/>
  <c r="BM79" i="1"/>
  <c r="BN79" i="1"/>
  <c r="BI80" i="1"/>
  <c r="BJ80" i="1"/>
  <c r="BK80" i="1"/>
  <c r="BL80" i="1"/>
  <c r="BM80" i="1"/>
  <c r="BN80" i="1"/>
  <c r="BI81" i="1"/>
  <c r="BJ81" i="1"/>
  <c r="BK81" i="1"/>
  <c r="BL81" i="1"/>
  <c r="BM81" i="1"/>
  <c r="BN81" i="1"/>
  <c r="BI82" i="1"/>
  <c r="BJ82" i="1"/>
  <c r="BK82" i="1"/>
  <c r="BL82" i="1"/>
  <c r="BM82" i="1"/>
  <c r="BN82" i="1"/>
  <c r="BI83" i="1"/>
  <c r="BJ83" i="1"/>
  <c r="BK83" i="1"/>
  <c r="BL83" i="1"/>
  <c r="BM83" i="1"/>
  <c r="BN83" i="1"/>
  <c r="BI84" i="1"/>
  <c r="BJ84" i="1"/>
  <c r="BK84" i="1"/>
  <c r="BL84" i="1"/>
  <c r="BM84" i="1"/>
  <c r="BN84" i="1"/>
  <c r="BI85" i="1"/>
  <c r="BJ85" i="1"/>
  <c r="BK85" i="1"/>
  <c r="BL85" i="1"/>
  <c r="BM85" i="1"/>
  <c r="BN85" i="1"/>
  <c r="BI86" i="1"/>
  <c r="BJ86" i="1"/>
  <c r="BK86" i="1"/>
  <c r="BL86" i="1"/>
  <c r="BM86" i="1"/>
  <c r="BN86" i="1"/>
  <c r="BI87" i="1"/>
  <c r="BJ87" i="1"/>
  <c r="BK87" i="1"/>
  <c r="BL87" i="1"/>
  <c r="BM87" i="1"/>
  <c r="BN87" i="1"/>
  <c r="BI88" i="1"/>
  <c r="BJ88" i="1"/>
  <c r="BK88" i="1"/>
  <c r="BL88" i="1"/>
  <c r="BM88" i="1"/>
  <c r="BN88" i="1"/>
  <c r="BI89" i="1"/>
  <c r="BJ89" i="1"/>
  <c r="BK89" i="1"/>
  <c r="BL89" i="1"/>
  <c r="BM89" i="1"/>
  <c r="BN89" i="1"/>
  <c r="BI90" i="1"/>
  <c r="BJ90" i="1"/>
  <c r="BK90" i="1"/>
  <c r="BL90" i="1"/>
  <c r="BM90" i="1"/>
  <c r="BN90" i="1"/>
  <c r="BI91" i="1"/>
  <c r="BJ91" i="1"/>
  <c r="BK91" i="1"/>
  <c r="BL91" i="1"/>
  <c r="BM91" i="1"/>
  <c r="BN91" i="1"/>
  <c r="BI92" i="1"/>
  <c r="BJ92" i="1"/>
  <c r="BK92" i="1"/>
  <c r="BL92" i="1"/>
  <c r="BM92" i="1"/>
  <c r="BN92" i="1"/>
  <c r="BI93" i="1"/>
  <c r="BJ93" i="1"/>
  <c r="BK93" i="1"/>
  <c r="BL93" i="1"/>
  <c r="BM93" i="1"/>
  <c r="BN93" i="1"/>
  <c r="BI94" i="1"/>
  <c r="BJ94" i="1"/>
  <c r="BK94" i="1"/>
  <c r="BL94" i="1"/>
  <c r="BM94" i="1"/>
  <c r="BN94" i="1"/>
  <c r="BI95" i="1"/>
  <c r="BJ95" i="1"/>
  <c r="BK95" i="1"/>
  <c r="BL95" i="1"/>
  <c r="BM95" i="1"/>
  <c r="BN95" i="1"/>
  <c r="BI96" i="1"/>
  <c r="BJ96" i="1"/>
  <c r="BK96" i="1"/>
  <c r="BL96" i="1"/>
  <c r="BM96" i="1"/>
  <c r="BN96" i="1"/>
  <c r="BI97" i="1"/>
  <c r="BJ97" i="1"/>
  <c r="BK97" i="1"/>
  <c r="BL97" i="1"/>
  <c r="BM97" i="1"/>
  <c r="BN97" i="1"/>
  <c r="BI98" i="1"/>
  <c r="BJ98" i="1"/>
  <c r="BK98" i="1"/>
  <c r="BL98" i="1"/>
  <c r="BM98" i="1"/>
  <c r="BN98" i="1"/>
  <c r="BI99" i="1"/>
  <c r="BJ99" i="1"/>
  <c r="BK99" i="1"/>
  <c r="BL99" i="1"/>
  <c r="BM99" i="1"/>
  <c r="BN99" i="1"/>
  <c r="BI100" i="1"/>
  <c r="BJ100" i="1"/>
  <c r="BK100" i="1"/>
  <c r="BL100" i="1"/>
  <c r="BM100" i="1"/>
  <c r="BN100" i="1"/>
  <c r="BI101" i="1"/>
  <c r="BJ101" i="1"/>
  <c r="BK101" i="1"/>
  <c r="BL101" i="1"/>
  <c r="BM101" i="1"/>
  <c r="BN101" i="1"/>
  <c r="BI102" i="1"/>
  <c r="BJ102" i="1"/>
  <c r="BK102" i="1"/>
  <c r="BL102" i="1"/>
  <c r="BM102" i="1"/>
  <c r="BN102" i="1"/>
  <c r="BI103" i="1"/>
  <c r="BJ103" i="1"/>
  <c r="BK103" i="1"/>
  <c r="BL103" i="1"/>
  <c r="BM103" i="1"/>
  <c r="BN103" i="1"/>
  <c r="BN4" i="1"/>
  <c r="BM4" i="1"/>
  <c r="BL4" i="1"/>
  <c r="BK4" i="1"/>
  <c r="BJ4" i="1"/>
  <c r="BI4" i="1"/>
  <c r="AZ5" i="1"/>
  <c r="AZ6" i="1"/>
  <c r="AZ7" i="1"/>
  <c r="AZ8" i="1"/>
  <c r="AZ9" i="1"/>
  <c r="AZ10" i="1"/>
  <c r="AZ11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5" i="1"/>
  <c r="AZ56" i="1"/>
  <c r="AZ57" i="1"/>
  <c r="AZ58" i="1"/>
  <c r="AZ59" i="1"/>
  <c r="AZ60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110" i="1"/>
  <c r="AZ111" i="1"/>
  <c r="AZ112" i="1"/>
  <c r="AZ113" i="1"/>
  <c r="AZ114" i="1"/>
  <c r="AZ115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65" i="1"/>
  <c r="AZ166" i="1"/>
  <c r="AZ167" i="1"/>
  <c r="AZ168" i="1"/>
  <c r="AZ169" i="1"/>
  <c r="AZ170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183" i="1"/>
  <c r="AZ184" i="1"/>
  <c r="AZ185" i="1"/>
  <c r="AZ186" i="1"/>
  <c r="AZ187" i="1"/>
  <c r="AZ188" i="1"/>
  <c r="AZ189" i="1"/>
  <c r="AZ190" i="1"/>
  <c r="AZ191" i="1"/>
  <c r="AZ192" i="1"/>
  <c r="AZ193" i="1"/>
  <c r="AZ194" i="1"/>
  <c r="AZ195" i="1"/>
  <c r="AZ196" i="1"/>
  <c r="AZ197" i="1"/>
  <c r="AZ198" i="1"/>
  <c r="AZ199" i="1"/>
  <c r="AZ200" i="1"/>
  <c r="AZ201" i="1"/>
  <c r="AZ202" i="1"/>
  <c r="AZ203" i="1"/>
  <c r="AZ204" i="1"/>
  <c r="AZ205" i="1"/>
  <c r="AZ206" i="1"/>
  <c r="AZ207" i="1"/>
  <c r="AZ208" i="1"/>
  <c r="AZ209" i="1"/>
  <c r="AZ210" i="1"/>
  <c r="AZ211" i="1"/>
  <c r="AZ212" i="1"/>
  <c r="AZ213" i="1"/>
  <c r="AZ214" i="1"/>
  <c r="AZ215" i="1"/>
  <c r="AZ216" i="1"/>
  <c r="AZ217" i="1"/>
  <c r="AZ218" i="1"/>
  <c r="AZ219" i="1"/>
  <c r="AZ220" i="1"/>
  <c r="AZ221" i="1"/>
  <c r="AZ222" i="1"/>
  <c r="AZ223" i="1"/>
  <c r="AZ224" i="1"/>
  <c r="AZ225" i="1"/>
  <c r="AZ226" i="1"/>
  <c r="AZ227" i="1"/>
  <c r="AZ228" i="1"/>
  <c r="AZ229" i="1"/>
  <c r="AZ230" i="1"/>
  <c r="AZ231" i="1"/>
  <c r="AZ232" i="1"/>
  <c r="AZ233" i="1"/>
  <c r="AZ234" i="1"/>
  <c r="AZ235" i="1"/>
  <c r="AZ236" i="1"/>
  <c r="AZ237" i="1"/>
  <c r="AZ238" i="1"/>
  <c r="AZ239" i="1"/>
  <c r="AZ240" i="1"/>
  <c r="AZ241" i="1"/>
  <c r="AZ242" i="1"/>
  <c r="AZ243" i="1"/>
  <c r="AZ244" i="1"/>
  <c r="AZ245" i="1"/>
  <c r="AZ246" i="1"/>
  <c r="AZ247" i="1"/>
  <c r="AZ248" i="1"/>
  <c r="AZ249" i="1"/>
  <c r="AZ250" i="1"/>
  <c r="AZ251" i="1"/>
  <c r="AZ252" i="1"/>
  <c r="AZ253" i="1"/>
  <c r="AZ254" i="1"/>
  <c r="AZ255" i="1"/>
  <c r="AZ256" i="1"/>
  <c r="AZ257" i="1"/>
  <c r="AZ258" i="1"/>
  <c r="AZ259" i="1"/>
  <c r="AZ260" i="1"/>
  <c r="AZ261" i="1"/>
  <c r="AZ262" i="1"/>
  <c r="AZ263" i="1"/>
  <c r="AZ264" i="1"/>
  <c r="AZ265" i="1"/>
  <c r="AZ266" i="1"/>
  <c r="AZ267" i="1"/>
  <c r="AZ268" i="1"/>
  <c r="AZ269" i="1"/>
  <c r="AZ270" i="1"/>
  <c r="AZ271" i="1"/>
  <c r="AZ272" i="1"/>
  <c r="AZ273" i="1"/>
  <c r="AZ274" i="1"/>
  <c r="AZ275" i="1"/>
  <c r="AZ276" i="1"/>
  <c r="AZ277" i="1"/>
  <c r="AZ278" i="1"/>
  <c r="AZ279" i="1"/>
  <c r="AZ280" i="1"/>
  <c r="AZ281" i="1"/>
  <c r="AZ282" i="1"/>
  <c r="AZ283" i="1"/>
  <c r="AZ284" i="1"/>
  <c r="AZ285" i="1"/>
  <c r="AZ286" i="1"/>
  <c r="AZ287" i="1"/>
  <c r="AZ288" i="1"/>
  <c r="AZ289" i="1"/>
  <c r="AZ290" i="1"/>
  <c r="AZ291" i="1"/>
  <c r="AZ292" i="1"/>
  <c r="AZ293" i="1"/>
  <c r="AZ294" i="1"/>
  <c r="AZ295" i="1"/>
  <c r="AZ296" i="1"/>
  <c r="AZ297" i="1"/>
  <c r="AZ298" i="1"/>
  <c r="AZ299" i="1"/>
  <c r="AZ300" i="1"/>
  <c r="AZ301" i="1"/>
  <c r="AZ302" i="1"/>
  <c r="AZ303" i="1"/>
  <c r="AZ304" i="1"/>
  <c r="AZ305" i="1"/>
  <c r="AZ306" i="1"/>
  <c r="AZ307" i="1"/>
  <c r="AZ308" i="1"/>
  <c r="AZ309" i="1"/>
  <c r="AZ310" i="1"/>
  <c r="AZ311" i="1"/>
  <c r="AZ312" i="1"/>
  <c r="AZ313" i="1"/>
  <c r="AZ314" i="1"/>
  <c r="AZ315" i="1"/>
  <c r="AZ316" i="1"/>
  <c r="AZ317" i="1"/>
  <c r="AZ318" i="1"/>
  <c r="AZ319" i="1"/>
  <c r="AZ320" i="1"/>
  <c r="AZ321" i="1"/>
  <c r="AZ322" i="1"/>
  <c r="AZ323" i="1"/>
  <c r="AZ324" i="1"/>
  <c r="AZ325" i="1"/>
  <c r="AZ326" i="1"/>
  <c r="AZ327" i="1"/>
  <c r="AZ328" i="1"/>
  <c r="AZ329" i="1"/>
  <c r="AZ330" i="1"/>
  <c r="AZ331" i="1"/>
  <c r="AZ332" i="1"/>
  <c r="AZ333" i="1"/>
  <c r="AZ334" i="1"/>
  <c r="AZ335" i="1"/>
  <c r="AZ336" i="1"/>
  <c r="AZ337" i="1"/>
  <c r="AZ338" i="1"/>
  <c r="AZ339" i="1"/>
  <c r="AZ340" i="1"/>
  <c r="AZ341" i="1"/>
  <c r="AZ342" i="1"/>
  <c r="AZ343" i="1"/>
  <c r="AZ344" i="1"/>
  <c r="AZ345" i="1"/>
  <c r="AZ346" i="1"/>
  <c r="AZ347" i="1"/>
  <c r="AZ348" i="1"/>
  <c r="AZ349" i="1"/>
  <c r="AZ350" i="1"/>
  <c r="AZ351" i="1"/>
  <c r="AZ352" i="1"/>
  <c r="AZ353" i="1"/>
  <c r="AZ354" i="1"/>
  <c r="AZ355" i="1"/>
  <c r="AZ356" i="1"/>
  <c r="AZ357" i="1"/>
  <c r="AZ358" i="1"/>
  <c r="AZ359" i="1"/>
  <c r="AZ360" i="1"/>
  <c r="AZ361" i="1"/>
  <c r="AZ362" i="1"/>
  <c r="AZ363" i="1"/>
  <c r="AZ4" i="1"/>
  <c r="AS5" i="1"/>
  <c r="AT5" i="1"/>
  <c r="AU5" i="1"/>
  <c r="AV5" i="1"/>
  <c r="AW5" i="1"/>
  <c r="AX5" i="1"/>
  <c r="AS6" i="1"/>
  <c r="AT6" i="1"/>
  <c r="AU6" i="1"/>
  <c r="AV6" i="1"/>
  <c r="AW6" i="1"/>
  <c r="AX6" i="1"/>
  <c r="AS7" i="1"/>
  <c r="AT7" i="1"/>
  <c r="AU7" i="1"/>
  <c r="AV7" i="1"/>
  <c r="AW7" i="1"/>
  <c r="AX7" i="1"/>
  <c r="AS8" i="1"/>
  <c r="AT8" i="1"/>
  <c r="AU8" i="1"/>
  <c r="AV8" i="1"/>
  <c r="AW8" i="1"/>
  <c r="AX8" i="1"/>
  <c r="AS9" i="1"/>
  <c r="AT9" i="1"/>
  <c r="AU9" i="1"/>
  <c r="AV9" i="1"/>
  <c r="AW9" i="1"/>
  <c r="AX9" i="1"/>
  <c r="AS10" i="1"/>
  <c r="AT10" i="1"/>
  <c r="AU10" i="1"/>
  <c r="AV10" i="1"/>
  <c r="AW10" i="1"/>
  <c r="AX10" i="1"/>
  <c r="AS11" i="1"/>
  <c r="AT11" i="1"/>
  <c r="AU11" i="1"/>
  <c r="AV11" i="1"/>
  <c r="AW11" i="1"/>
  <c r="AX11" i="1"/>
  <c r="AS12" i="1"/>
  <c r="AT12" i="1"/>
  <c r="AU12" i="1"/>
  <c r="AV12" i="1"/>
  <c r="AW12" i="1"/>
  <c r="AX12" i="1"/>
  <c r="AS13" i="1"/>
  <c r="AT13" i="1"/>
  <c r="AU13" i="1"/>
  <c r="AV13" i="1"/>
  <c r="AW13" i="1"/>
  <c r="AX13" i="1"/>
  <c r="AS14" i="1"/>
  <c r="AT14" i="1"/>
  <c r="AU14" i="1"/>
  <c r="AV14" i="1"/>
  <c r="AW14" i="1"/>
  <c r="AX14" i="1"/>
  <c r="AS15" i="1"/>
  <c r="AT15" i="1"/>
  <c r="AU15" i="1"/>
  <c r="AV15" i="1"/>
  <c r="AW15" i="1"/>
  <c r="AX15" i="1"/>
  <c r="AS16" i="1"/>
  <c r="AT16" i="1"/>
  <c r="AU16" i="1"/>
  <c r="AV16" i="1"/>
  <c r="AW16" i="1"/>
  <c r="AX16" i="1"/>
  <c r="AS17" i="1"/>
  <c r="AT17" i="1"/>
  <c r="AU17" i="1"/>
  <c r="AV17" i="1"/>
  <c r="AW17" i="1"/>
  <c r="AX17" i="1"/>
  <c r="AS18" i="1"/>
  <c r="AT18" i="1"/>
  <c r="AU18" i="1"/>
  <c r="AV18" i="1"/>
  <c r="AW18" i="1"/>
  <c r="AX18" i="1"/>
  <c r="AS19" i="1"/>
  <c r="AT19" i="1"/>
  <c r="AU19" i="1"/>
  <c r="AV19" i="1"/>
  <c r="AW19" i="1"/>
  <c r="AX19" i="1"/>
  <c r="AS20" i="1"/>
  <c r="AT20" i="1"/>
  <c r="AU20" i="1"/>
  <c r="AV20" i="1"/>
  <c r="AW20" i="1"/>
  <c r="AX20" i="1"/>
  <c r="AS21" i="1"/>
  <c r="AT21" i="1"/>
  <c r="AU21" i="1"/>
  <c r="AV21" i="1"/>
  <c r="AW21" i="1"/>
  <c r="AX21" i="1"/>
  <c r="AS22" i="1"/>
  <c r="AT22" i="1"/>
  <c r="AU22" i="1"/>
  <c r="AV22" i="1"/>
  <c r="AW22" i="1"/>
  <c r="AX22" i="1"/>
  <c r="AS23" i="1"/>
  <c r="AT23" i="1"/>
  <c r="AU23" i="1"/>
  <c r="AV23" i="1"/>
  <c r="AW23" i="1"/>
  <c r="AX23" i="1"/>
  <c r="AS24" i="1"/>
  <c r="AT24" i="1"/>
  <c r="AU24" i="1"/>
  <c r="AV24" i="1"/>
  <c r="AW24" i="1"/>
  <c r="AX24" i="1"/>
  <c r="AS25" i="1"/>
  <c r="AT25" i="1"/>
  <c r="AU25" i="1"/>
  <c r="AV25" i="1"/>
  <c r="AW25" i="1"/>
  <c r="AX25" i="1"/>
  <c r="AS26" i="1"/>
  <c r="AT26" i="1"/>
  <c r="AU26" i="1"/>
  <c r="AV26" i="1"/>
  <c r="AW26" i="1"/>
  <c r="AX26" i="1"/>
  <c r="AS27" i="1"/>
  <c r="AT27" i="1"/>
  <c r="AU27" i="1"/>
  <c r="AV27" i="1"/>
  <c r="AW27" i="1"/>
  <c r="AX27" i="1"/>
  <c r="AS28" i="1"/>
  <c r="AT28" i="1"/>
  <c r="AU28" i="1"/>
  <c r="AV28" i="1"/>
  <c r="AW28" i="1"/>
  <c r="AX28" i="1"/>
  <c r="AS29" i="1"/>
  <c r="AT29" i="1"/>
  <c r="AU29" i="1"/>
  <c r="AV29" i="1"/>
  <c r="AW29" i="1"/>
  <c r="AX29" i="1"/>
  <c r="AS30" i="1"/>
  <c r="AT30" i="1"/>
  <c r="AU30" i="1"/>
  <c r="AV30" i="1"/>
  <c r="AW30" i="1"/>
  <c r="AX30" i="1"/>
  <c r="AS31" i="1"/>
  <c r="AT31" i="1"/>
  <c r="AU31" i="1"/>
  <c r="AV31" i="1"/>
  <c r="AW31" i="1"/>
  <c r="AX31" i="1"/>
  <c r="AS32" i="1"/>
  <c r="AT32" i="1"/>
  <c r="AU32" i="1"/>
  <c r="AV32" i="1"/>
  <c r="AW32" i="1"/>
  <c r="AX32" i="1"/>
  <c r="AS33" i="1"/>
  <c r="AT33" i="1"/>
  <c r="AU33" i="1"/>
  <c r="AV33" i="1"/>
  <c r="AW33" i="1"/>
  <c r="AX33" i="1"/>
  <c r="AS34" i="1"/>
  <c r="AT34" i="1"/>
  <c r="AU34" i="1"/>
  <c r="AV34" i="1"/>
  <c r="AW34" i="1"/>
  <c r="AX34" i="1"/>
  <c r="AS35" i="1"/>
  <c r="AT35" i="1"/>
  <c r="AU35" i="1"/>
  <c r="AV35" i="1"/>
  <c r="AW35" i="1"/>
  <c r="AX35" i="1"/>
  <c r="AS36" i="1"/>
  <c r="AT36" i="1"/>
  <c r="AU36" i="1"/>
  <c r="AV36" i="1"/>
  <c r="AW36" i="1"/>
  <c r="AX36" i="1"/>
  <c r="AS37" i="1"/>
  <c r="AT37" i="1"/>
  <c r="AU37" i="1"/>
  <c r="AV37" i="1"/>
  <c r="AW37" i="1"/>
  <c r="AX37" i="1"/>
  <c r="AS38" i="1"/>
  <c r="AT38" i="1"/>
  <c r="AU38" i="1"/>
  <c r="AV38" i="1"/>
  <c r="AW38" i="1"/>
  <c r="AX38" i="1"/>
  <c r="AS39" i="1"/>
  <c r="AT39" i="1"/>
  <c r="AU39" i="1"/>
  <c r="AV39" i="1"/>
  <c r="AW39" i="1"/>
  <c r="AX39" i="1"/>
  <c r="AS40" i="1"/>
  <c r="AT40" i="1"/>
  <c r="AU40" i="1"/>
  <c r="AV40" i="1"/>
  <c r="AW40" i="1"/>
  <c r="AX40" i="1"/>
  <c r="AS41" i="1"/>
  <c r="AT41" i="1"/>
  <c r="AU41" i="1"/>
  <c r="AV41" i="1"/>
  <c r="AW41" i="1"/>
  <c r="AX41" i="1"/>
  <c r="AS42" i="1"/>
  <c r="AT42" i="1"/>
  <c r="AU42" i="1"/>
  <c r="AV42" i="1"/>
  <c r="AW42" i="1"/>
  <c r="AX42" i="1"/>
  <c r="AS43" i="1"/>
  <c r="AT43" i="1"/>
  <c r="AU43" i="1"/>
  <c r="AV43" i="1"/>
  <c r="AW43" i="1"/>
  <c r="AX43" i="1"/>
  <c r="AS44" i="1"/>
  <c r="AT44" i="1"/>
  <c r="AU44" i="1"/>
  <c r="AV44" i="1"/>
  <c r="AW44" i="1"/>
  <c r="AX44" i="1"/>
  <c r="AS45" i="1"/>
  <c r="AT45" i="1"/>
  <c r="AU45" i="1"/>
  <c r="AV45" i="1"/>
  <c r="AW45" i="1"/>
  <c r="AX45" i="1"/>
  <c r="AS46" i="1"/>
  <c r="AT46" i="1"/>
  <c r="AU46" i="1"/>
  <c r="AV46" i="1"/>
  <c r="AW46" i="1"/>
  <c r="AX46" i="1"/>
  <c r="AS47" i="1"/>
  <c r="AT47" i="1"/>
  <c r="AU47" i="1"/>
  <c r="AV47" i="1"/>
  <c r="AW47" i="1"/>
  <c r="AX47" i="1"/>
  <c r="AS48" i="1"/>
  <c r="AT48" i="1"/>
  <c r="AU48" i="1"/>
  <c r="AV48" i="1"/>
  <c r="AW48" i="1"/>
  <c r="AX48" i="1"/>
  <c r="AS49" i="1"/>
  <c r="AT49" i="1"/>
  <c r="AU49" i="1"/>
  <c r="AV49" i="1"/>
  <c r="AW49" i="1"/>
  <c r="AX49" i="1"/>
  <c r="AS50" i="1"/>
  <c r="AT50" i="1"/>
  <c r="AU50" i="1"/>
  <c r="AV50" i="1"/>
  <c r="AW50" i="1"/>
  <c r="AX50" i="1"/>
  <c r="AS51" i="1"/>
  <c r="AT51" i="1"/>
  <c r="AU51" i="1"/>
  <c r="AV51" i="1"/>
  <c r="AW51" i="1"/>
  <c r="AX51" i="1"/>
  <c r="AS52" i="1"/>
  <c r="AT52" i="1"/>
  <c r="AU52" i="1"/>
  <c r="AV52" i="1"/>
  <c r="AW52" i="1"/>
  <c r="AX52" i="1"/>
  <c r="AS53" i="1"/>
  <c r="AT53" i="1"/>
  <c r="AU53" i="1"/>
  <c r="AV53" i="1"/>
  <c r="AW53" i="1"/>
  <c r="AX53" i="1"/>
  <c r="AX4" i="1"/>
  <c r="AW4" i="1"/>
  <c r="AV4" i="1"/>
  <c r="AU4" i="1"/>
  <c r="AT4" i="1"/>
  <c r="AS4" i="1"/>
  <c r="AL5" i="1"/>
  <c r="AM5" i="1"/>
  <c r="AN5" i="1"/>
  <c r="AO5" i="1"/>
  <c r="AP5" i="1"/>
  <c r="AQ5" i="1"/>
  <c r="AL6" i="1"/>
  <c r="AM6" i="1"/>
  <c r="AN6" i="1"/>
  <c r="AO6" i="1"/>
  <c r="AP6" i="1"/>
  <c r="AQ6" i="1"/>
  <c r="AL7" i="1"/>
  <c r="AM7" i="1"/>
  <c r="AN7" i="1"/>
  <c r="AO7" i="1"/>
  <c r="AP7" i="1"/>
  <c r="AQ7" i="1"/>
  <c r="AL8" i="1"/>
  <c r="AM8" i="1"/>
  <c r="AN8" i="1"/>
  <c r="AO8" i="1"/>
  <c r="AP8" i="1"/>
  <c r="AQ8" i="1"/>
  <c r="AL9" i="1"/>
  <c r="AM9" i="1"/>
  <c r="AN9" i="1"/>
  <c r="AO9" i="1"/>
  <c r="AP9" i="1"/>
  <c r="AQ9" i="1"/>
  <c r="AL10" i="1"/>
  <c r="AM10" i="1"/>
  <c r="AN10" i="1"/>
  <c r="AO10" i="1"/>
  <c r="AP10" i="1"/>
  <c r="AQ10" i="1"/>
  <c r="AL11" i="1"/>
  <c r="AM11" i="1"/>
  <c r="AN11" i="1"/>
  <c r="AO11" i="1"/>
  <c r="AP11" i="1"/>
  <c r="AQ11" i="1"/>
  <c r="AL12" i="1"/>
  <c r="AM12" i="1"/>
  <c r="AN12" i="1"/>
  <c r="AO12" i="1"/>
  <c r="AP12" i="1"/>
  <c r="AQ12" i="1"/>
  <c r="AL13" i="1"/>
  <c r="AM13" i="1"/>
  <c r="AN13" i="1"/>
  <c r="AO13" i="1"/>
  <c r="AP13" i="1"/>
  <c r="AQ13" i="1"/>
  <c r="AL14" i="1"/>
  <c r="AM14" i="1"/>
  <c r="AN14" i="1"/>
  <c r="AO14" i="1"/>
  <c r="AP14" i="1"/>
  <c r="AQ14" i="1"/>
  <c r="AL15" i="1"/>
  <c r="AM15" i="1"/>
  <c r="AN15" i="1"/>
  <c r="AO15" i="1"/>
  <c r="AP15" i="1"/>
  <c r="AQ15" i="1"/>
  <c r="AL16" i="1"/>
  <c r="AM16" i="1"/>
  <c r="AN16" i="1"/>
  <c r="AO16" i="1"/>
  <c r="AP16" i="1"/>
  <c r="AQ16" i="1"/>
  <c r="AL17" i="1"/>
  <c r="AM17" i="1"/>
  <c r="AN17" i="1"/>
  <c r="AO17" i="1"/>
  <c r="AP17" i="1"/>
  <c r="AQ17" i="1"/>
  <c r="AL18" i="1"/>
  <c r="AM18" i="1"/>
  <c r="AN18" i="1"/>
  <c r="AO18" i="1"/>
  <c r="AP18" i="1"/>
  <c r="AQ18" i="1"/>
  <c r="AL19" i="1"/>
  <c r="AM19" i="1"/>
  <c r="AN19" i="1"/>
  <c r="AO19" i="1"/>
  <c r="AP19" i="1"/>
  <c r="AQ19" i="1"/>
  <c r="AL20" i="1"/>
  <c r="AM20" i="1"/>
  <c r="AN20" i="1"/>
  <c r="AO20" i="1"/>
  <c r="AP20" i="1"/>
  <c r="AQ20" i="1"/>
  <c r="AL21" i="1"/>
  <c r="AM21" i="1"/>
  <c r="AN21" i="1"/>
  <c r="AO21" i="1"/>
  <c r="AP21" i="1"/>
  <c r="AQ21" i="1"/>
  <c r="AL22" i="1"/>
  <c r="AM22" i="1"/>
  <c r="AN22" i="1"/>
  <c r="AO22" i="1"/>
  <c r="AP22" i="1"/>
  <c r="AQ22" i="1"/>
  <c r="AL23" i="1"/>
  <c r="AM23" i="1"/>
  <c r="AN23" i="1"/>
  <c r="AO23" i="1"/>
  <c r="AP23" i="1"/>
  <c r="AQ23" i="1"/>
  <c r="AL24" i="1"/>
  <c r="AM24" i="1"/>
  <c r="AN24" i="1"/>
  <c r="AO24" i="1"/>
  <c r="AP24" i="1"/>
  <c r="AQ24" i="1"/>
  <c r="AL25" i="1"/>
  <c r="AM25" i="1"/>
  <c r="AN25" i="1"/>
  <c r="AO25" i="1"/>
  <c r="AP25" i="1"/>
  <c r="AQ25" i="1"/>
  <c r="AL26" i="1"/>
  <c r="AM26" i="1"/>
  <c r="AN26" i="1"/>
  <c r="AO26" i="1"/>
  <c r="AP26" i="1"/>
  <c r="AQ26" i="1"/>
  <c r="AL27" i="1"/>
  <c r="AM27" i="1"/>
  <c r="AN27" i="1"/>
  <c r="AO27" i="1"/>
  <c r="AP27" i="1"/>
  <c r="AQ27" i="1"/>
  <c r="AL28" i="1"/>
  <c r="AM28" i="1"/>
  <c r="AN28" i="1"/>
  <c r="AO28" i="1"/>
  <c r="AP28" i="1"/>
  <c r="AQ28" i="1"/>
  <c r="AL29" i="1"/>
  <c r="AM29" i="1"/>
  <c r="AN29" i="1"/>
  <c r="AO29" i="1"/>
  <c r="AP29" i="1"/>
  <c r="AQ29" i="1"/>
  <c r="AL30" i="1"/>
  <c r="AM30" i="1"/>
  <c r="AN30" i="1"/>
  <c r="AO30" i="1"/>
  <c r="AP30" i="1"/>
  <c r="AQ30" i="1"/>
  <c r="AL31" i="1"/>
  <c r="AM31" i="1"/>
  <c r="AN31" i="1"/>
  <c r="AO31" i="1"/>
  <c r="AP31" i="1"/>
  <c r="AQ31" i="1"/>
  <c r="AL32" i="1"/>
  <c r="AM32" i="1"/>
  <c r="AN32" i="1"/>
  <c r="AO32" i="1"/>
  <c r="AP32" i="1"/>
  <c r="AQ32" i="1"/>
  <c r="AL33" i="1"/>
  <c r="AM33" i="1"/>
  <c r="AN33" i="1"/>
  <c r="AO33" i="1"/>
  <c r="AP33" i="1"/>
  <c r="AQ33" i="1"/>
  <c r="AL34" i="1"/>
  <c r="AM34" i="1"/>
  <c r="AN34" i="1"/>
  <c r="AO34" i="1"/>
  <c r="AP34" i="1"/>
  <c r="AQ34" i="1"/>
  <c r="AL35" i="1"/>
  <c r="AM35" i="1"/>
  <c r="AN35" i="1"/>
  <c r="AO35" i="1"/>
  <c r="AP35" i="1"/>
  <c r="AQ35" i="1"/>
  <c r="AL36" i="1"/>
  <c r="AM36" i="1"/>
  <c r="AN36" i="1"/>
  <c r="AO36" i="1"/>
  <c r="AP36" i="1"/>
  <c r="AQ36" i="1"/>
  <c r="AL37" i="1"/>
  <c r="AM37" i="1"/>
  <c r="AN37" i="1"/>
  <c r="AO37" i="1"/>
  <c r="AP37" i="1"/>
  <c r="AQ37" i="1"/>
  <c r="AL38" i="1"/>
  <c r="AM38" i="1"/>
  <c r="AN38" i="1"/>
  <c r="AO38" i="1"/>
  <c r="AP38" i="1"/>
  <c r="AQ38" i="1"/>
  <c r="AL39" i="1"/>
  <c r="AM39" i="1"/>
  <c r="AN39" i="1"/>
  <c r="AO39" i="1"/>
  <c r="AP39" i="1"/>
  <c r="AQ39" i="1"/>
  <c r="AL40" i="1"/>
  <c r="AM40" i="1"/>
  <c r="AN40" i="1"/>
  <c r="AO40" i="1"/>
  <c r="AP40" i="1"/>
  <c r="AQ40" i="1"/>
  <c r="AL41" i="1"/>
  <c r="AM41" i="1"/>
  <c r="AN41" i="1"/>
  <c r="AO41" i="1"/>
  <c r="AP41" i="1"/>
  <c r="AQ41" i="1"/>
  <c r="AL42" i="1"/>
  <c r="AM42" i="1"/>
  <c r="AN42" i="1"/>
  <c r="AO42" i="1"/>
  <c r="AP42" i="1"/>
  <c r="AQ42" i="1"/>
  <c r="AL43" i="1"/>
  <c r="AM43" i="1"/>
  <c r="AN43" i="1"/>
  <c r="AO43" i="1"/>
  <c r="AP43" i="1"/>
  <c r="AQ43" i="1"/>
  <c r="AL44" i="1"/>
  <c r="AM44" i="1"/>
  <c r="AN44" i="1"/>
  <c r="AO44" i="1"/>
  <c r="AP44" i="1"/>
  <c r="AQ44" i="1"/>
  <c r="AL45" i="1"/>
  <c r="AM45" i="1"/>
  <c r="AN45" i="1"/>
  <c r="AO45" i="1"/>
  <c r="AP45" i="1"/>
  <c r="AQ45" i="1"/>
  <c r="AL46" i="1"/>
  <c r="AM46" i="1"/>
  <c r="AN46" i="1"/>
  <c r="AO46" i="1"/>
  <c r="AP46" i="1"/>
  <c r="AQ46" i="1"/>
  <c r="AL47" i="1"/>
  <c r="AM47" i="1"/>
  <c r="AN47" i="1"/>
  <c r="AO47" i="1"/>
  <c r="AP47" i="1"/>
  <c r="AQ47" i="1"/>
  <c r="AL48" i="1"/>
  <c r="AM48" i="1"/>
  <c r="AN48" i="1"/>
  <c r="AO48" i="1"/>
  <c r="AP48" i="1"/>
  <c r="AQ48" i="1"/>
  <c r="AL49" i="1"/>
  <c r="AM49" i="1"/>
  <c r="AN49" i="1"/>
  <c r="AO49" i="1"/>
  <c r="AP49" i="1"/>
  <c r="AQ49" i="1"/>
  <c r="AL50" i="1"/>
  <c r="AM50" i="1"/>
  <c r="AN50" i="1"/>
  <c r="AO50" i="1"/>
  <c r="AP50" i="1"/>
  <c r="AQ50" i="1"/>
  <c r="AL51" i="1"/>
  <c r="AM51" i="1"/>
  <c r="AN51" i="1"/>
  <c r="AO51" i="1"/>
  <c r="AP51" i="1"/>
  <c r="AQ51" i="1"/>
  <c r="AL52" i="1"/>
  <c r="AM52" i="1"/>
  <c r="AN52" i="1"/>
  <c r="AO52" i="1"/>
  <c r="AP52" i="1"/>
  <c r="AQ52" i="1"/>
  <c r="AL53" i="1"/>
  <c r="AM53" i="1"/>
  <c r="AN53" i="1"/>
  <c r="AO53" i="1"/>
  <c r="AP53" i="1"/>
  <c r="AQ53" i="1"/>
  <c r="AQ4" i="1"/>
  <c r="AP4" i="1"/>
  <c r="AO4" i="1"/>
  <c r="AN4" i="1"/>
  <c r="AM4" i="1"/>
  <c r="AL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4" i="1"/>
  <c r="V5" i="1"/>
  <c r="W5" i="1"/>
  <c r="V6" i="1"/>
  <c r="W6" i="1"/>
  <c r="V7" i="1"/>
  <c r="W7" i="1"/>
  <c r="V8" i="1"/>
  <c r="W8" i="1"/>
  <c r="V9" i="1"/>
  <c r="W9" i="1"/>
  <c r="V10" i="1"/>
  <c r="W10" i="1"/>
  <c r="V11" i="1"/>
  <c r="W11" i="1"/>
  <c r="V12" i="1"/>
  <c r="W12" i="1"/>
  <c r="V13" i="1"/>
  <c r="W13" i="1"/>
  <c r="V14" i="1"/>
  <c r="W14" i="1"/>
  <c r="V15" i="1"/>
  <c r="W15" i="1"/>
  <c r="V16" i="1"/>
  <c r="W16" i="1"/>
  <c r="V17" i="1"/>
  <c r="W17" i="1"/>
  <c r="V18" i="1"/>
  <c r="W18" i="1"/>
  <c r="V19" i="1"/>
  <c r="W19" i="1"/>
  <c r="V20" i="1"/>
  <c r="W20" i="1"/>
  <c r="V21" i="1"/>
  <c r="W21" i="1"/>
  <c r="V22" i="1"/>
  <c r="W22" i="1"/>
  <c r="V23" i="1"/>
  <c r="W23" i="1"/>
  <c r="V24" i="1"/>
  <c r="W24" i="1"/>
  <c r="V25" i="1"/>
  <c r="W25" i="1"/>
  <c r="V26" i="1"/>
  <c r="W26" i="1"/>
  <c r="V27" i="1"/>
  <c r="W27" i="1"/>
  <c r="V28" i="1"/>
  <c r="W28" i="1"/>
  <c r="V29" i="1"/>
  <c r="W29" i="1"/>
  <c r="V30" i="1"/>
  <c r="W30" i="1"/>
  <c r="V31" i="1"/>
  <c r="W31" i="1"/>
  <c r="V32" i="1"/>
  <c r="W32" i="1"/>
  <c r="V33" i="1"/>
  <c r="W33" i="1"/>
  <c r="V34" i="1"/>
  <c r="W34" i="1"/>
  <c r="V35" i="1"/>
  <c r="W35" i="1"/>
  <c r="V36" i="1"/>
  <c r="W36" i="1"/>
  <c r="V37" i="1"/>
  <c r="W37" i="1"/>
  <c r="V38" i="1"/>
  <c r="W38" i="1"/>
  <c r="V39" i="1"/>
  <c r="W39" i="1"/>
  <c r="V40" i="1"/>
  <c r="W40" i="1"/>
  <c r="V41" i="1"/>
  <c r="W41" i="1"/>
  <c r="V42" i="1"/>
  <c r="W42" i="1"/>
  <c r="V43" i="1"/>
  <c r="W43" i="1"/>
  <c r="V44" i="1"/>
  <c r="W44" i="1"/>
  <c r="V45" i="1"/>
  <c r="W45" i="1"/>
  <c r="V46" i="1"/>
  <c r="W46" i="1"/>
  <c r="V47" i="1"/>
  <c r="W47" i="1"/>
  <c r="V48" i="1"/>
  <c r="W48" i="1"/>
  <c r="V49" i="1"/>
  <c r="W49" i="1"/>
  <c r="V50" i="1"/>
  <c r="W50" i="1"/>
  <c r="V51" i="1"/>
  <c r="W51" i="1"/>
  <c r="V52" i="1"/>
  <c r="W52" i="1"/>
  <c r="V53" i="1"/>
  <c r="W53" i="1"/>
  <c r="V54" i="1"/>
  <c r="W54" i="1"/>
  <c r="V55" i="1"/>
  <c r="W55" i="1"/>
  <c r="V56" i="1"/>
  <c r="W56" i="1"/>
  <c r="V57" i="1"/>
  <c r="W57" i="1"/>
  <c r="V58" i="1"/>
  <c r="W58" i="1"/>
  <c r="V59" i="1"/>
  <c r="W59" i="1"/>
  <c r="V60" i="1"/>
  <c r="W60" i="1"/>
  <c r="V61" i="1"/>
  <c r="W61" i="1"/>
  <c r="V62" i="1"/>
  <c r="W62" i="1"/>
  <c r="V63" i="1"/>
  <c r="W63" i="1"/>
  <c r="V64" i="1"/>
  <c r="W64" i="1"/>
  <c r="V65" i="1"/>
  <c r="W65" i="1"/>
  <c r="V66" i="1"/>
  <c r="W66" i="1"/>
  <c r="V67" i="1"/>
  <c r="W67" i="1"/>
  <c r="V68" i="1"/>
  <c r="W68" i="1"/>
  <c r="V69" i="1"/>
  <c r="W69" i="1"/>
  <c r="V70" i="1"/>
  <c r="W70" i="1"/>
  <c r="V71" i="1"/>
  <c r="W71" i="1"/>
  <c r="V72" i="1"/>
  <c r="W72" i="1"/>
  <c r="V73" i="1"/>
  <c r="W73" i="1"/>
  <c r="V74" i="1"/>
  <c r="W74" i="1"/>
  <c r="V75" i="1"/>
  <c r="W75" i="1"/>
  <c r="V76" i="1"/>
  <c r="W76" i="1"/>
  <c r="V77" i="1"/>
  <c r="W77" i="1"/>
  <c r="V78" i="1"/>
  <c r="W78" i="1"/>
  <c r="V79" i="1"/>
  <c r="W79" i="1"/>
  <c r="V80" i="1"/>
  <c r="W80" i="1"/>
  <c r="V81" i="1"/>
  <c r="W81" i="1"/>
  <c r="V82" i="1"/>
  <c r="W82" i="1"/>
  <c r="V83" i="1"/>
  <c r="W83" i="1"/>
  <c r="V84" i="1"/>
  <c r="W84" i="1"/>
  <c r="V85" i="1"/>
  <c r="W85" i="1"/>
  <c r="V86" i="1"/>
  <c r="W86" i="1"/>
  <c r="V87" i="1"/>
  <c r="W87" i="1"/>
  <c r="V88" i="1"/>
  <c r="W88" i="1"/>
  <c r="V89" i="1"/>
  <c r="W89" i="1"/>
  <c r="V90" i="1"/>
  <c r="W90" i="1"/>
  <c r="V91" i="1"/>
  <c r="W91" i="1"/>
  <c r="V92" i="1"/>
  <c r="W92" i="1"/>
  <c r="V93" i="1"/>
  <c r="W93" i="1"/>
  <c r="V94" i="1"/>
  <c r="W94" i="1"/>
  <c r="V95" i="1"/>
  <c r="W95" i="1"/>
  <c r="V96" i="1"/>
  <c r="W96" i="1"/>
  <c r="V97" i="1"/>
  <c r="W97" i="1"/>
  <c r="V98" i="1"/>
  <c r="W98" i="1"/>
  <c r="V99" i="1"/>
  <c r="W99" i="1"/>
  <c r="V100" i="1"/>
  <c r="W100" i="1"/>
  <c r="V101" i="1"/>
  <c r="W101" i="1"/>
  <c r="V102" i="1"/>
  <c r="W102" i="1"/>
  <c r="V103" i="1"/>
  <c r="W103" i="1"/>
  <c r="V104" i="1"/>
  <c r="W104" i="1"/>
  <c r="V105" i="1"/>
  <c r="W105" i="1"/>
  <c r="V106" i="1"/>
  <c r="W106" i="1"/>
  <c r="V107" i="1"/>
  <c r="W107" i="1"/>
  <c r="V108" i="1"/>
  <c r="W108" i="1"/>
  <c r="V109" i="1"/>
  <c r="W109" i="1"/>
  <c r="V110" i="1"/>
  <c r="W110" i="1"/>
  <c r="V111" i="1"/>
  <c r="W111" i="1"/>
  <c r="V112" i="1"/>
  <c r="W112" i="1"/>
  <c r="V113" i="1"/>
  <c r="W113" i="1"/>
  <c r="W4" i="1"/>
  <c r="V4" i="1"/>
  <c r="O5" i="1"/>
  <c r="P5" i="1"/>
  <c r="O6" i="1"/>
  <c r="P6" i="1"/>
  <c r="O7" i="1"/>
  <c r="P7" i="1"/>
  <c r="O8" i="1"/>
  <c r="P8" i="1"/>
  <c r="O9" i="1"/>
  <c r="P9" i="1"/>
  <c r="O10" i="1"/>
  <c r="P10" i="1"/>
  <c r="O11" i="1"/>
  <c r="P11" i="1"/>
  <c r="O12" i="1"/>
  <c r="P12" i="1"/>
  <c r="O13" i="1"/>
  <c r="P13" i="1"/>
  <c r="O14" i="1"/>
  <c r="P14" i="1"/>
  <c r="O15" i="1"/>
  <c r="P15" i="1"/>
  <c r="O16" i="1"/>
  <c r="P16" i="1"/>
  <c r="O17" i="1"/>
  <c r="P17" i="1"/>
  <c r="O18" i="1"/>
  <c r="P18" i="1"/>
  <c r="O19" i="1"/>
  <c r="P19" i="1"/>
  <c r="O20" i="1"/>
  <c r="P20" i="1"/>
  <c r="O21" i="1"/>
  <c r="P21" i="1"/>
  <c r="O22" i="1"/>
  <c r="P22" i="1"/>
  <c r="O23" i="1"/>
  <c r="P23" i="1"/>
  <c r="O24" i="1"/>
  <c r="P24" i="1"/>
  <c r="O25" i="1"/>
  <c r="P25" i="1"/>
  <c r="O26" i="1"/>
  <c r="P26" i="1"/>
  <c r="O27" i="1"/>
  <c r="P27" i="1"/>
  <c r="O28" i="1"/>
  <c r="P28" i="1"/>
  <c r="O29" i="1"/>
  <c r="P29" i="1"/>
  <c r="O30" i="1"/>
  <c r="P30" i="1"/>
  <c r="O31" i="1"/>
  <c r="P31" i="1"/>
  <c r="O32" i="1"/>
  <c r="P32" i="1"/>
  <c r="O33" i="1"/>
  <c r="P33" i="1"/>
  <c r="O34" i="1"/>
  <c r="P34" i="1"/>
  <c r="O35" i="1"/>
  <c r="P35" i="1"/>
  <c r="O36" i="1"/>
  <c r="P36" i="1"/>
  <c r="O37" i="1"/>
  <c r="P37" i="1"/>
  <c r="O38" i="1"/>
  <c r="P38" i="1"/>
  <c r="O39" i="1"/>
  <c r="P39" i="1"/>
  <c r="O40" i="1"/>
  <c r="P40" i="1"/>
  <c r="O41" i="1"/>
  <c r="P41" i="1"/>
  <c r="O42" i="1"/>
  <c r="P42" i="1"/>
  <c r="O43" i="1"/>
  <c r="P43" i="1"/>
  <c r="O44" i="1"/>
  <c r="P44" i="1"/>
  <c r="O45" i="1"/>
  <c r="P45" i="1"/>
  <c r="O46" i="1"/>
  <c r="P46" i="1"/>
  <c r="O47" i="1"/>
  <c r="P47" i="1"/>
  <c r="O48" i="1"/>
  <c r="P48" i="1"/>
  <c r="O49" i="1"/>
  <c r="P49" i="1"/>
  <c r="O50" i="1"/>
  <c r="P50" i="1"/>
  <c r="O51" i="1"/>
  <c r="P51" i="1"/>
  <c r="O52" i="1"/>
  <c r="P52" i="1"/>
  <c r="O53" i="1"/>
  <c r="P53" i="1"/>
  <c r="O54" i="1"/>
  <c r="P54" i="1"/>
  <c r="O55" i="1"/>
  <c r="P55" i="1"/>
  <c r="O56" i="1"/>
  <c r="P56" i="1"/>
  <c r="O57" i="1"/>
  <c r="P57" i="1"/>
  <c r="O58" i="1"/>
  <c r="P58" i="1"/>
  <c r="O59" i="1"/>
  <c r="P59" i="1"/>
  <c r="O60" i="1"/>
  <c r="P60" i="1"/>
  <c r="O61" i="1"/>
  <c r="P61" i="1"/>
  <c r="O62" i="1"/>
  <c r="P62" i="1"/>
  <c r="O63" i="1"/>
  <c r="P63" i="1"/>
  <c r="O64" i="1"/>
  <c r="P64" i="1"/>
  <c r="O65" i="1"/>
  <c r="P65" i="1"/>
  <c r="O66" i="1"/>
  <c r="P66" i="1"/>
  <c r="O67" i="1"/>
  <c r="P67" i="1"/>
  <c r="O68" i="1"/>
  <c r="P68" i="1"/>
  <c r="O69" i="1"/>
  <c r="P69" i="1"/>
  <c r="O70" i="1"/>
  <c r="P70" i="1"/>
  <c r="O71" i="1"/>
  <c r="P71" i="1"/>
  <c r="O72" i="1"/>
  <c r="P72" i="1"/>
  <c r="O73" i="1"/>
  <c r="P73" i="1"/>
  <c r="O74" i="1"/>
  <c r="P74" i="1"/>
  <c r="O75" i="1"/>
  <c r="P75" i="1"/>
  <c r="O76" i="1"/>
  <c r="P76" i="1"/>
  <c r="O77" i="1"/>
  <c r="P77" i="1"/>
  <c r="O78" i="1"/>
  <c r="P78" i="1"/>
  <c r="O79" i="1"/>
  <c r="P79" i="1"/>
  <c r="O80" i="1"/>
  <c r="P80" i="1"/>
  <c r="O81" i="1"/>
  <c r="P81" i="1"/>
  <c r="O82" i="1"/>
  <c r="P82" i="1"/>
  <c r="O83" i="1"/>
  <c r="P83" i="1"/>
  <c r="O84" i="1"/>
  <c r="P84" i="1"/>
  <c r="O85" i="1"/>
  <c r="P85" i="1"/>
  <c r="O86" i="1"/>
  <c r="P86" i="1"/>
  <c r="O87" i="1"/>
  <c r="P87" i="1"/>
  <c r="O88" i="1"/>
  <c r="P88" i="1"/>
  <c r="O89" i="1"/>
  <c r="P89" i="1"/>
  <c r="O90" i="1"/>
  <c r="P90" i="1"/>
  <c r="O91" i="1"/>
  <c r="P91" i="1"/>
  <c r="O92" i="1"/>
  <c r="P92" i="1"/>
  <c r="O93" i="1"/>
  <c r="P93" i="1"/>
  <c r="O94" i="1"/>
  <c r="P94" i="1"/>
  <c r="O95" i="1"/>
  <c r="P95" i="1"/>
  <c r="O96" i="1"/>
  <c r="P96" i="1"/>
  <c r="O97" i="1"/>
  <c r="P97" i="1"/>
  <c r="O98" i="1"/>
  <c r="P98" i="1"/>
  <c r="O99" i="1"/>
  <c r="P99" i="1"/>
  <c r="O100" i="1"/>
  <c r="P100" i="1"/>
  <c r="O101" i="1"/>
  <c r="P101" i="1"/>
  <c r="O102" i="1"/>
  <c r="P102" i="1"/>
  <c r="O103" i="1"/>
  <c r="P103" i="1"/>
  <c r="O104" i="1"/>
  <c r="P104" i="1"/>
  <c r="O105" i="1"/>
  <c r="P105" i="1"/>
  <c r="O106" i="1"/>
  <c r="P106" i="1"/>
  <c r="O107" i="1"/>
  <c r="P107" i="1"/>
  <c r="O108" i="1"/>
  <c r="P108" i="1"/>
  <c r="O109" i="1"/>
  <c r="P109" i="1"/>
  <c r="O110" i="1"/>
  <c r="P110" i="1"/>
  <c r="O111" i="1"/>
  <c r="P111" i="1"/>
  <c r="O112" i="1"/>
  <c r="P112" i="1"/>
  <c r="O113" i="1"/>
  <c r="P113" i="1"/>
  <c r="P4" i="1"/>
  <c r="O4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I4" i="1"/>
  <c r="J4" i="1"/>
  <c r="I5" i="1"/>
  <c r="J5" i="1"/>
  <c r="I6" i="1"/>
  <c r="J6" i="1"/>
  <c r="I7" i="1"/>
  <c r="J7" i="1"/>
  <c r="I8" i="1"/>
  <c r="J8" i="1"/>
  <c r="I9" i="1"/>
  <c r="J9" i="1"/>
  <c r="I10" i="1"/>
  <c r="J10" i="1"/>
  <c r="I11" i="1"/>
  <c r="J11" i="1"/>
  <c r="I12" i="1"/>
  <c r="J12" i="1"/>
  <c r="I13" i="1"/>
  <c r="J13" i="1"/>
  <c r="I14" i="1"/>
  <c r="J14" i="1"/>
  <c r="I15" i="1"/>
  <c r="J15" i="1"/>
  <c r="I16" i="1"/>
  <c r="J16" i="1"/>
  <c r="I17" i="1"/>
  <c r="J17" i="1"/>
  <c r="I18" i="1"/>
  <c r="J18" i="1"/>
  <c r="I19" i="1"/>
  <c r="J19" i="1"/>
  <c r="I20" i="1"/>
  <c r="J20" i="1"/>
  <c r="I21" i="1"/>
  <c r="J21" i="1"/>
  <c r="I22" i="1"/>
  <c r="J22" i="1"/>
  <c r="I23" i="1"/>
  <c r="J23" i="1"/>
  <c r="I24" i="1"/>
  <c r="J24" i="1"/>
  <c r="I25" i="1"/>
  <c r="J25" i="1"/>
  <c r="I26" i="1"/>
  <c r="J26" i="1"/>
  <c r="I27" i="1"/>
  <c r="J27" i="1"/>
  <c r="I28" i="1"/>
  <c r="J28" i="1"/>
  <c r="I29" i="1"/>
  <c r="J29" i="1"/>
  <c r="I30" i="1"/>
  <c r="J30" i="1"/>
  <c r="I31" i="1"/>
  <c r="J31" i="1"/>
  <c r="I32" i="1"/>
  <c r="J32" i="1"/>
  <c r="I33" i="1"/>
  <c r="J33" i="1"/>
  <c r="I34" i="1"/>
  <c r="J34" i="1"/>
  <c r="I35" i="1"/>
  <c r="J35" i="1"/>
  <c r="I36" i="1"/>
  <c r="J36" i="1"/>
  <c r="I37" i="1"/>
  <c r="J37" i="1"/>
  <c r="I38" i="1"/>
  <c r="J38" i="1"/>
  <c r="I39" i="1"/>
  <c r="J39" i="1"/>
  <c r="I40" i="1"/>
  <c r="J40" i="1"/>
  <c r="I41" i="1"/>
  <c r="J41" i="1"/>
  <c r="I42" i="1"/>
  <c r="J42" i="1"/>
  <c r="I43" i="1"/>
  <c r="J43" i="1"/>
  <c r="I44" i="1"/>
  <c r="J44" i="1"/>
  <c r="I45" i="1"/>
  <c r="J45" i="1"/>
  <c r="I46" i="1"/>
  <c r="J46" i="1"/>
  <c r="I47" i="1"/>
  <c r="J47" i="1"/>
  <c r="I48" i="1"/>
  <c r="J48" i="1"/>
  <c r="I49" i="1"/>
  <c r="J49" i="1"/>
  <c r="I50" i="1"/>
  <c r="J50" i="1"/>
  <c r="I51" i="1"/>
  <c r="J51" i="1"/>
  <c r="I52" i="1"/>
  <c r="J52" i="1"/>
  <c r="K3" i="1"/>
  <c r="J3" i="1"/>
  <c r="I3" i="1"/>
  <c r="F4" i="1"/>
  <c r="G4" i="1"/>
  <c r="F5" i="1"/>
  <c r="G5" i="1"/>
  <c r="F6" i="1"/>
  <c r="G6" i="1"/>
  <c r="F7" i="1"/>
  <c r="G7" i="1"/>
  <c r="F8" i="1"/>
  <c r="G8" i="1"/>
  <c r="F9" i="1"/>
  <c r="G9" i="1"/>
  <c r="F10" i="1"/>
  <c r="G10" i="1"/>
  <c r="F11" i="1"/>
  <c r="G11" i="1"/>
  <c r="F12" i="1"/>
  <c r="G12" i="1"/>
  <c r="F13" i="1"/>
  <c r="G13" i="1"/>
  <c r="F14" i="1"/>
  <c r="G14" i="1"/>
  <c r="F15" i="1"/>
  <c r="G15" i="1"/>
  <c r="F16" i="1"/>
  <c r="G16" i="1"/>
  <c r="F17" i="1"/>
  <c r="G17" i="1"/>
  <c r="F18" i="1"/>
  <c r="G18" i="1"/>
  <c r="F19" i="1"/>
  <c r="G19" i="1"/>
  <c r="F20" i="1"/>
  <c r="G20" i="1"/>
  <c r="F21" i="1"/>
  <c r="G21" i="1"/>
  <c r="F22" i="1"/>
  <c r="G22" i="1"/>
  <c r="F23" i="1"/>
  <c r="G23" i="1"/>
  <c r="F24" i="1"/>
  <c r="G24" i="1"/>
  <c r="F25" i="1"/>
  <c r="G25" i="1"/>
  <c r="F26" i="1"/>
  <c r="G26" i="1"/>
  <c r="F27" i="1"/>
  <c r="G27" i="1"/>
  <c r="F28" i="1"/>
  <c r="G28" i="1"/>
  <c r="F29" i="1"/>
  <c r="G29" i="1"/>
  <c r="F30" i="1"/>
  <c r="G30" i="1"/>
  <c r="F31" i="1"/>
  <c r="G31" i="1"/>
  <c r="F32" i="1"/>
  <c r="G32" i="1"/>
  <c r="F33" i="1"/>
  <c r="G33" i="1"/>
  <c r="F34" i="1"/>
  <c r="G34" i="1"/>
  <c r="F35" i="1"/>
  <c r="G35" i="1"/>
  <c r="F36" i="1"/>
  <c r="G36" i="1"/>
  <c r="F37" i="1"/>
  <c r="G37" i="1"/>
  <c r="F38" i="1"/>
  <c r="G38" i="1"/>
  <c r="F39" i="1"/>
  <c r="G39" i="1"/>
  <c r="F40" i="1"/>
  <c r="G40" i="1"/>
  <c r="F41" i="1"/>
  <c r="G41" i="1"/>
  <c r="F42" i="1"/>
  <c r="G42" i="1"/>
  <c r="F43" i="1"/>
  <c r="G43" i="1"/>
  <c r="F44" i="1"/>
  <c r="G44" i="1"/>
  <c r="F45" i="1"/>
  <c r="G45" i="1"/>
  <c r="F46" i="1"/>
  <c r="G46" i="1"/>
  <c r="F47" i="1"/>
  <c r="G47" i="1"/>
  <c r="F48" i="1"/>
  <c r="G48" i="1"/>
  <c r="F49" i="1"/>
  <c r="G49" i="1"/>
  <c r="F50" i="1"/>
  <c r="G50" i="1"/>
  <c r="F51" i="1"/>
  <c r="G51" i="1"/>
  <c r="F52" i="1"/>
  <c r="G52" i="1"/>
  <c r="F53" i="1"/>
  <c r="G53" i="1"/>
  <c r="F54" i="1"/>
  <c r="G54" i="1"/>
  <c r="F55" i="1"/>
  <c r="G55" i="1"/>
  <c r="F56" i="1"/>
  <c r="G56" i="1"/>
  <c r="F57" i="1"/>
  <c r="G57" i="1"/>
  <c r="F58" i="1"/>
  <c r="G58" i="1"/>
  <c r="F59" i="1"/>
  <c r="G59" i="1"/>
  <c r="F60" i="1"/>
  <c r="G60" i="1"/>
  <c r="F61" i="1"/>
  <c r="G61" i="1"/>
  <c r="F62" i="1"/>
  <c r="G62" i="1"/>
  <c r="F63" i="1"/>
  <c r="G63" i="1"/>
  <c r="F64" i="1"/>
  <c r="G64" i="1"/>
  <c r="F65" i="1"/>
  <c r="G65" i="1"/>
  <c r="F66" i="1"/>
  <c r="G66" i="1"/>
  <c r="F67" i="1"/>
  <c r="G67" i="1"/>
  <c r="F68" i="1"/>
  <c r="G68" i="1"/>
  <c r="F69" i="1"/>
  <c r="G69" i="1"/>
  <c r="F70" i="1"/>
  <c r="G70" i="1"/>
  <c r="F71" i="1"/>
  <c r="G71" i="1"/>
  <c r="F72" i="1"/>
  <c r="G72" i="1"/>
  <c r="F73" i="1"/>
  <c r="G73" i="1"/>
  <c r="F74" i="1"/>
  <c r="G74" i="1"/>
  <c r="F75" i="1"/>
  <c r="G75" i="1"/>
  <c r="F76" i="1"/>
  <c r="G76" i="1"/>
  <c r="F77" i="1"/>
  <c r="G77" i="1"/>
  <c r="F78" i="1"/>
  <c r="G78" i="1"/>
  <c r="F79" i="1"/>
  <c r="G79" i="1"/>
  <c r="F80" i="1"/>
  <c r="G80" i="1"/>
  <c r="F81" i="1"/>
  <c r="G81" i="1"/>
  <c r="F82" i="1"/>
  <c r="G82" i="1"/>
  <c r="F83" i="1"/>
  <c r="G83" i="1"/>
  <c r="F84" i="1"/>
  <c r="G84" i="1"/>
  <c r="F85" i="1"/>
  <c r="G85" i="1"/>
  <c r="F86" i="1"/>
  <c r="G86" i="1"/>
  <c r="F87" i="1"/>
  <c r="G87" i="1"/>
  <c r="F88" i="1"/>
  <c r="G88" i="1"/>
  <c r="F89" i="1"/>
  <c r="G89" i="1"/>
  <c r="F90" i="1"/>
  <c r="G90" i="1"/>
  <c r="F91" i="1"/>
  <c r="G91" i="1"/>
  <c r="F92" i="1"/>
  <c r="G92" i="1"/>
  <c r="F93" i="1"/>
  <c r="G93" i="1"/>
  <c r="F94" i="1"/>
  <c r="G94" i="1"/>
  <c r="F95" i="1"/>
  <c r="G95" i="1"/>
  <c r="F96" i="1"/>
  <c r="G96" i="1"/>
  <c r="F97" i="1"/>
  <c r="G97" i="1"/>
  <c r="F98" i="1"/>
  <c r="G98" i="1"/>
  <c r="F99" i="1"/>
  <c r="G99" i="1"/>
  <c r="F100" i="1"/>
  <c r="G100" i="1"/>
  <c r="F101" i="1"/>
  <c r="G101" i="1"/>
  <c r="F102" i="1"/>
  <c r="G102" i="1"/>
  <c r="F103" i="1"/>
  <c r="G103" i="1"/>
  <c r="F104" i="1"/>
  <c r="G104" i="1"/>
  <c r="F105" i="1"/>
  <c r="G105" i="1"/>
  <c r="F106" i="1"/>
  <c r="G106" i="1"/>
  <c r="F107" i="1"/>
  <c r="G107" i="1"/>
  <c r="F108" i="1"/>
  <c r="G108" i="1"/>
  <c r="F109" i="1"/>
  <c r="G109" i="1"/>
  <c r="F110" i="1"/>
  <c r="G110" i="1"/>
  <c r="F111" i="1"/>
  <c r="G111" i="1"/>
  <c r="F112" i="1"/>
  <c r="G112" i="1"/>
  <c r="F113" i="1"/>
  <c r="G113" i="1"/>
  <c r="F114" i="1"/>
  <c r="G114" i="1"/>
  <c r="F115" i="1"/>
  <c r="G115" i="1"/>
  <c r="F116" i="1"/>
  <c r="G116" i="1"/>
  <c r="F117" i="1"/>
  <c r="G117" i="1"/>
  <c r="F118" i="1"/>
  <c r="G118" i="1"/>
  <c r="F119" i="1"/>
  <c r="G119" i="1"/>
  <c r="F120" i="1"/>
  <c r="G120" i="1"/>
  <c r="F121" i="1"/>
  <c r="G121" i="1"/>
  <c r="F122" i="1"/>
  <c r="G122" i="1"/>
  <c r="F123" i="1"/>
  <c r="G123" i="1"/>
  <c r="F124" i="1"/>
  <c r="G124" i="1"/>
  <c r="F125" i="1"/>
  <c r="G125" i="1"/>
  <c r="F126" i="1"/>
  <c r="G126" i="1"/>
  <c r="F127" i="1"/>
  <c r="G127" i="1"/>
  <c r="F128" i="1"/>
  <c r="G128" i="1"/>
  <c r="F129" i="1"/>
  <c r="G129" i="1"/>
  <c r="F130" i="1"/>
  <c r="G130" i="1"/>
  <c r="F131" i="1"/>
  <c r="G131" i="1"/>
  <c r="F132" i="1"/>
  <c r="G132" i="1"/>
  <c r="F133" i="1"/>
  <c r="G133" i="1"/>
  <c r="F134" i="1"/>
  <c r="G134" i="1"/>
  <c r="F135" i="1"/>
  <c r="G135" i="1"/>
  <c r="F136" i="1"/>
  <c r="G136" i="1"/>
  <c r="F137" i="1"/>
  <c r="G137" i="1"/>
  <c r="F138" i="1"/>
  <c r="G138" i="1"/>
  <c r="F139" i="1"/>
  <c r="G139" i="1"/>
  <c r="F140" i="1"/>
  <c r="G140" i="1"/>
  <c r="F141" i="1"/>
  <c r="G141" i="1"/>
  <c r="F142" i="1"/>
  <c r="G142" i="1"/>
  <c r="F143" i="1"/>
  <c r="G143" i="1"/>
  <c r="F144" i="1"/>
  <c r="G144" i="1"/>
  <c r="F145" i="1"/>
  <c r="G145" i="1"/>
  <c r="F146" i="1"/>
  <c r="G146" i="1"/>
  <c r="F147" i="1"/>
  <c r="G147" i="1"/>
  <c r="F148" i="1"/>
  <c r="G148" i="1"/>
  <c r="F149" i="1"/>
  <c r="G149" i="1"/>
  <c r="F150" i="1"/>
  <c r="G150" i="1"/>
  <c r="F151" i="1"/>
  <c r="G151" i="1"/>
  <c r="F152" i="1"/>
  <c r="G152" i="1"/>
  <c r="G3" i="1"/>
  <c r="F3" i="1"/>
  <c r="B34" i="1"/>
  <c r="C34" i="1"/>
  <c r="D34" i="1"/>
  <c r="B35" i="1"/>
  <c r="C35" i="1"/>
  <c r="D35" i="1"/>
  <c r="D33" i="1"/>
  <c r="C33" i="1"/>
  <c r="B33" i="1"/>
  <c r="D32" i="1"/>
  <c r="C32" i="1"/>
  <c r="B32" i="1"/>
  <c r="D31" i="1"/>
  <c r="C31" i="1"/>
  <c r="B31" i="1"/>
  <c r="D30" i="1"/>
  <c r="C30" i="1"/>
  <c r="B30" i="1"/>
  <c r="D29" i="1"/>
  <c r="C29" i="1"/>
  <c r="B29" i="1"/>
  <c r="D28" i="1"/>
  <c r="C28" i="1"/>
  <c r="B28" i="1"/>
  <c r="D27" i="1"/>
  <c r="C27" i="1"/>
  <c r="B27" i="1"/>
  <c r="D26" i="1"/>
  <c r="C26" i="1"/>
  <c r="B26" i="1"/>
  <c r="D25" i="1"/>
  <c r="C25" i="1"/>
  <c r="B25" i="1"/>
  <c r="D24" i="1"/>
  <c r="C24" i="1"/>
  <c r="B24" i="1"/>
  <c r="B9" i="1"/>
  <c r="C9" i="1"/>
  <c r="D9" i="1"/>
  <c r="B10" i="1"/>
  <c r="C10" i="1"/>
  <c r="D10" i="1"/>
  <c r="B11" i="1"/>
  <c r="C11" i="1"/>
  <c r="D11" i="1"/>
  <c r="B12" i="1"/>
  <c r="C12" i="1"/>
  <c r="D12" i="1"/>
  <c r="B13" i="1"/>
  <c r="C13" i="1"/>
  <c r="D13" i="1"/>
  <c r="B14" i="1"/>
  <c r="C14" i="1"/>
  <c r="D14" i="1"/>
  <c r="B15" i="1"/>
  <c r="C15" i="1"/>
  <c r="D15" i="1"/>
  <c r="B16" i="1"/>
  <c r="C16" i="1"/>
  <c r="D16" i="1"/>
  <c r="B17" i="1"/>
  <c r="C17" i="1"/>
  <c r="D17" i="1"/>
  <c r="C8" i="1"/>
  <c r="D8" i="1"/>
  <c r="B8" i="1"/>
  <c r="T69" i="4" l="1"/>
  <c r="T70" i="4"/>
  <c r="T71" i="4"/>
  <c r="T72" i="4"/>
  <c r="T73" i="4"/>
  <c r="T74" i="4"/>
  <c r="T75" i="4"/>
  <c r="T76" i="4"/>
  <c r="T77" i="4"/>
  <c r="T78" i="4"/>
  <c r="T79" i="4"/>
  <c r="T80" i="4"/>
  <c r="T81" i="4"/>
  <c r="T82" i="4"/>
  <c r="T84" i="4"/>
  <c r="T85" i="4"/>
  <c r="T86" i="4"/>
  <c r="BK66" i="4"/>
  <c r="BA46" i="4"/>
  <c r="BK120" i="4"/>
  <c r="BF71" i="4"/>
  <c r="BF118" i="4"/>
  <c r="AB68" i="4"/>
  <c r="BF73" i="4"/>
  <c r="BA92" i="4"/>
  <c r="AB47" i="4"/>
  <c r="BK39" i="4"/>
  <c r="BF83" i="4"/>
  <c r="BF78" i="4"/>
  <c r="AB63" i="4"/>
  <c r="AB111" i="4"/>
  <c r="AB41" i="4"/>
  <c r="BK67" i="4"/>
  <c r="BF14" i="4"/>
  <c r="BK102" i="4"/>
  <c r="BF43" i="4"/>
  <c r="BK61" i="4"/>
  <c r="BK93" i="4"/>
  <c r="AB101" i="4"/>
  <c r="AB18" i="4"/>
  <c r="AQ107" i="4"/>
  <c r="AQ111" i="4"/>
  <c r="BK80" i="4"/>
  <c r="AB115" i="4"/>
  <c r="BA94" i="4"/>
  <c r="BF109" i="4"/>
  <c r="BF60" i="4"/>
  <c r="BA82" i="4"/>
  <c r="AB43" i="4"/>
  <c r="BK26" i="4"/>
  <c r="BF24" i="4"/>
  <c r="BK52" i="4"/>
  <c r="BK73" i="4"/>
  <c r="BK90" i="4"/>
  <c r="BF41" i="4"/>
  <c r="AB56" i="4"/>
  <c r="BF28" i="4"/>
  <c r="BK107" i="4"/>
  <c r="AB103" i="4"/>
  <c r="AB74" i="4"/>
  <c r="AB119" i="4"/>
  <c r="BA71" i="4"/>
  <c r="BF37" i="4"/>
  <c r="AB117" i="4"/>
  <c r="BF54" i="4"/>
  <c r="AB91" i="4"/>
  <c r="BF82" i="4"/>
  <c r="BA47" i="4"/>
  <c r="AL108" i="4"/>
  <c r="AG104" i="4"/>
  <c r="AG110" i="4"/>
  <c r="AG112" i="4"/>
  <c r="BK83" i="4"/>
  <c r="BF42" i="4"/>
  <c r="BF53" i="4"/>
  <c r="BF38" i="4"/>
  <c r="AB62" i="4"/>
  <c r="AB51" i="4"/>
  <c r="BK63" i="4"/>
  <c r="AB55" i="4"/>
  <c r="AL118" i="4"/>
  <c r="BA101" i="4"/>
  <c r="BF8" i="4"/>
  <c r="AB73" i="4"/>
  <c r="AB90" i="4"/>
  <c r="BF63" i="4"/>
  <c r="AB106" i="4"/>
  <c r="BK5" i="4"/>
  <c r="BF108" i="4"/>
  <c r="BK18" i="4"/>
  <c r="BF89" i="4"/>
  <c r="AB39" i="4"/>
  <c r="AQ104" i="4"/>
  <c r="BA97" i="4"/>
  <c r="AB110" i="4"/>
  <c r="BK60" i="4"/>
  <c r="AB107" i="4"/>
  <c r="BK35" i="4"/>
  <c r="AB108" i="4"/>
  <c r="BF10" i="4"/>
  <c r="AB92" i="4"/>
  <c r="BA29" i="4"/>
  <c r="AB112" i="4"/>
  <c r="AB121" i="4"/>
  <c r="BK54" i="4"/>
  <c r="BK98" i="4"/>
  <c r="BA95" i="4"/>
  <c r="AB24" i="4"/>
  <c r="BF116" i="4"/>
  <c r="BK41" i="4"/>
  <c r="AB17" i="4"/>
  <c r="BF102" i="4"/>
  <c r="BF51" i="4"/>
  <c r="BK121" i="4"/>
  <c r="BA48" i="4"/>
  <c r="AB21" i="4"/>
  <c r="BK94" i="4"/>
  <c r="BK103" i="4"/>
  <c r="AB12" i="4"/>
  <c r="BA112" i="4"/>
  <c r="AB16" i="4"/>
  <c r="BF50" i="4"/>
  <c r="BA120" i="4"/>
  <c r="BF91" i="4"/>
  <c r="BF85" i="4"/>
  <c r="BA119" i="4"/>
  <c r="BF105" i="4"/>
  <c r="BK9" i="4"/>
  <c r="AQ120" i="4"/>
  <c r="AQ118" i="4"/>
  <c r="AB61" i="4"/>
  <c r="AB114" i="4"/>
  <c r="AL119" i="4"/>
  <c r="AL120" i="4"/>
  <c r="AL105" i="4"/>
  <c r="AG106" i="4"/>
  <c r="AG115" i="4"/>
  <c r="BF57" i="4"/>
  <c r="BA118" i="4"/>
  <c r="BF106" i="4"/>
  <c r="AB105" i="4"/>
  <c r="AB81" i="4"/>
  <c r="AG109" i="4"/>
  <c r="AB64" i="4"/>
  <c r="BA66" i="4"/>
  <c r="BA76" i="4"/>
  <c r="BK47" i="4"/>
  <c r="BK17" i="4"/>
  <c r="BK40" i="4"/>
  <c r="BA102" i="4"/>
  <c r="BK19" i="4"/>
  <c r="AB82" i="4"/>
  <c r="BK104" i="4"/>
  <c r="BK43" i="4"/>
  <c r="BA25" i="4"/>
  <c r="BA99" i="4"/>
  <c r="BA115" i="4"/>
  <c r="AB25" i="4"/>
  <c r="BK74" i="4"/>
  <c r="AB102" i="4"/>
  <c r="BF121" i="4"/>
  <c r="BF47" i="4"/>
  <c r="BK27" i="4"/>
  <c r="AB100" i="4"/>
  <c r="BF90" i="4"/>
  <c r="BF39" i="4"/>
  <c r="BA68" i="4"/>
  <c r="AB42" i="4"/>
  <c r="BA103" i="4"/>
  <c r="BA70" i="4"/>
  <c r="AQ110" i="4"/>
  <c r="BF86" i="4"/>
  <c r="BF5" i="4"/>
  <c r="AB98" i="4"/>
  <c r="BK24" i="4"/>
  <c r="BK108" i="4"/>
  <c r="BK91" i="4"/>
  <c r="AB15" i="4"/>
  <c r="BA114" i="4"/>
  <c r="AB104" i="4"/>
  <c r="BA23" i="4"/>
  <c r="AB84" i="4"/>
  <c r="BF20" i="4"/>
  <c r="BA108" i="4"/>
  <c r="AB67" i="4"/>
  <c r="AB34" i="4"/>
  <c r="BF30" i="4"/>
  <c r="BA72" i="4"/>
  <c r="BK69" i="4"/>
  <c r="AB69" i="4"/>
  <c r="BA90" i="4"/>
  <c r="BF119" i="4"/>
  <c r="BK101" i="4"/>
  <c r="AB65" i="4"/>
  <c r="AG114" i="4"/>
  <c r="AG103" i="4"/>
  <c r="AG116" i="4"/>
  <c r="AL104" i="4"/>
  <c r="AL103" i="4"/>
  <c r="BA21" i="4"/>
  <c r="BF120" i="4"/>
  <c r="BA87" i="4"/>
  <c r="AB118" i="4"/>
  <c r="AQ106" i="4"/>
  <c r="BF96" i="4"/>
  <c r="AQ108" i="4"/>
  <c r="BA121" i="4"/>
  <c r="AB94" i="4"/>
  <c r="BK115" i="4"/>
  <c r="BK29" i="4"/>
  <c r="BF11" i="4"/>
  <c r="AQ114" i="4"/>
  <c r="BA38" i="4"/>
  <c r="BK42" i="4"/>
  <c r="BK32" i="4"/>
  <c r="BK53" i="4"/>
  <c r="BF99" i="4"/>
  <c r="BA88" i="4"/>
  <c r="BK110" i="4"/>
  <c r="BF65" i="4"/>
  <c r="BK99" i="4"/>
  <c r="BA113" i="4"/>
  <c r="BF110" i="4"/>
  <c r="AB9" i="4"/>
  <c r="AB86" i="4"/>
  <c r="AB72" i="4"/>
  <c r="BK58" i="4"/>
  <c r="BK50" i="4"/>
  <c r="BF29" i="4"/>
  <c r="BF114" i="4"/>
  <c r="BA104" i="4"/>
  <c r="BA30" i="4"/>
  <c r="BK72" i="4"/>
  <c r="BK14" i="4"/>
  <c r="BK51" i="4"/>
  <c r="AB45" i="4"/>
  <c r="BK119" i="4"/>
  <c r="BF32" i="4"/>
  <c r="BK6" i="4"/>
  <c r="BF115" i="4"/>
  <c r="BA98" i="4"/>
  <c r="BF93" i="4"/>
  <c r="BF59" i="4"/>
  <c r="BF87" i="4"/>
  <c r="BA67" i="4"/>
  <c r="AB49" i="4"/>
  <c r="AB35" i="4"/>
  <c r="AQ105" i="4"/>
  <c r="BF75" i="4"/>
  <c r="BK10" i="4"/>
  <c r="BK38" i="4"/>
  <c r="BF16" i="4"/>
  <c r="BK76" i="4"/>
  <c r="AB10" i="4"/>
  <c r="BK21" i="4"/>
  <c r="AB93" i="4"/>
  <c r="AG120" i="4"/>
  <c r="AG108" i="4"/>
  <c r="AL115" i="4"/>
  <c r="AG119" i="4"/>
  <c r="AL114" i="4"/>
  <c r="BF23" i="4"/>
  <c r="BA85" i="4"/>
  <c r="BF111" i="4"/>
  <c r="BF95" i="4"/>
  <c r="BK71" i="4"/>
  <c r="AG111" i="4"/>
  <c r="BF56" i="4"/>
  <c r="BA75" i="4"/>
  <c r="AB97" i="4"/>
  <c r="BF104" i="4"/>
  <c r="AQ115" i="4"/>
  <c r="BF113" i="4"/>
  <c r="BK23" i="4"/>
  <c r="BK34" i="4"/>
  <c r="BK22" i="4"/>
  <c r="BK75" i="4"/>
  <c r="AB28" i="4"/>
  <c r="BK59" i="4"/>
  <c r="BF19" i="4"/>
  <c r="BA86" i="4"/>
  <c r="BA91" i="4"/>
  <c r="BK11" i="4"/>
  <c r="BK112" i="4"/>
  <c r="BA77" i="4"/>
  <c r="AQ116" i="4"/>
  <c r="AB7" i="4"/>
  <c r="BF80" i="4"/>
  <c r="BA83" i="4"/>
  <c r="AB54" i="4"/>
  <c r="BK82" i="4"/>
  <c r="BK81" i="4"/>
  <c r="BF26" i="4"/>
  <c r="BF64" i="4"/>
  <c r="AQ109" i="4"/>
  <c r="AB37" i="4"/>
  <c r="BF72" i="4"/>
  <c r="BF61" i="4"/>
  <c r="BF76" i="4"/>
  <c r="BF17" i="4"/>
  <c r="BK97" i="4"/>
  <c r="AB79" i="4"/>
  <c r="AB87" i="4"/>
  <c r="BA89" i="4"/>
  <c r="BF48" i="4"/>
  <c r="BK28" i="4"/>
  <c r="BK31" i="4"/>
  <c r="BF34" i="4"/>
  <c r="BK57" i="4"/>
  <c r="BK45" i="4"/>
  <c r="BA49" i="4"/>
  <c r="BA80" i="4"/>
  <c r="BF13" i="4"/>
  <c r="BK64" i="4"/>
  <c r="BK8" i="4"/>
  <c r="AB59" i="4"/>
  <c r="BF9" i="4"/>
  <c r="BF21" i="4"/>
  <c r="AG121" i="4"/>
  <c r="AG105" i="4"/>
  <c r="AL116" i="4"/>
  <c r="AG107" i="4"/>
  <c r="AL110" i="4"/>
  <c r="BA79" i="4"/>
  <c r="BK36" i="4"/>
  <c r="AB113" i="4"/>
  <c r="BF35" i="4"/>
  <c r="AQ119" i="4"/>
  <c r="BK62" i="4"/>
  <c r="AB76" i="4"/>
  <c r="AB33" i="4"/>
  <c r="AL106" i="4"/>
  <c r="BA107" i="4"/>
  <c r="BF98" i="4"/>
  <c r="AB80" i="4"/>
  <c r="BF101" i="4"/>
  <c r="BF27" i="4"/>
  <c r="BK96" i="4"/>
  <c r="BA105" i="4"/>
  <c r="AB116" i="4"/>
  <c r="BK44" i="4"/>
  <c r="BK92" i="4"/>
  <c r="BA32" i="4"/>
  <c r="AB38" i="4"/>
  <c r="BA106" i="4"/>
  <c r="BK15" i="4"/>
  <c r="BK109" i="4"/>
  <c r="BF94" i="4"/>
  <c r="BA116" i="4"/>
  <c r="BA109" i="4"/>
  <c r="BA20" i="4"/>
  <c r="BF55" i="4"/>
  <c r="BF100" i="4"/>
  <c r="BK86" i="4"/>
  <c r="AB22" i="4"/>
  <c r="BK79" i="4"/>
  <c r="BA28" i="4"/>
  <c r="BF103" i="4"/>
  <c r="AB95" i="4"/>
  <c r="BK33" i="4"/>
  <c r="BF46" i="4"/>
  <c r="BF45" i="4"/>
  <c r="BA22" i="4"/>
  <c r="BA100" i="4"/>
  <c r="BK89" i="4"/>
  <c r="AB31" i="4"/>
  <c r="BA84" i="4"/>
  <c r="AB29" i="4"/>
  <c r="BA117" i="4"/>
  <c r="BK106" i="4"/>
  <c r="AB120" i="4"/>
  <c r="BA96" i="4"/>
  <c r="AB27" i="4"/>
  <c r="AB32" i="4"/>
  <c r="BK30" i="4"/>
  <c r="AQ103" i="4"/>
  <c r="BA24" i="4"/>
  <c r="BA39" i="4"/>
  <c r="BF67" i="4"/>
  <c r="BK117" i="4"/>
  <c r="AB48" i="4"/>
  <c r="BF97" i="4"/>
  <c r="BF84" i="4"/>
  <c r="AG118" i="4"/>
  <c r="AL107" i="4"/>
  <c r="AL117" i="4"/>
  <c r="AG117" i="4"/>
  <c r="AG113" i="4"/>
  <c r="BK16" i="4"/>
  <c r="AB20" i="4"/>
  <c r="AB19" i="4"/>
  <c r="BF52" i="4"/>
  <c r="AB23" i="4"/>
  <c r="BF33" i="4"/>
  <c r="AB11" i="4"/>
  <c r="BF58" i="4"/>
  <c r="BF6" i="4"/>
  <c r="AQ113" i="4"/>
  <c r="AL112" i="4"/>
  <c r="BK111" i="4"/>
  <c r="BF88" i="4"/>
  <c r="BK56" i="4"/>
  <c r="BA40" i="4"/>
  <c r="BA44" i="4"/>
  <c r="AB77" i="4"/>
  <c r="BF117" i="4"/>
  <c r="BF81" i="4"/>
  <c r="BF44" i="4"/>
  <c r="AB53" i="4"/>
  <c r="AB88" i="4"/>
  <c r="AB6" i="4"/>
  <c r="BK25" i="4"/>
  <c r="BK113" i="4"/>
  <c r="AB44" i="4"/>
  <c r="AB50" i="4"/>
  <c r="BA42" i="4"/>
  <c r="BK48" i="4"/>
  <c r="BK118" i="4"/>
  <c r="AB13" i="4"/>
  <c r="BA81" i="4"/>
  <c r="BF22" i="4"/>
  <c r="BF18" i="4"/>
  <c r="AB70" i="4"/>
  <c r="AB109" i="4"/>
  <c r="BK88" i="4"/>
  <c r="BK49" i="4"/>
  <c r="BA65" i="4"/>
  <c r="BA50" i="4"/>
  <c r="BF79" i="4"/>
  <c r="BK70" i="4"/>
  <c r="BK87" i="4"/>
  <c r="BF92" i="4"/>
  <c r="BK77" i="4"/>
  <c r="AB83" i="4"/>
  <c r="AB40" i="4"/>
  <c r="BF69" i="4"/>
  <c r="AB52" i="4"/>
  <c r="BA111" i="4"/>
  <c r="BK105" i="4"/>
  <c r="BA41" i="4"/>
  <c r="AB60" i="4"/>
  <c r="BA110" i="4"/>
  <c r="BF15" i="4"/>
  <c r="BK78" i="4"/>
  <c r="BK7" i="4"/>
  <c r="BA74" i="4"/>
  <c r="BA78" i="4"/>
  <c r="AQ121" i="4"/>
  <c r="BF70" i="4"/>
  <c r="BF74" i="4"/>
  <c r="AL121" i="4"/>
  <c r="AL111" i="4"/>
  <c r="AL109" i="4"/>
  <c r="AL113" i="4"/>
  <c r="AB66" i="4"/>
  <c r="BA69" i="4"/>
  <c r="AB71" i="4"/>
  <c r="BK46" i="4"/>
  <c r="AB75" i="4"/>
  <c r="BA73" i="4"/>
  <c r="AB58" i="4"/>
  <c r="CA120" i="4" l="1"/>
  <c r="CJ117" i="4"/>
  <c r="CA113" i="4"/>
  <c r="CA112" i="4"/>
  <c r="CJ120" i="4"/>
  <c r="CJ118" i="4"/>
  <c r="CA116" i="4"/>
  <c r="CA121" i="4"/>
  <c r="CA118" i="4"/>
  <c r="CJ106" i="4"/>
  <c r="CJ109" i="4"/>
  <c r="CJ119" i="4"/>
  <c r="CJ107" i="4"/>
  <c r="CA111" i="4"/>
  <c r="CJ112" i="4"/>
  <c r="CA110" i="4"/>
  <c r="CJ115" i="4"/>
  <c r="CA109" i="4"/>
  <c r="CA119" i="4"/>
  <c r="CJ113" i="4"/>
  <c r="CA117" i="4"/>
  <c r="CA114" i="4"/>
  <c r="CJ121" i="4"/>
  <c r="CJ105" i="4"/>
  <c r="CJ110" i="4"/>
  <c r="CA115" i="4"/>
  <c r="CJ111" i="4"/>
  <c r="CJ108" i="4"/>
  <c r="CA108" i="4"/>
  <c r="CA107" i="4"/>
  <c r="CA106" i="4"/>
  <c r="CA105" i="4"/>
  <c r="CJ104" i="4"/>
  <c r="T83" i="4"/>
  <c r="T68" i="4"/>
  <c r="CJ5" i="4"/>
  <c r="CJ6" i="4"/>
  <c r="CJ14" i="4"/>
  <c r="CJ22" i="4"/>
  <c r="CJ30" i="4"/>
  <c r="CJ38" i="4"/>
  <c r="CJ46" i="4"/>
  <c r="CJ54" i="4"/>
  <c r="CJ62" i="4"/>
  <c r="CJ70" i="4"/>
  <c r="CJ78" i="4"/>
  <c r="CJ86" i="4"/>
  <c r="CJ94" i="4"/>
  <c r="CJ102" i="4"/>
  <c r="CJ11" i="4"/>
  <c r="CJ19" i="4"/>
  <c r="CJ27" i="4"/>
  <c r="CJ35" i="4"/>
  <c r="CJ43" i="4"/>
  <c r="CJ51" i="4"/>
  <c r="CJ59" i="4"/>
  <c r="CJ67" i="4"/>
  <c r="CJ75" i="4"/>
  <c r="CJ83" i="4"/>
  <c r="CJ91" i="4"/>
  <c r="CJ99" i="4"/>
  <c r="CJ82" i="4"/>
  <c r="CJ25" i="4"/>
  <c r="CJ89" i="4"/>
  <c r="CJ8" i="4"/>
  <c r="CJ16" i="4"/>
  <c r="CJ24" i="4"/>
  <c r="CJ32" i="4"/>
  <c r="CJ40" i="4"/>
  <c r="CJ48" i="4"/>
  <c r="CJ56" i="4"/>
  <c r="CJ64" i="4"/>
  <c r="CJ72" i="4"/>
  <c r="CJ80" i="4"/>
  <c r="CJ88" i="4"/>
  <c r="CJ96" i="4"/>
  <c r="CJ21" i="4"/>
  <c r="CJ29" i="4"/>
  <c r="CJ45" i="4"/>
  <c r="CJ53" i="4"/>
  <c r="CJ61" i="4"/>
  <c r="CJ69" i="4"/>
  <c r="CJ77" i="4"/>
  <c r="CJ93" i="4"/>
  <c r="CJ101" i="4"/>
  <c r="CJ81" i="4"/>
  <c r="CJ10" i="4"/>
  <c r="CJ18" i="4"/>
  <c r="CJ26" i="4"/>
  <c r="CJ34" i="4"/>
  <c r="CJ42" i="4"/>
  <c r="CJ50" i="4"/>
  <c r="CJ58" i="4"/>
  <c r="CJ66" i="4"/>
  <c r="CJ74" i="4"/>
  <c r="CJ90" i="4"/>
  <c r="CJ98" i="4"/>
  <c r="CJ73" i="4"/>
  <c r="CJ7" i="4"/>
  <c r="CJ15" i="4"/>
  <c r="CJ23" i="4"/>
  <c r="CJ31" i="4"/>
  <c r="CJ39" i="4"/>
  <c r="CJ47" i="4"/>
  <c r="CJ63" i="4"/>
  <c r="CJ71" i="4"/>
  <c r="CJ79" i="4"/>
  <c r="CJ87" i="4"/>
  <c r="CJ103" i="4"/>
  <c r="CJ9" i="4"/>
  <c r="CJ17" i="4"/>
  <c r="CJ49" i="4"/>
  <c r="CJ97" i="4"/>
  <c r="CJ28" i="4"/>
  <c r="CJ36" i="4"/>
  <c r="CJ44" i="4"/>
  <c r="CJ52" i="4"/>
  <c r="CJ60" i="4"/>
  <c r="CJ76" i="4"/>
  <c r="CJ92" i="4"/>
  <c r="CJ33" i="4"/>
  <c r="CJ41" i="4"/>
  <c r="CJ57" i="4"/>
  <c r="T67" i="4"/>
  <c r="BA58" i="4"/>
  <c r="BF62" i="4"/>
  <c r="BK55" i="4"/>
  <c r="BA14" i="4"/>
  <c r="BA31" i="4"/>
  <c r="BF31" i="4"/>
  <c r="BA11" i="4"/>
  <c r="BA57" i="4"/>
  <c r="BK100" i="4"/>
  <c r="BF7" i="4"/>
  <c r="AB30" i="4"/>
  <c r="AG122" i="4"/>
  <c r="AB99" i="4"/>
  <c r="BA61" i="4"/>
  <c r="BA53" i="4"/>
  <c r="BF25" i="4"/>
  <c r="AB96" i="4"/>
  <c r="BF77" i="4"/>
  <c r="BF12" i="4"/>
  <c r="AQ117" i="4"/>
  <c r="BK84" i="4"/>
  <c r="BK95" i="4"/>
  <c r="BA9" i="4"/>
  <c r="AL122" i="4"/>
  <c r="BF40" i="4"/>
  <c r="AB26" i="4"/>
  <c r="BA33" i="4"/>
  <c r="AQ112" i="4"/>
  <c r="BA17" i="4"/>
  <c r="BA6" i="4"/>
  <c r="AB36" i="4"/>
  <c r="BA13" i="4"/>
  <c r="BA34" i="4"/>
  <c r="BA12" i="4"/>
  <c r="BA37" i="4"/>
  <c r="AB57" i="4"/>
  <c r="AB46" i="4"/>
  <c r="BA122" i="4"/>
  <c r="BK65" i="4"/>
  <c r="BF112" i="4"/>
  <c r="BA45" i="4"/>
  <c r="BF66" i="4"/>
  <c r="AB14" i="4"/>
  <c r="BA43" i="4"/>
  <c r="BA51" i="4"/>
  <c r="BK85" i="4"/>
  <c r="BA55" i="4"/>
  <c r="BA15" i="4"/>
  <c r="BA26" i="4"/>
  <c r="BA7" i="4"/>
  <c r="BA8" i="4"/>
  <c r="BA59" i="4"/>
  <c r="BA36" i="4"/>
  <c r="BK68" i="4"/>
  <c r="BA52" i="4"/>
  <c r="BK116" i="4"/>
  <c r="BA62" i="4"/>
  <c r="BF107" i="4"/>
  <c r="BF49" i="4"/>
  <c r="BA18" i="4"/>
  <c r="BK37" i="4"/>
  <c r="BA64" i="4"/>
  <c r="BK12" i="4"/>
  <c r="BF68" i="4"/>
  <c r="BA27" i="4"/>
  <c r="BA16" i="4"/>
  <c r="BF36" i="4"/>
  <c r="BA19" i="4"/>
  <c r="BA60" i="4"/>
  <c r="BA93" i="4"/>
  <c r="BA56" i="4"/>
  <c r="BA63" i="4"/>
  <c r="BK20" i="4"/>
  <c r="BA10" i="4"/>
  <c r="AB89" i="4"/>
  <c r="AB8" i="4"/>
  <c r="BA54" i="4"/>
  <c r="BK13" i="4"/>
  <c r="BA35" i="4"/>
  <c r="AB85" i="4"/>
  <c r="BA5" i="4"/>
  <c r="BK114" i="4"/>
  <c r="CO107" i="4" l="1"/>
  <c r="CO119" i="4"/>
  <c r="CF114" i="4"/>
  <c r="CO118" i="4"/>
  <c r="CO111" i="4"/>
  <c r="CF121" i="4"/>
  <c r="CF108" i="4"/>
  <c r="CF106" i="4"/>
  <c r="CF111" i="4"/>
  <c r="CF107" i="4"/>
  <c r="CP107" i="4" s="1"/>
  <c r="CO113" i="4"/>
  <c r="CJ100" i="4"/>
  <c r="CJ68" i="4"/>
  <c r="CJ85" i="4"/>
  <c r="CJ65" i="4"/>
  <c r="CJ37" i="4"/>
  <c r="CJ116" i="4"/>
  <c r="CJ12" i="4"/>
  <c r="CJ13" i="4"/>
  <c r="CJ95" i="4"/>
  <c r="CJ114" i="4"/>
  <c r="CJ55" i="4"/>
  <c r="CJ84" i="4"/>
  <c r="CJ20" i="4"/>
  <c r="CF115" i="4"/>
  <c r="CF118" i="4"/>
  <c r="CO121" i="4"/>
  <c r="CO105" i="4"/>
  <c r="CA122" i="4"/>
  <c r="CF123" i="4" s="1"/>
  <c r="CP123" i="4" s="1"/>
  <c r="CO108" i="4"/>
  <c r="CO109" i="4"/>
  <c r="CO106" i="4"/>
  <c r="CO110" i="4"/>
  <c r="CF116" i="4"/>
  <c r="CF117" i="4"/>
  <c r="CO120" i="4"/>
  <c r="CF112" i="4"/>
  <c r="CF119" i="4"/>
  <c r="CF113" i="4"/>
  <c r="CO122" i="4"/>
  <c r="CF109" i="4"/>
  <c r="CF120" i="4"/>
  <c r="CF110" i="4"/>
  <c r="CO112" i="4"/>
  <c r="CF122" i="4"/>
  <c r="CA98" i="4"/>
  <c r="CA58" i="4"/>
  <c r="CA55" i="4"/>
  <c r="CA12" i="4"/>
  <c r="CA103" i="4"/>
  <c r="CA17" i="4"/>
  <c r="CA64" i="4"/>
  <c r="CA52" i="4"/>
  <c r="CA92" i="4"/>
  <c r="CA87" i="4"/>
  <c r="CA62" i="4"/>
  <c r="CA72" i="4"/>
  <c r="CA47" i="4"/>
  <c r="CA85" i="4"/>
  <c r="CA89" i="4"/>
  <c r="CA80" i="4"/>
  <c r="CA36" i="4"/>
  <c r="CA51" i="4"/>
  <c r="CA37" i="4"/>
  <c r="CA61" i="4"/>
  <c r="CA82" i="4"/>
  <c r="CA60" i="4"/>
  <c r="CA39" i="4"/>
  <c r="CA101" i="4"/>
  <c r="CA22" i="4"/>
  <c r="CA63" i="4"/>
  <c r="CA42" i="4"/>
  <c r="CA77" i="4"/>
  <c r="CA10" i="4"/>
  <c r="CA81" i="4"/>
  <c r="CA9" i="4"/>
  <c r="CA94" i="4"/>
  <c r="CA71" i="4"/>
  <c r="CA66" i="4"/>
  <c r="CA34" i="4"/>
  <c r="CA54" i="4"/>
  <c r="CA76" i="4"/>
  <c r="CA91" i="4"/>
  <c r="CA19" i="4"/>
  <c r="CA20" i="4"/>
  <c r="CA84" i="4"/>
  <c r="CA53" i="4"/>
  <c r="CA75" i="4"/>
  <c r="CA56" i="4"/>
  <c r="CA45" i="4"/>
  <c r="CA83" i="4"/>
  <c r="CA21" i="4"/>
  <c r="CA59" i="4"/>
  <c r="CA88" i="4"/>
  <c r="CA32" i="4"/>
  <c r="CA5" i="4"/>
  <c r="CA29" i="4"/>
  <c r="CA79" i="4"/>
  <c r="CA28" i="4"/>
  <c r="CA26" i="4"/>
  <c r="CA90" i="4"/>
  <c r="CA49" i="4"/>
  <c r="CA46" i="4"/>
  <c r="CA7" i="4"/>
  <c r="CA57" i="4"/>
  <c r="CA70" i="4"/>
  <c r="CA14" i="4"/>
  <c r="CA44" i="4"/>
  <c r="CA11" i="4"/>
  <c r="CA65" i="4"/>
  <c r="CA102" i="4"/>
  <c r="CA13" i="4"/>
  <c r="CA27" i="4"/>
  <c r="CA18" i="4"/>
  <c r="CA6" i="4"/>
  <c r="CA40" i="4"/>
  <c r="CA30" i="4"/>
  <c r="CA78" i="4"/>
  <c r="CA86" i="4"/>
  <c r="CA67" i="4"/>
  <c r="CA33" i="4"/>
  <c r="CA48" i="4"/>
  <c r="CA95" i="4"/>
  <c r="CA23" i="4"/>
  <c r="CA100" i="4"/>
  <c r="CA93" i="4"/>
  <c r="CA35" i="4"/>
  <c r="CA8" i="4"/>
  <c r="CA96" i="4"/>
  <c r="CA97" i="4"/>
  <c r="CA74" i="4"/>
  <c r="CA69" i="4"/>
  <c r="CA41" i="4"/>
  <c r="CA104" i="4"/>
  <c r="CA16" i="4"/>
  <c r="CA68" i="4"/>
  <c r="CA31" i="4"/>
  <c r="CA73" i="4"/>
  <c r="CA50" i="4"/>
  <c r="CA99" i="4"/>
  <c r="CA25" i="4"/>
  <c r="CA24" i="4"/>
  <c r="CA15" i="4"/>
  <c r="CA38" i="4"/>
  <c r="CA43" i="4"/>
  <c r="CP119" i="4" l="1"/>
  <c r="CP111" i="4"/>
  <c r="CP108" i="4"/>
  <c r="CP118" i="4"/>
  <c r="CP106" i="4"/>
  <c r="CP121" i="4"/>
  <c r="CF105" i="4"/>
  <c r="CP105" i="4" s="1"/>
  <c r="CP113" i="4"/>
  <c r="CO115" i="4"/>
  <c r="CP115" i="4" s="1"/>
  <c r="CO117" i="4"/>
  <c r="CP117" i="4" s="1"/>
  <c r="CP120" i="4"/>
  <c r="CO116" i="4"/>
  <c r="CP116" i="4" s="1"/>
  <c r="CO114" i="4"/>
  <c r="CP114" i="4" s="1"/>
  <c r="CP122" i="4"/>
  <c r="CP109" i="4"/>
  <c r="CP112" i="4"/>
  <c r="CP110" i="4"/>
  <c r="CF5" i="4"/>
  <c r="CO71" i="4"/>
  <c r="CF73" i="4"/>
  <c r="CO87" i="4"/>
  <c r="CO52" i="4"/>
  <c r="CO51" i="4"/>
  <c r="CO5" i="4"/>
  <c r="CO86" i="4"/>
  <c r="CO88" i="4"/>
  <c r="CO9" i="4"/>
  <c r="CO22" i="4"/>
  <c r="CF15" i="4"/>
  <c r="CF104" i="4"/>
  <c r="CO33" i="4"/>
  <c r="CF36" i="4"/>
  <c r="CF35" i="4"/>
  <c r="CO94" i="4"/>
  <c r="CO63" i="4"/>
  <c r="CF100" i="4"/>
  <c r="CF67" i="4"/>
  <c r="CF6" i="4"/>
  <c r="CO27" i="4"/>
  <c r="CO23" i="4"/>
  <c r="CO31" i="4"/>
  <c r="CO15" i="4"/>
  <c r="CF88" i="4"/>
  <c r="CF53" i="4"/>
  <c r="CF84" i="4"/>
  <c r="CF54" i="4"/>
  <c r="CF81" i="4"/>
  <c r="CO26" i="4"/>
  <c r="CF82" i="4"/>
  <c r="CF61" i="4"/>
  <c r="CO78" i="4"/>
  <c r="CO50" i="4"/>
  <c r="CO104" i="4"/>
  <c r="CO84" i="4"/>
  <c r="CO89" i="4"/>
  <c r="CF55" i="4"/>
  <c r="CF68" i="4"/>
  <c r="CF9" i="4"/>
  <c r="CF8" i="4"/>
  <c r="CO10" i="4"/>
  <c r="CO72" i="4"/>
  <c r="CF86" i="4"/>
  <c r="CF43" i="4"/>
  <c r="CO49" i="4"/>
  <c r="CF99" i="4"/>
  <c r="CF31" i="4"/>
  <c r="CO59" i="4"/>
  <c r="CF41" i="4"/>
  <c r="CO66" i="4"/>
  <c r="CO20" i="4"/>
  <c r="CF49" i="4"/>
  <c r="CF48" i="4"/>
  <c r="CO39" i="4"/>
  <c r="CF78" i="4"/>
  <c r="CF30" i="4"/>
  <c r="CF102" i="4"/>
  <c r="CO81" i="4"/>
  <c r="CO7" i="4"/>
  <c r="CF7" i="4"/>
  <c r="CO93" i="4"/>
  <c r="CO34" i="4"/>
  <c r="CF79" i="4"/>
  <c r="CF45" i="4"/>
  <c r="CO85" i="4"/>
  <c r="CO48" i="4"/>
  <c r="CO13" i="4"/>
  <c r="CF19" i="4"/>
  <c r="CO24" i="4"/>
  <c r="CF63" i="4"/>
  <c r="CF39" i="4"/>
  <c r="CO19" i="4"/>
  <c r="CO95" i="4"/>
  <c r="CO102" i="4"/>
  <c r="CF85" i="4"/>
  <c r="CO32" i="4"/>
  <c r="CO73" i="4"/>
  <c r="CO101" i="4"/>
  <c r="CF87" i="4"/>
  <c r="CF92" i="4"/>
  <c r="CO18" i="4"/>
  <c r="CF50" i="4"/>
  <c r="CO98" i="4"/>
  <c r="CO64" i="4"/>
  <c r="CF20" i="4"/>
  <c r="CF42" i="4"/>
  <c r="CF89" i="4"/>
  <c r="CF24" i="4"/>
  <c r="CO68" i="4"/>
  <c r="CF74" i="4"/>
  <c r="CO57" i="4"/>
  <c r="CO28" i="4"/>
  <c r="CF40" i="4"/>
  <c r="CF65" i="4"/>
  <c r="CF11" i="4"/>
  <c r="CF70" i="4"/>
  <c r="CO6" i="4"/>
  <c r="CO58" i="4"/>
  <c r="CF59" i="4"/>
  <c r="CF91" i="4"/>
  <c r="CF76" i="4"/>
  <c r="CF71" i="4"/>
  <c r="CF94" i="4"/>
  <c r="CO83" i="4"/>
  <c r="CF22" i="4"/>
  <c r="CF38" i="4"/>
  <c r="CF37" i="4"/>
  <c r="CF47" i="4"/>
  <c r="CO82" i="4"/>
  <c r="CO30" i="4"/>
  <c r="CO56" i="4"/>
  <c r="CF52" i="4"/>
  <c r="CF17" i="4"/>
  <c r="CO25" i="4"/>
  <c r="CO42" i="4"/>
  <c r="CO77" i="4"/>
  <c r="CF90" i="4"/>
  <c r="CO14" i="4"/>
  <c r="CO53" i="4"/>
  <c r="CO12" i="4"/>
  <c r="CO100" i="4"/>
  <c r="CF62" i="4"/>
  <c r="CF25" i="4"/>
  <c r="CO47" i="4"/>
  <c r="CO61" i="4"/>
  <c r="CF98" i="4"/>
  <c r="CF97" i="4"/>
  <c r="CO38" i="4"/>
  <c r="CO36" i="4"/>
  <c r="CO35" i="4"/>
  <c r="CF93" i="4"/>
  <c r="CO29" i="4"/>
  <c r="CF23" i="4"/>
  <c r="CF33" i="4"/>
  <c r="CF27" i="4"/>
  <c r="CF44" i="4"/>
  <c r="CF46" i="4"/>
  <c r="CO41" i="4"/>
  <c r="CO40" i="4"/>
  <c r="CF26" i="4"/>
  <c r="CO67" i="4"/>
  <c r="CO8" i="4"/>
  <c r="CF32" i="4"/>
  <c r="CF21" i="4"/>
  <c r="CF83" i="4"/>
  <c r="CF34" i="4"/>
  <c r="CF66" i="4"/>
  <c r="CO91" i="4"/>
  <c r="CO90" i="4"/>
  <c r="CF10" i="4"/>
  <c r="CF101" i="4"/>
  <c r="CO97" i="4"/>
  <c r="CF80" i="4"/>
  <c r="CF72" i="4"/>
  <c r="CO76" i="4"/>
  <c r="CF64" i="4"/>
  <c r="CO80" i="4"/>
  <c r="CO79" i="4"/>
  <c r="CF69" i="4"/>
  <c r="CF96" i="4"/>
  <c r="CO46" i="4"/>
  <c r="CO37" i="4"/>
  <c r="CO99" i="4"/>
  <c r="CO96" i="4"/>
  <c r="CO21" i="4"/>
  <c r="CO60" i="4"/>
  <c r="CF12" i="4"/>
  <c r="CO17" i="4"/>
  <c r="CO16" i="4"/>
  <c r="CO44" i="4"/>
  <c r="CO54" i="4"/>
  <c r="CF16" i="4"/>
  <c r="CO62" i="4"/>
  <c r="CO65" i="4"/>
  <c r="CO11" i="4"/>
  <c r="CO69" i="4"/>
  <c r="CO74" i="4"/>
  <c r="CF95" i="4"/>
  <c r="CO55" i="4"/>
  <c r="CO75" i="4"/>
  <c r="CO103" i="4"/>
  <c r="CF18" i="4"/>
  <c r="CF13" i="4"/>
  <c r="CF14" i="4"/>
  <c r="CF58" i="4"/>
  <c r="CF57" i="4"/>
  <c r="CF28" i="4"/>
  <c r="CF29" i="4"/>
  <c r="CO70" i="4"/>
  <c r="CF56" i="4"/>
  <c r="CF75" i="4"/>
  <c r="CO92" i="4"/>
  <c r="CO43" i="4"/>
  <c r="CF77" i="4"/>
  <c r="CF60" i="4"/>
  <c r="CF51" i="4"/>
  <c r="CO45" i="4"/>
  <c r="CF103" i="4"/>
  <c r="CP35" i="4" l="1"/>
  <c r="CP36" i="4"/>
  <c r="CP44" i="4"/>
  <c r="CP42" i="4"/>
  <c r="CP43" i="4"/>
  <c r="CP79" i="4"/>
  <c r="CP82" i="4"/>
  <c r="CP92" i="4" l="1"/>
  <c r="CP76" i="4" l="1"/>
  <c r="CP100" i="4"/>
  <c r="CP21" i="4"/>
  <c r="CP40" i="4"/>
  <c r="CP73" i="4"/>
  <c r="CP19" i="4"/>
  <c r="CP84" i="4"/>
  <c r="CP68" i="4"/>
  <c r="CP54" i="4"/>
  <c r="CP45" i="4"/>
  <c r="CP55" i="4"/>
  <c r="CP61" i="4"/>
  <c r="CP88" i="4"/>
  <c r="CP96" i="4"/>
  <c r="CP65" i="4"/>
  <c r="CP16" i="4"/>
  <c r="CP15" i="4"/>
  <c r="CP69" i="4"/>
  <c r="CP46" i="4"/>
  <c r="CP90" i="4"/>
  <c r="CP6" i="4"/>
  <c r="CP28" i="4"/>
  <c r="CP98" i="4"/>
  <c r="CP81" i="4"/>
  <c r="CP8" i="4"/>
  <c r="CP101" i="4"/>
  <c r="CP104" i="4"/>
  <c r="CP99" i="4"/>
  <c r="CP70" i="4"/>
  <c r="CP34" i="4"/>
  <c r="CP11" i="4"/>
  <c r="CP33" i="4"/>
  <c r="CP48" i="4"/>
  <c r="CP66" i="4"/>
  <c r="CP62" i="4"/>
  <c r="CP67" i="4"/>
  <c r="CP29" i="4"/>
  <c r="CP47" i="4"/>
  <c r="CP74" i="4"/>
  <c r="CP37" i="4"/>
  <c r="CP57" i="4"/>
  <c r="CP39" i="4"/>
  <c r="CP91" i="4"/>
  <c r="CP97" i="4"/>
  <c r="CP12" i="4"/>
  <c r="CP58" i="4"/>
  <c r="CP20" i="4"/>
  <c r="CP10" i="4"/>
  <c r="CP26" i="4"/>
  <c r="CP31" i="4"/>
  <c r="CP51" i="4"/>
  <c r="CP50" i="4"/>
  <c r="CP27" i="4"/>
  <c r="CP94" i="4"/>
  <c r="CP13" i="4"/>
  <c r="CP103" i="4"/>
  <c r="CP17" i="4"/>
  <c r="CP60" i="4"/>
  <c r="CP77" i="4"/>
  <c r="CP56" i="4"/>
  <c r="CP83" i="4"/>
  <c r="CP89" i="4"/>
  <c r="CP78" i="4"/>
  <c r="CP9" i="4"/>
  <c r="CP52" i="4"/>
  <c r="CP24" i="4"/>
  <c r="CP38" i="4"/>
  <c r="CP53" i="4"/>
  <c r="CP25" i="4"/>
  <c r="CP64" i="4"/>
  <c r="CP102" i="4"/>
  <c r="CP93" i="4"/>
  <c r="CP7" i="4"/>
  <c r="CP23" i="4"/>
  <c r="CP86" i="4"/>
  <c r="CP75" i="4"/>
  <c r="CP18" i="4"/>
  <c r="CP32" i="4"/>
  <c r="CP59" i="4"/>
  <c r="CP49" i="4"/>
  <c r="CP80" i="4"/>
  <c r="CP41" i="4"/>
  <c r="CP14" i="4"/>
  <c r="CP30" i="4"/>
  <c r="CP95" i="4"/>
  <c r="CP85" i="4"/>
  <c r="CP72" i="4"/>
  <c r="CP63" i="4"/>
  <c r="CP22" i="4"/>
  <c r="CP5" i="4"/>
  <c r="CP87" i="4"/>
  <c r="CP71" i="4"/>
  <c r="BQ44" i="1" l="1"/>
  <c r="BX52" i="1"/>
  <c r="BX85" i="1"/>
  <c r="BX81" i="1"/>
  <c r="BX33" i="1"/>
  <c r="BX48" i="1"/>
  <c r="BX100" i="1"/>
  <c r="BX31" i="1"/>
  <c r="BX20" i="1"/>
  <c r="BX82" i="1"/>
  <c r="BQ43" i="1"/>
  <c r="BQ33" i="1"/>
  <c r="BX71" i="1"/>
  <c r="BQ53" i="1"/>
  <c r="BX30" i="1"/>
  <c r="BQ19" i="1"/>
  <c r="BX61" i="1"/>
  <c r="BQ45" i="1"/>
  <c r="BQ48" i="1"/>
  <c r="BX96" i="1"/>
  <c r="BQ23" i="1"/>
  <c r="BX39" i="1"/>
  <c r="BX17" i="1"/>
  <c r="BQ40" i="1"/>
  <c r="BX16" i="1"/>
  <c r="BX59" i="1"/>
  <c r="BX29" i="1"/>
  <c r="BX68" i="1"/>
  <c r="BQ6" i="1"/>
  <c r="BX88" i="1"/>
  <c r="BX76" i="1"/>
  <c r="BX23" i="1"/>
  <c r="BQ15" i="1"/>
  <c r="BX65" i="1"/>
  <c r="BX5" i="1"/>
  <c r="BQ31" i="1"/>
  <c r="BQ24" i="1"/>
  <c r="BQ14" i="1"/>
  <c r="BX102" i="1"/>
  <c r="BQ4" i="1"/>
  <c r="BX55" i="1"/>
  <c r="BX86" i="1"/>
  <c r="BX97" i="1"/>
  <c r="BQ20" i="1"/>
  <c r="BX46" i="1"/>
  <c r="BQ13" i="1"/>
  <c r="BQ30" i="1"/>
  <c r="BX49" i="1"/>
  <c r="BX40" i="1"/>
  <c r="BX15" i="1"/>
  <c r="BQ47" i="1"/>
  <c r="BX7" i="1"/>
  <c r="BQ49" i="1"/>
  <c r="BX43" i="1"/>
  <c r="BX13" i="1"/>
  <c r="BX57" i="1"/>
  <c r="BX72" i="1"/>
  <c r="BX98" i="1"/>
  <c r="BQ38" i="1"/>
  <c r="BX83" i="1"/>
  <c r="BQ21" i="1"/>
  <c r="BX14" i="1"/>
  <c r="BX50" i="1"/>
  <c r="BX10" i="1"/>
  <c r="BX25" i="1"/>
  <c r="BQ46" i="1"/>
  <c r="BQ8" i="1"/>
  <c r="BX70" i="1"/>
  <c r="BQ17" i="1"/>
  <c r="BX19" i="1"/>
  <c r="BX36" i="1"/>
  <c r="BQ16" i="1"/>
  <c r="BQ22" i="1"/>
  <c r="BQ9" i="1"/>
  <c r="BX54" i="1"/>
  <c r="BX75" i="1"/>
  <c r="BQ41" i="1"/>
  <c r="BX9" i="1"/>
  <c r="BX6" i="1"/>
  <c r="BX18" i="1"/>
  <c r="BX35" i="1"/>
  <c r="BX74" i="1"/>
  <c r="BX24" i="1"/>
  <c r="BX51" i="1"/>
  <c r="BQ18" i="1"/>
  <c r="BX4" i="1"/>
  <c r="BX93" i="1"/>
  <c r="BX22" i="1"/>
  <c r="BQ11" i="1"/>
  <c r="BQ7" i="1"/>
  <c r="BQ12" i="1"/>
  <c r="BX58" i="1"/>
  <c r="BX42" i="1"/>
  <c r="BQ42" i="1"/>
  <c r="BX89" i="1"/>
  <c r="BQ36" i="1"/>
  <c r="BQ25" i="1"/>
  <c r="BQ52" i="1"/>
  <c r="BX62" i="1"/>
  <c r="BX73" i="1"/>
  <c r="BX12" i="1"/>
  <c r="BX77" i="1"/>
  <c r="BX79" i="1"/>
  <c r="BQ27" i="1"/>
  <c r="BX45" i="1"/>
  <c r="BX21" i="1"/>
  <c r="BQ29" i="1"/>
  <c r="BX90" i="1"/>
  <c r="BX91" i="1"/>
  <c r="BQ5" i="1"/>
  <c r="BQ28" i="1"/>
  <c r="BX11" i="1"/>
  <c r="BX26" i="1"/>
  <c r="BX38" i="1"/>
  <c r="BX94" i="1"/>
  <c r="BX101" i="1"/>
  <c r="BX47" i="1"/>
  <c r="BX84" i="1"/>
  <c r="BX64" i="1"/>
  <c r="BQ51" i="1"/>
  <c r="BQ26" i="1"/>
  <c r="BQ32" i="1"/>
  <c r="BQ37" i="1"/>
  <c r="BX53" i="1"/>
  <c r="BQ39" i="1"/>
  <c r="BX69" i="1"/>
  <c r="BX87" i="1"/>
  <c r="BX66" i="1"/>
  <c r="BX78" i="1"/>
  <c r="BX41" i="1"/>
  <c r="BX63" i="1"/>
  <c r="BX27" i="1"/>
  <c r="BX60" i="1"/>
  <c r="BX8" i="1"/>
  <c r="BQ10" i="1"/>
  <c r="BX103" i="1"/>
  <c r="BX56" i="1"/>
  <c r="BX80" i="1"/>
  <c r="BX28" i="1"/>
  <c r="BX44" i="1"/>
  <c r="BX95" i="1"/>
  <c r="BQ34" i="1"/>
  <c r="BX92" i="1"/>
  <c r="BX67" i="1"/>
  <c r="BQ35" i="1"/>
  <c r="BX32" i="1"/>
  <c r="BX99" i="1"/>
  <c r="BX34" i="1"/>
  <c r="BX37" i="1"/>
  <c r="BQ50" i="1"/>
  <c r="P9" i="2" l="1"/>
  <c r="O27" i="2"/>
  <c r="O31" i="2"/>
  <c r="Q22" i="2"/>
  <c r="P33" i="2"/>
  <c r="O36" i="2"/>
  <c r="U99" i="4"/>
  <c r="P16" i="2"/>
  <c r="R31" i="2"/>
  <c r="O15" i="2"/>
  <c r="O14" i="2"/>
  <c r="Q25" i="2"/>
  <c r="Q9" i="2"/>
  <c r="Q26" i="2"/>
  <c r="P4" i="2"/>
  <c r="O8" i="2"/>
  <c r="Q8" i="2"/>
  <c r="P34" i="2"/>
  <c r="P32" i="2"/>
  <c r="R22" i="2"/>
  <c r="R20" i="2"/>
  <c r="P6" i="2"/>
  <c r="R30" i="2"/>
  <c r="R33" i="2"/>
  <c r="R11" i="2"/>
  <c r="P19" i="2"/>
  <c r="Q35" i="2"/>
  <c r="O18" i="2"/>
  <c r="O11" i="2"/>
  <c r="R6" i="2"/>
  <c r="R16" i="2"/>
  <c r="P11" i="2"/>
  <c r="R19" i="2"/>
  <c r="Q28" i="2"/>
  <c r="R26" i="2"/>
  <c r="R5" i="2"/>
  <c r="Q30" i="2"/>
  <c r="Q24" i="2"/>
  <c r="R9" i="2"/>
  <c r="R24" i="2"/>
  <c r="P8" i="2"/>
  <c r="R35" i="2"/>
  <c r="P12" i="2"/>
  <c r="R34" i="2"/>
  <c r="Q29" i="2"/>
  <c r="P22" i="2"/>
  <c r="O7" i="2"/>
  <c r="P7" i="2"/>
  <c r="P23" i="2"/>
  <c r="Q7" i="2"/>
  <c r="Q34" i="2"/>
  <c r="Q5" i="2"/>
  <c r="Q36" i="2"/>
  <c r="W99" i="4"/>
  <c r="P30" i="2"/>
  <c r="O22" i="2"/>
  <c r="P20" i="2"/>
  <c r="P10" i="2"/>
  <c r="O24" i="2"/>
  <c r="R17" i="2"/>
  <c r="Q6" i="2"/>
  <c r="Q12" i="2"/>
  <c r="Q11" i="2"/>
  <c r="O19" i="2"/>
  <c r="Q27" i="2"/>
  <c r="P13" i="2"/>
  <c r="Q16" i="2"/>
  <c r="R23" i="2"/>
  <c r="O21" i="2"/>
  <c r="Q33" i="2"/>
  <c r="R36" i="2"/>
  <c r="X99" i="4"/>
  <c r="R12" i="2"/>
  <c r="R28" i="2"/>
  <c r="O35" i="2"/>
  <c r="O12" i="2"/>
  <c r="P25" i="2"/>
  <c r="Q18" i="2"/>
  <c r="O29" i="2"/>
  <c r="P18" i="2"/>
  <c r="O16" i="2"/>
  <c r="R4" i="2"/>
  <c r="P27" i="2"/>
  <c r="R18" i="2"/>
  <c r="Q10" i="2"/>
  <c r="O6" i="2"/>
  <c r="O5" i="2"/>
  <c r="O28" i="2"/>
  <c r="P17" i="2"/>
  <c r="Q4" i="2"/>
  <c r="Q32" i="2"/>
  <c r="O10" i="2"/>
  <c r="Q31" i="2"/>
  <c r="O23" i="2"/>
  <c r="P21" i="2"/>
  <c r="P26" i="2"/>
  <c r="P5" i="2"/>
  <c r="Q21" i="2"/>
  <c r="R13" i="2"/>
  <c r="R14" i="2"/>
  <c r="P35" i="2"/>
  <c r="P28" i="2"/>
  <c r="R27" i="2"/>
  <c r="R25" i="2"/>
  <c r="R32" i="2"/>
  <c r="O30" i="2"/>
  <c r="P24" i="2"/>
  <c r="O17" i="2"/>
  <c r="P36" i="2"/>
  <c r="V99" i="4"/>
  <c r="R8" i="2"/>
  <c r="R29" i="2"/>
  <c r="O20" i="2"/>
  <c r="R10" i="2"/>
  <c r="Q19" i="2"/>
  <c r="O9" i="2"/>
  <c r="Q23" i="2"/>
  <c r="O25" i="2"/>
  <c r="Q14" i="2"/>
  <c r="P15" i="2"/>
  <c r="O13" i="2"/>
  <c r="R15" i="2"/>
  <c r="P14" i="2"/>
  <c r="O26" i="2"/>
  <c r="O34" i="2"/>
  <c r="R7" i="2"/>
  <c r="Q13" i="2"/>
  <c r="Q17" i="2"/>
  <c r="P29" i="2"/>
  <c r="Q15" i="2"/>
  <c r="O32" i="2"/>
  <c r="Q20" i="2"/>
  <c r="P31" i="2"/>
  <c r="O4" i="2"/>
  <c r="R21" i="2"/>
  <c r="O33" i="2"/>
  <c r="BD79" i="1"/>
  <c r="AD40" i="1"/>
  <c r="BB177" i="1"/>
  <c r="BD341" i="1"/>
  <c r="BD4" i="1"/>
  <c r="BD196" i="1"/>
  <c r="BA288" i="1"/>
  <c r="AD148" i="1"/>
  <c r="BE194" i="1"/>
  <c r="AD124" i="1"/>
  <c r="AD257" i="1"/>
  <c r="BC148" i="1"/>
  <c r="BD181" i="1"/>
  <c r="BA83" i="1"/>
  <c r="BE217" i="1"/>
  <c r="BE44" i="1"/>
  <c r="BA225" i="1"/>
  <c r="BD332" i="1"/>
  <c r="BA137" i="1"/>
  <c r="BB171" i="1"/>
  <c r="AD312" i="1"/>
  <c r="BB50" i="1"/>
  <c r="BA8" i="1"/>
  <c r="AD243" i="1"/>
  <c r="BA152" i="1"/>
  <c r="BE127" i="1"/>
  <c r="BE225" i="1"/>
  <c r="BB130" i="1"/>
  <c r="BB303" i="1"/>
  <c r="BE178" i="1"/>
  <c r="BB55" i="1"/>
  <c r="BE261" i="1"/>
  <c r="BA48" i="1"/>
  <c r="BD160" i="1"/>
  <c r="AD53" i="1"/>
  <c r="BB75" i="1"/>
  <c r="BE293" i="1"/>
  <c r="BD313" i="1"/>
  <c r="AD219" i="1"/>
  <c r="BA79" i="1"/>
  <c r="BB64" i="1"/>
  <c r="BD203" i="1"/>
  <c r="BE350" i="1"/>
  <c r="BB10" i="1"/>
  <c r="AD86" i="1"/>
  <c r="AD71" i="1"/>
  <c r="BC17" i="1"/>
  <c r="BA6" i="1"/>
  <c r="BB40" i="1"/>
  <c r="BA58" i="1"/>
  <c r="AD316" i="1"/>
  <c r="BB290" i="1"/>
  <c r="BE28" i="1"/>
  <c r="AD337" i="1"/>
  <c r="BE260" i="1"/>
  <c r="BC321" i="1"/>
  <c r="BD310" i="1"/>
  <c r="AD168" i="1"/>
  <c r="AD292" i="1"/>
  <c r="AD341" i="1"/>
  <c r="BA252" i="1"/>
  <c r="BD159" i="1"/>
  <c r="BB315" i="1"/>
  <c r="AD244" i="1"/>
  <c r="BC82" i="1"/>
  <c r="BE125" i="1"/>
  <c r="BC288" i="1"/>
  <c r="AD302" i="1"/>
  <c r="BB298" i="1"/>
  <c r="AD308" i="1"/>
  <c r="BD324" i="1"/>
  <c r="BD284" i="1"/>
  <c r="BA230" i="1"/>
  <c r="AD207" i="1"/>
  <c r="BB24" i="1"/>
  <c r="BC187" i="1"/>
  <c r="BC223" i="1"/>
  <c r="AD183" i="1"/>
  <c r="BC101" i="1"/>
  <c r="BC74" i="1"/>
  <c r="AD320" i="1"/>
  <c r="BC13" i="1"/>
  <c r="BC179" i="1"/>
  <c r="AD264" i="1"/>
  <c r="BB260" i="1"/>
  <c r="BD222" i="1"/>
  <c r="BA243" i="1"/>
  <c r="BC190" i="1"/>
  <c r="BC12" i="1"/>
  <c r="BA304" i="1"/>
  <c r="BC15" i="1"/>
  <c r="BD37" i="1"/>
  <c r="AD7" i="1"/>
  <c r="BB68" i="1"/>
  <c r="BD121" i="1"/>
  <c r="AD75" i="1"/>
  <c r="BC199" i="1"/>
  <c r="BA15" i="1"/>
  <c r="BD83" i="1"/>
  <c r="AD59" i="1"/>
  <c r="BC201" i="1"/>
  <c r="BD267" i="1"/>
  <c r="BC258" i="1"/>
  <c r="AD237" i="1"/>
  <c r="BB46" i="1"/>
  <c r="BA261" i="1"/>
  <c r="BD303" i="1"/>
  <c r="BB80" i="1"/>
  <c r="BE60" i="1"/>
  <c r="BE109" i="1"/>
  <c r="BA56" i="1"/>
  <c r="BB283" i="1"/>
  <c r="BA316" i="1"/>
  <c r="AD151" i="1"/>
  <c r="AD128" i="1"/>
  <c r="BB207" i="1"/>
  <c r="BD42" i="1"/>
  <c r="AD358" i="1"/>
  <c r="BC124" i="1"/>
  <c r="BC282" i="1"/>
  <c r="BB155" i="1"/>
  <c r="BA51" i="1"/>
  <c r="BA292" i="1"/>
  <c r="BE297" i="1"/>
  <c r="AD220" i="1"/>
  <c r="BD120" i="1"/>
  <c r="BA143" i="1"/>
  <c r="BB246" i="1"/>
  <c r="AD325" i="1"/>
  <c r="BA95" i="1"/>
  <c r="BC353" i="1"/>
  <c r="BD345" i="1"/>
  <c r="BC280" i="1"/>
  <c r="BA319" i="1"/>
  <c r="BE80" i="1"/>
  <c r="BC203" i="1"/>
  <c r="BB318" i="1"/>
  <c r="BD360" i="1"/>
  <c r="BA130" i="1"/>
  <c r="BE198" i="1"/>
  <c r="BB100" i="1"/>
  <c r="BD174" i="1"/>
  <c r="BE197" i="1"/>
  <c r="BE72" i="1"/>
  <c r="BC120" i="1"/>
  <c r="BC237" i="1"/>
  <c r="BB185" i="1"/>
  <c r="BE310" i="1"/>
  <c r="BD205" i="1"/>
  <c r="AD315" i="1"/>
  <c r="BC178" i="1"/>
  <c r="BB11" i="1"/>
  <c r="BB88" i="1"/>
  <c r="BC221" i="1"/>
  <c r="BB163" i="1"/>
  <c r="BC160" i="1"/>
  <c r="AD356" i="1"/>
  <c r="BA166" i="1"/>
  <c r="BB284" i="1"/>
  <c r="BC163" i="1"/>
  <c r="BB245" i="1"/>
  <c r="BC312" i="1"/>
  <c r="BC85" i="1"/>
  <c r="AD19" i="1"/>
  <c r="AD261" i="1"/>
  <c r="BC235" i="1"/>
  <c r="BB21" i="1"/>
  <c r="BD334" i="1"/>
  <c r="BE107" i="1"/>
  <c r="AD240" i="1"/>
  <c r="BE176" i="1"/>
  <c r="AD141" i="1"/>
  <c r="BE216" i="1"/>
  <c r="BE105" i="1"/>
  <c r="BA167" i="1"/>
  <c r="BE193" i="1"/>
  <c r="AD197" i="1"/>
  <c r="AD103" i="1"/>
  <c r="BA233" i="1"/>
  <c r="BC249" i="1"/>
  <c r="BE106" i="1"/>
  <c r="BB361" i="1"/>
  <c r="BC7" i="1"/>
  <c r="BE15" i="1"/>
  <c r="BE307" i="1"/>
  <c r="BC140" i="1"/>
  <c r="BB104" i="1"/>
  <c r="BA117" i="1"/>
  <c r="BD52" i="1"/>
  <c r="BD100" i="1"/>
  <c r="BA109" i="1"/>
  <c r="BB247" i="1"/>
  <c r="BE41" i="1"/>
  <c r="BA223" i="1"/>
  <c r="BB97" i="1"/>
  <c r="AD25" i="1"/>
  <c r="BE152" i="1"/>
  <c r="BC48" i="1"/>
  <c r="BC122" i="1"/>
  <c r="BE98" i="1"/>
  <c r="BB150" i="1"/>
  <c r="BA189" i="1"/>
  <c r="BD27" i="1"/>
  <c r="BA18" i="1"/>
  <c r="BA169" i="1"/>
  <c r="BD184" i="1"/>
  <c r="BD243" i="1"/>
  <c r="BE78" i="1"/>
  <c r="BB13" i="1"/>
  <c r="BC168" i="1"/>
  <c r="BD290" i="1"/>
  <c r="BC323" i="1"/>
  <c r="BA102" i="1"/>
  <c r="BC267" i="1"/>
  <c r="BC266" i="1"/>
  <c r="BE162" i="1"/>
  <c r="BC229" i="1"/>
  <c r="BA62" i="1"/>
  <c r="BA42" i="1"/>
  <c r="BC204" i="1"/>
  <c r="BE34" i="1"/>
  <c r="AD289" i="1"/>
  <c r="BE76" i="1"/>
  <c r="BB325" i="1"/>
  <c r="AD284" i="1"/>
  <c r="BA283" i="1"/>
  <c r="BC8" i="1"/>
  <c r="BA323" i="1"/>
  <c r="AD39" i="1"/>
  <c r="BC19" i="1"/>
  <c r="BC165" i="1"/>
  <c r="BE65" i="1"/>
  <c r="BE96" i="1"/>
  <c r="AD266" i="1"/>
  <c r="BB233" i="1"/>
  <c r="AD326" i="1"/>
  <c r="BD344" i="1"/>
  <c r="BD164" i="1"/>
  <c r="BA271" i="1"/>
  <c r="BD265" i="1"/>
  <c r="BC63" i="1"/>
  <c r="BB8" i="1"/>
  <c r="AD294" i="1"/>
  <c r="BD352" i="1"/>
  <c r="BC173" i="1"/>
  <c r="BA5" i="1"/>
  <c r="BC227" i="1"/>
  <c r="BD141" i="1"/>
  <c r="BE149" i="1"/>
  <c r="BA177" i="1"/>
  <c r="BE14" i="1"/>
  <c r="AD267" i="1"/>
  <c r="AD225" i="1"/>
  <c r="BE151" i="1"/>
  <c r="BC268" i="1"/>
  <c r="AD335" i="1"/>
  <c r="AD321" i="1"/>
  <c r="BB265" i="1"/>
  <c r="BE161" i="1"/>
  <c r="BB227" i="1"/>
  <c r="BD257" i="1"/>
  <c r="AD115" i="1"/>
  <c r="BD92" i="1"/>
  <c r="BD252" i="1"/>
  <c r="BA307" i="1"/>
  <c r="BC226" i="1"/>
  <c r="BC99" i="1"/>
  <c r="BD176" i="1"/>
  <c r="BB300" i="1"/>
  <c r="BA214" i="1"/>
  <c r="BA99" i="1"/>
  <c r="BD148" i="1"/>
  <c r="BC137" i="1"/>
  <c r="AD276" i="1"/>
  <c r="AD303" i="1"/>
  <c r="BB359" i="1"/>
  <c r="BA277" i="1"/>
  <c r="BD219" i="1"/>
  <c r="BC309" i="1"/>
  <c r="BC62" i="1"/>
  <c r="BC319" i="1"/>
  <c r="BC356" i="1"/>
  <c r="BC219" i="1"/>
  <c r="BA68" i="1"/>
  <c r="BE146" i="1"/>
  <c r="AD349" i="1"/>
  <c r="BB353" i="1"/>
  <c r="BC130" i="1"/>
  <c r="BD127" i="1"/>
  <c r="BC102" i="1"/>
  <c r="BE224" i="1"/>
  <c r="BA291" i="1"/>
  <c r="BC172" i="1"/>
  <c r="BD175" i="1"/>
  <c r="BE140" i="1"/>
  <c r="BA125" i="1"/>
  <c r="BD91" i="1"/>
  <c r="BD296" i="1"/>
  <c r="BD119" i="1"/>
  <c r="BA287" i="1"/>
  <c r="BB354" i="1"/>
  <c r="BC300" i="1"/>
  <c r="BE148" i="1"/>
  <c r="BC307" i="1"/>
  <c r="BE170" i="1"/>
  <c r="BC265" i="1"/>
  <c r="BD295" i="1"/>
  <c r="BA182" i="1"/>
  <c r="BB131" i="1"/>
  <c r="BD138" i="1"/>
  <c r="BB238" i="1"/>
  <c r="BA327" i="1"/>
  <c r="BE335" i="1"/>
  <c r="AD122" i="1"/>
  <c r="BE296" i="1"/>
  <c r="BD253" i="1"/>
  <c r="BB251" i="1"/>
  <c r="BD271" i="1"/>
  <c r="BA348" i="1"/>
  <c r="AD295" i="1"/>
  <c r="BE129" i="1"/>
  <c r="BB25" i="1"/>
  <c r="BE309" i="1"/>
  <c r="BB154" i="1"/>
  <c r="BD269" i="1"/>
  <c r="BA256" i="1"/>
  <c r="BC285" i="1"/>
  <c r="AD291" i="1"/>
  <c r="AD175" i="1"/>
  <c r="BD211" i="1"/>
  <c r="BC98" i="1"/>
  <c r="BB319" i="1"/>
  <c r="BD130" i="1"/>
  <c r="BE355" i="1"/>
  <c r="BB342" i="1"/>
  <c r="BB53" i="1"/>
  <c r="BB52" i="1"/>
  <c r="BA19" i="1"/>
  <c r="BE11" i="1"/>
  <c r="BD93" i="1"/>
  <c r="BD278" i="1"/>
  <c r="BA114" i="1"/>
  <c r="BB31" i="1"/>
  <c r="BE283" i="1"/>
  <c r="BC23" i="1"/>
  <c r="BE276" i="1"/>
  <c r="BC193" i="1"/>
  <c r="AD136" i="1"/>
  <c r="AD169" i="1"/>
  <c r="AD288" i="1"/>
  <c r="BB191" i="1"/>
  <c r="AD184" i="1"/>
  <c r="BC57" i="1"/>
  <c r="BC188" i="1"/>
  <c r="BD305" i="1"/>
  <c r="BB223" i="1"/>
  <c r="BD7" i="1"/>
  <c r="BA268" i="1"/>
  <c r="BD25" i="1"/>
  <c r="BB108" i="1"/>
  <c r="BD216" i="1"/>
  <c r="BA147" i="1"/>
  <c r="BC200" i="1"/>
  <c r="BE255" i="1"/>
  <c r="AD87" i="1"/>
  <c r="BD18" i="1"/>
  <c r="AD287" i="1"/>
  <c r="AD296" i="1"/>
  <c r="BD312" i="1"/>
  <c r="BC228" i="1"/>
  <c r="BD258" i="1"/>
  <c r="BB170" i="1"/>
  <c r="BA352" i="1"/>
  <c r="AD245" i="1"/>
  <c r="BC345" i="1"/>
  <c r="BC340" i="1"/>
  <c r="AD161" i="1"/>
  <c r="AD61" i="1"/>
  <c r="BE258" i="1"/>
  <c r="BA41" i="1"/>
  <c r="BD182" i="1"/>
  <c r="BC191" i="1"/>
  <c r="BE334" i="1"/>
  <c r="BC162" i="1"/>
  <c r="BC41" i="1"/>
  <c r="BD61" i="1"/>
  <c r="BC166" i="1"/>
  <c r="BB268" i="1"/>
  <c r="BD20" i="1"/>
  <c r="BA247" i="1"/>
  <c r="BC337" i="1"/>
  <c r="BA168" i="1"/>
  <c r="AD272" i="1"/>
  <c r="BB271" i="1"/>
  <c r="BD350" i="1"/>
  <c r="AD12" i="1"/>
  <c r="BA149" i="1"/>
  <c r="BC217" i="1"/>
  <c r="BA250" i="1"/>
  <c r="BD238" i="1"/>
  <c r="BE179" i="1"/>
  <c r="BC38" i="1"/>
  <c r="BA240" i="1"/>
  <c r="BB69" i="1"/>
  <c r="BD62" i="1"/>
  <c r="AD120" i="1"/>
  <c r="BA124" i="1"/>
  <c r="BB35" i="1"/>
  <c r="BB93" i="1"/>
  <c r="BD264" i="1"/>
  <c r="AD91" i="1"/>
  <c r="BA158" i="1"/>
  <c r="BA73" i="1"/>
  <c r="BB192" i="1"/>
  <c r="AD204" i="1"/>
  <c r="BD197" i="1"/>
  <c r="BA201" i="1"/>
  <c r="BD39" i="1"/>
  <c r="BB327" i="1"/>
  <c r="BD261" i="1"/>
  <c r="BC143" i="1"/>
  <c r="BD288" i="1"/>
  <c r="BE83" i="1"/>
  <c r="AD13" i="1"/>
  <c r="BA313" i="1"/>
  <c r="BC182" i="1"/>
  <c r="BE18" i="1"/>
  <c r="BD116" i="1"/>
  <c r="AD192" i="1"/>
  <c r="BA107" i="1"/>
  <c r="BD346" i="1"/>
  <c r="BE84" i="1"/>
  <c r="BD268" i="1"/>
  <c r="BB267" i="1"/>
  <c r="BC242" i="1"/>
  <c r="BB333" i="1"/>
  <c r="BD36" i="1"/>
  <c r="BD172" i="1"/>
  <c r="BC348" i="1"/>
  <c r="AD4" i="1"/>
  <c r="BA11" i="1"/>
  <c r="BE74" i="1"/>
  <c r="BB126" i="1"/>
  <c r="BA54" i="1"/>
  <c r="BA100" i="1"/>
  <c r="BB92" i="1"/>
  <c r="AD100" i="1"/>
  <c r="BE93" i="1"/>
  <c r="AD265" i="1"/>
  <c r="BD13" i="1"/>
  <c r="BD38" i="1"/>
  <c r="BE155" i="1"/>
  <c r="BA163" i="1"/>
  <c r="BE220" i="1"/>
  <c r="BD171" i="1"/>
  <c r="AD178" i="1"/>
  <c r="BD249" i="1"/>
  <c r="BD44" i="1"/>
  <c r="BB26" i="1"/>
  <c r="BC167" i="1"/>
  <c r="BB123" i="1"/>
  <c r="BC136" i="1"/>
  <c r="BC293" i="1"/>
  <c r="BA185" i="1"/>
  <c r="AD330" i="1"/>
  <c r="BD5" i="1"/>
  <c r="BC279" i="1"/>
  <c r="BE168" i="1"/>
  <c r="BC53" i="1"/>
  <c r="AD114" i="1"/>
  <c r="BA293" i="1"/>
  <c r="BE240" i="1"/>
  <c r="AD260" i="1"/>
  <c r="BB30" i="1"/>
  <c r="BD351" i="1"/>
  <c r="BC125" i="1"/>
  <c r="BC87" i="1"/>
  <c r="BE180" i="1"/>
  <c r="BD244" i="1"/>
  <c r="BA40" i="1"/>
  <c r="AD152" i="1"/>
  <c r="BA345" i="1"/>
  <c r="AD239" i="1"/>
  <c r="BA349" i="1"/>
  <c r="BC30" i="1"/>
  <c r="BC183" i="1"/>
  <c r="BB237" i="1"/>
  <c r="BA13" i="1"/>
  <c r="BB255" i="1"/>
  <c r="BB59" i="1"/>
  <c r="BD113" i="1"/>
  <c r="BA53" i="1"/>
  <c r="AD355" i="1"/>
  <c r="AD132" i="1"/>
  <c r="BA232" i="1"/>
  <c r="AD60" i="1"/>
  <c r="BA286" i="1"/>
  <c r="BA63" i="1"/>
  <c r="BD234" i="1"/>
  <c r="BC328" i="1"/>
  <c r="AD318" i="1"/>
  <c r="AD241" i="1"/>
  <c r="AD191" i="1"/>
  <c r="BB362" i="1"/>
  <c r="BD180" i="1"/>
  <c r="BC61" i="1"/>
  <c r="BB211" i="1"/>
  <c r="BD272" i="1"/>
  <c r="BA350" i="1"/>
  <c r="AD179" i="1"/>
  <c r="BE19" i="1"/>
  <c r="BC284" i="1"/>
  <c r="AD290" i="1"/>
  <c r="BE32" i="1"/>
  <c r="AD317" i="1"/>
  <c r="BC255" i="1"/>
  <c r="BE85" i="1"/>
  <c r="AD347" i="1"/>
  <c r="BE252" i="1"/>
  <c r="BC114" i="1"/>
  <c r="BB324" i="1"/>
  <c r="BA308" i="1"/>
  <c r="BE58" i="1"/>
  <c r="BE117" i="1"/>
  <c r="AD153" i="1"/>
  <c r="BA237" i="1"/>
  <c r="BB76" i="1"/>
  <c r="BE45" i="1"/>
  <c r="BC352" i="1"/>
  <c r="BD132" i="1"/>
  <c r="BC75" i="1"/>
  <c r="BE187" i="1"/>
  <c r="BA359" i="1"/>
  <c r="BD33" i="1"/>
  <c r="BC37" i="1"/>
  <c r="BA111" i="1"/>
  <c r="BA342" i="1"/>
  <c r="BE134" i="1"/>
  <c r="BA71" i="1"/>
  <c r="BA315" i="1"/>
  <c r="AD234" i="1"/>
  <c r="BD68" i="1"/>
  <c r="BD292" i="1"/>
  <c r="BA32" i="1"/>
  <c r="AD250" i="1"/>
  <c r="BC69" i="1"/>
  <c r="BD137" i="1"/>
  <c r="AD67" i="1"/>
  <c r="AD157" i="1"/>
  <c r="BC104" i="1"/>
  <c r="BD335" i="1"/>
  <c r="BA196" i="1"/>
  <c r="BD64" i="1"/>
  <c r="BE165" i="1"/>
  <c r="AD104" i="1"/>
  <c r="BD361" i="1"/>
  <c r="BE228" i="1"/>
  <c r="BB199" i="1"/>
  <c r="BB330" i="1"/>
  <c r="BC230" i="1"/>
  <c r="BC138" i="1"/>
  <c r="BE205" i="1"/>
  <c r="BB81" i="1"/>
  <c r="BB287" i="1"/>
  <c r="BC214" i="1"/>
  <c r="BE94" i="1"/>
  <c r="BB317" i="1"/>
  <c r="AD55" i="1"/>
  <c r="BC156" i="1"/>
  <c r="BD241" i="1"/>
  <c r="AD193" i="1"/>
  <c r="BD286" i="1"/>
  <c r="BE38" i="1"/>
  <c r="AD35" i="1"/>
  <c r="BD218" i="1"/>
  <c r="BD237" i="1"/>
  <c r="AD360" i="1"/>
  <c r="BB293" i="1"/>
  <c r="BB256" i="1"/>
  <c r="AD68" i="1"/>
  <c r="BD282" i="1"/>
  <c r="BE167" i="1"/>
  <c r="BC216" i="1"/>
  <c r="AD229" i="1"/>
  <c r="BB203" i="1"/>
  <c r="AD279" i="1"/>
  <c r="BC296" i="1"/>
  <c r="BD59" i="1"/>
  <c r="BB38" i="1"/>
  <c r="BA285" i="1"/>
  <c r="BD107" i="1"/>
  <c r="BE89" i="1"/>
  <c r="BE243" i="1"/>
  <c r="BC103" i="1"/>
  <c r="BA70" i="1"/>
  <c r="BA151" i="1"/>
  <c r="BB37" i="1"/>
  <c r="BB51" i="1"/>
  <c r="BA74" i="1"/>
  <c r="BC106" i="1"/>
  <c r="BD77" i="1"/>
  <c r="BB329" i="1"/>
  <c r="AD214" i="1"/>
  <c r="BE345" i="1"/>
  <c r="BD47" i="1"/>
  <c r="BB189" i="1"/>
  <c r="BE29" i="1"/>
  <c r="BE230" i="1"/>
  <c r="AD209" i="1"/>
  <c r="BE218" i="1"/>
  <c r="BB202" i="1"/>
  <c r="BD156" i="1"/>
  <c r="BB231" i="1"/>
  <c r="BD163" i="1"/>
  <c r="BC299" i="1"/>
  <c r="BE4" i="1"/>
  <c r="BE304" i="1"/>
  <c r="BA204" i="1"/>
  <c r="BC145" i="1"/>
  <c r="BB221" i="1"/>
  <c r="BB161" i="1"/>
  <c r="AD188" i="1"/>
  <c r="BE87" i="1"/>
  <c r="BC261" i="1"/>
  <c r="BB195" i="1"/>
  <c r="BD150" i="1"/>
  <c r="BB328" i="1"/>
  <c r="BE49" i="1"/>
  <c r="BB244" i="1"/>
  <c r="AD46" i="1"/>
  <c r="AD278" i="1"/>
  <c r="BC233" i="1"/>
  <c r="BC76" i="1"/>
  <c r="BB183" i="1"/>
  <c r="BA112" i="1"/>
  <c r="BD140" i="1"/>
  <c r="AD110" i="1"/>
  <c r="BC116" i="1"/>
  <c r="BD9" i="1"/>
  <c r="AD84" i="1"/>
  <c r="AD135" i="1"/>
  <c r="BB73" i="1"/>
  <c r="AD171" i="1"/>
  <c r="BA81" i="1"/>
  <c r="AD48" i="1"/>
  <c r="BD355" i="1"/>
  <c r="BA255" i="1"/>
  <c r="AD331" i="1"/>
  <c r="BB285" i="1"/>
  <c r="BB105" i="1"/>
  <c r="BB107" i="1"/>
  <c r="BD233" i="1"/>
  <c r="AD57" i="1"/>
  <c r="AD44" i="1"/>
  <c r="AD285" i="1"/>
  <c r="BA309" i="1"/>
  <c r="BB301" i="1"/>
  <c r="BE35" i="1"/>
  <c r="BD49" i="1"/>
  <c r="BC39" i="1"/>
  <c r="BA273" i="1"/>
  <c r="BC64" i="1"/>
  <c r="AD11" i="1"/>
  <c r="BE99" i="1"/>
  <c r="BD151" i="1"/>
  <c r="BD56" i="1"/>
  <c r="AD235" i="1"/>
  <c r="AD85" i="1"/>
  <c r="BD339" i="1"/>
  <c r="BB118" i="1"/>
  <c r="BE166" i="1"/>
  <c r="BB188" i="1"/>
  <c r="BE341" i="1"/>
  <c r="BB49" i="1"/>
  <c r="AD198" i="1"/>
  <c r="BB87" i="1"/>
  <c r="BB140" i="1"/>
  <c r="BA86" i="1"/>
  <c r="BE177" i="1"/>
  <c r="BE147" i="1"/>
  <c r="BC358" i="1"/>
  <c r="BC152" i="1"/>
  <c r="BC149" i="1"/>
  <c r="BD24" i="1"/>
  <c r="AD251" i="1"/>
  <c r="BC247" i="1"/>
  <c r="BB89" i="1"/>
  <c r="BD129" i="1"/>
  <c r="BB32" i="1"/>
  <c r="BC89" i="1"/>
  <c r="BB257" i="1"/>
  <c r="AD348" i="1"/>
  <c r="BA347" i="1"/>
  <c r="BA38" i="1"/>
  <c r="BD10" i="1"/>
  <c r="BA257" i="1"/>
  <c r="BA332" i="1"/>
  <c r="BD340" i="1"/>
  <c r="BA222" i="1"/>
  <c r="BB16" i="1"/>
  <c r="BA186" i="1"/>
  <c r="BC349" i="1"/>
  <c r="BC273" i="1"/>
  <c r="BD330" i="1"/>
  <c r="BB314" i="1"/>
  <c r="BC9" i="1"/>
  <c r="BC294" i="1"/>
  <c r="BC144" i="1"/>
  <c r="BA126" i="1"/>
  <c r="BE133" i="1"/>
  <c r="BD248" i="1"/>
  <c r="AD293" i="1"/>
  <c r="BC347" i="1"/>
  <c r="BD256" i="1"/>
  <c r="AD270" i="1"/>
  <c r="BE347" i="1"/>
  <c r="BB110" i="1"/>
  <c r="BA326" i="1"/>
  <c r="BD60" i="1"/>
  <c r="AD362" i="1"/>
  <c r="BC108" i="1"/>
  <c r="AD232" i="1"/>
  <c r="BC246" i="1"/>
  <c r="BC236" i="1"/>
  <c r="BC88" i="1"/>
  <c r="BC115" i="1"/>
  <c r="BE269" i="1"/>
  <c r="BA134" i="1"/>
  <c r="AD228" i="1"/>
  <c r="BE114" i="1"/>
  <c r="BE191" i="1"/>
  <c r="BE263" i="1"/>
  <c r="AD215" i="1"/>
  <c r="AD221" i="1"/>
  <c r="BD166" i="1"/>
  <c r="BE135" i="1"/>
  <c r="BA94" i="1"/>
  <c r="BB345" i="1"/>
  <c r="BB9" i="1"/>
  <c r="AD262" i="1"/>
  <c r="BB338" i="1"/>
  <c r="BA227" i="1"/>
  <c r="BB316" i="1"/>
  <c r="BC264" i="1"/>
  <c r="BC202" i="1"/>
  <c r="BE321" i="1"/>
  <c r="BB78" i="1"/>
  <c r="BB127" i="1"/>
  <c r="BD134" i="1"/>
  <c r="BE27" i="1"/>
  <c r="BC110" i="1"/>
  <c r="AD344" i="1"/>
  <c r="BC336" i="1"/>
  <c r="BA296" i="1"/>
  <c r="AD322" i="1"/>
  <c r="AD185" i="1"/>
  <c r="BC281" i="1"/>
  <c r="BB196" i="1"/>
  <c r="BE286" i="1"/>
  <c r="AD95" i="1"/>
  <c r="BE71" i="1"/>
  <c r="BD231" i="1"/>
  <c r="BA340" i="1"/>
  <c r="AD304" i="1"/>
  <c r="BA202" i="1"/>
  <c r="AD37" i="1"/>
  <c r="BB312" i="1"/>
  <c r="BA245" i="1"/>
  <c r="AD275" i="1"/>
  <c r="BE208" i="1"/>
  <c r="BB65" i="1"/>
  <c r="BA314" i="1"/>
  <c r="BE229" i="1"/>
  <c r="BA295" i="1"/>
  <c r="AD182" i="1"/>
  <c r="BD363" i="1"/>
  <c r="BA198" i="1"/>
  <c r="AD301" i="1"/>
  <c r="BE363" i="1"/>
  <c r="BA156" i="1"/>
  <c r="AD172" i="1"/>
  <c r="AD203" i="1"/>
  <c r="BA239" i="1"/>
  <c r="AD162" i="1"/>
  <c r="AD51" i="1"/>
  <c r="BC51" i="1"/>
  <c r="BD169" i="1"/>
  <c r="BE90" i="1"/>
  <c r="AD70" i="1"/>
  <c r="BE30" i="1"/>
  <c r="BA180" i="1"/>
  <c r="BD321" i="1"/>
  <c r="BB166" i="1"/>
  <c r="BB61" i="1"/>
  <c r="BE295" i="1"/>
  <c r="BC26" i="1"/>
  <c r="AD186" i="1"/>
  <c r="BB356" i="1"/>
  <c r="BE131" i="1"/>
  <c r="BA351" i="1"/>
  <c r="BB304" i="1"/>
  <c r="BE278" i="1"/>
  <c r="BC305" i="1"/>
  <c r="BB101" i="1"/>
  <c r="AD277" i="1"/>
  <c r="BD123" i="1"/>
  <c r="BD262" i="1"/>
  <c r="BC18" i="1"/>
  <c r="BE315" i="1"/>
  <c r="BA334" i="1"/>
  <c r="BA242" i="1"/>
  <c r="BA90" i="1"/>
  <c r="BE163" i="1"/>
  <c r="BC209" i="1"/>
  <c r="BA87" i="1"/>
  <c r="BE312" i="1"/>
  <c r="BA226" i="1"/>
  <c r="BA35" i="1"/>
  <c r="BC316" i="1"/>
  <c r="AD52" i="1"/>
  <c r="BB158" i="1"/>
  <c r="BC208" i="1"/>
  <c r="BD167" i="1"/>
  <c r="BE213" i="1"/>
  <c r="BC54" i="1"/>
  <c r="BE237" i="1"/>
  <c r="BA339" i="1"/>
  <c r="BD125" i="1"/>
  <c r="BC31" i="1"/>
  <c r="BA235" i="1"/>
  <c r="AD268" i="1"/>
  <c r="BA216" i="1"/>
  <c r="BD185" i="1"/>
  <c r="AD339" i="1"/>
  <c r="BE303" i="1"/>
  <c r="BC277" i="1"/>
  <c r="AD6" i="1"/>
  <c r="AD76" i="1"/>
  <c r="BC79" i="1"/>
  <c r="BC272" i="1"/>
  <c r="BD94" i="1"/>
  <c r="BA155" i="1"/>
  <c r="BC360" i="1"/>
  <c r="BE211" i="1"/>
  <c r="BE270" i="1"/>
  <c r="BA43" i="1"/>
  <c r="AD143" i="1"/>
  <c r="BC71" i="1"/>
  <c r="BB294" i="1"/>
  <c r="BD236" i="1"/>
  <c r="BE305" i="1"/>
  <c r="BB216" i="1"/>
  <c r="BC72" i="1"/>
  <c r="BB72" i="1"/>
  <c r="BC238" i="1"/>
  <c r="BB240" i="1"/>
  <c r="BD147" i="1"/>
  <c r="BB262" i="1"/>
  <c r="BC361" i="1"/>
  <c r="BB164" i="1"/>
  <c r="BD273" i="1"/>
  <c r="BD274" i="1"/>
  <c r="BB120" i="1"/>
  <c r="BD325" i="1"/>
  <c r="BB106" i="1"/>
  <c r="BD279" i="1"/>
  <c r="BD358" i="1"/>
  <c r="BD71" i="1"/>
  <c r="BA274" i="1"/>
  <c r="BA241" i="1"/>
  <c r="BD215" i="1"/>
  <c r="BA244" i="1"/>
  <c r="BC290" i="1"/>
  <c r="BD11" i="1"/>
  <c r="BA55" i="1"/>
  <c r="AD222" i="1"/>
  <c r="BB311" i="1"/>
  <c r="BA344" i="1"/>
  <c r="BC25" i="1"/>
  <c r="AD199" i="1"/>
  <c r="BC107" i="1"/>
  <c r="AD146" i="1"/>
  <c r="BC303" i="1"/>
  <c r="BE209" i="1"/>
  <c r="BD187" i="1"/>
  <c r="BD35" i="1"/>
  <c r="BB83" i="1"/>
  <c r="BD276" i="1"/>
  <c r="BC241" i="1"/>
  <c r="BE173" i="1"/>
  <c r="BA128" i="1"/>
  <c r="AD17" i="1"/>
  <c r="BD202" i="1"/>
  <c r="BB248" i="1"/>
  <c r="BB42" i="1"/>
  <c r="BE132" i="1"/>
  <c r="BD343" i="1"/>
  <c r="BB128" i="1"/>
  <c r="AD90" i="1"/>
  <c r="BA219" i="1"/>
  <c r="BC6" i="1"/>
  <c r="BB341" i="1"/>
  <c r="BE268" i="1"/>
  <c r="AD30" i="1"/>
  <c r="BC207" i="1"/>
  <c r="BC346" i="1"/>
  <c r="BD323" i="1"/>
  <c r="BA105" i="1"/>
  <c r="BA215" i="1"/>
  <c r="BD354" i="1"/>
  <c r="BD309" i="1"/>
  <c r="BC274" i="1"/>
  <c r="BB201" i="1"/>
  <c r="BC47" i="1"/>
  <c r="BE348" i="1"/>
  <c r="BB74" i="1"/>
  <c r="AD113" i="1"/>
  <c r="AD18" i="1"/>
  <c r="BD21" i="1"/>
  <c r="BC212" i="1"/>
  <c r="BA46" i="1"/>
  <c r="BB67" i="1"/>
  <c r="BC49" i="1"/>
  <c r="BB239" i="1"/>
  <c r="BB77" i="1"/>
  <c r="BB340" i="1"/>
  <c r="BD67" i="1"/>
  <c r="BC36" i="1"/>
  <c r="BB232" i="1"/>
  <c r="BB22" i="1"/>
  <c r="BB102" i="1"/>
  <c r="AD249" i="1"/>
  <c r="BC252" i="1"/>
  <c r="BB278" i="1"/>
  <c r="BC177" i="1"/>
  <c r="BE361" i="1"/>
  <c r="BE288" i="1"/>
  <c r="AD116" i="1"/>
  <c r="AD256" i="1"/>
  <c r="BB181" i="1"/>
  <c r="AD352" i="1"/>
  <c r="BB282" i="1"/>
  <c r="BA194" i="1"/>
  <c r="BD200" i="1"/>
  <c r="AD332" i="1"/>
  <c r="BE185" i="1"/>
  <c r="AD336" i="1"/>
  <c r="BE36" i="1"/>
  <c r="BA199" i="1"/>
  <c r="AD354" i="1"/>
  <c r="BB165" i="1"/>
  <c r="BA138" i="1"/>
  <c r="AD58" i="1"/>
  <c r="BE103" i="1"/>
  <c r="BA165" i="1"/>
  <c r="BC231" i="1"/>
  <c r="BE21" i="1"/>
  <c r="BE352" i="1"/>
  <c r="BE189" i="1"/>
  <c r="BA131" i="1"/>
  <c r="BD22" i="1"/>
  <c r="BC311" i="1"/>
  <c r="BE100" i="1"/>
  <c r="BC302" i="1"/>
  <c r="BA98" i="1"/>
  <c r="BD250" i="1"/>
  <c r="AD255" i="1"/>
  <c r="BD289" i="1"/>
  <c r="BE124" i="1"/>
  <c r="BE66" i="1"/>
  <c r="BD173" i="1"/>
  <c r="BE200" i="1"/>
  <c r="BD308" i="1"/>
  <c r="BC91" i="1"/>
  <c r="BD359" i="1"/>
  <c r="BE311" i="1"/>
  <c r="AD29" i="1"/>
  <c r="BD189" i="1"/>
  <c r="AD217" i="1"/>
  <c r="BA333" i="1"/>
  <c r="BB320" i="1"/>
  <c r="AD99" i="1"/>
  <c r="BE203" i="1"/>
  <c r="BC33" i="1"/>
  <c r="BA66" i="1"/>
  <c r="BD78" i="1"/>
  <c r="BE137" i="1"/>
  <c r="BA174" i="1"/>
  <c r="BE57" i="1"/>
  <c r="BD247" i="1"/>
  <c r="BB263" i="1"/>
  <c r="BA276" i="1"/>
  <c r="BA190" i="1"/>
  <c r="BA17" i="1"/>
  <c r="AD77" i="1"/>
  <c r="BD331" i="1"/>
  <c r="AD259" i="1"/>
  <c r="BC313" i="1"/>
  <c r="BB213" i="1"/>
  <c r="BC286" i="1"/>
  <c r="BB133" i="1"/>
  <c r="BE233" i="1"/>
  <c r="BC363" i="1"/>
  <c r="BB288" i="1"/>
  <c r="BD178" i="1"/>
  <c r="BA338" i="1"/>
  <c r="AD233" i="1"/>
  <c r="AD305" i="1"/>
  <c r="AD334" i="1"/>
  <c r="AD150" i="1"/>
  <c r="BD168" i="1"/>
  <c r="BE306" i="1"/>
  <c r="BC350" i="1"/>
  <c r="BE325" i="1"/>
  <c r="BC232" i="1"/>
  <c r="BC158" i="1"/>
  <c r="BB143" i="1"/>
  <c r="BA59" i="1"/>
  <c r="BD29" i="1"/>
  <c r="BD143" i="1"/>
  <c r="BE265" i="1"/>
  <c r="BB270" i="1"/>
  <c r="BC126" i="1"/>
  <c r="BC245" i="1"/>
  <c r="BA331" i="1"/>
  <c r="AD97" i="1"/>
  <c r="BA173" i="1"/>
  <c r="BB355" i="1"/>
  <c r="BC157" i="1"/>
  <c r="BA224" i="1"/>
  <c r="BA146" i="1"/>
  <c r="BD230" i="1"/>
  <c r="BC151" i="1"/>
  <c r="BA362" i="1"/>
  <c r="BE56" i="1"/>
  <c r="BB259" i="1"/>
  <c r="AD32" i="1"/>
  <c r="BD136" i="1"/>
  <c r="AD24" i="1"/>
  <c r="BE153" i="1"/>
  <c r="BB289" i="1"/>
  <c r="BD96" i="1"/>
  <c r="BB322" i="1"/>
  <c r="BC262" i="1"/>
  <c r="BE285" i="1"/>
  <c r="BE254" i="1"/>
  <c r="BB234" i="1"/>
  <c r="BE53" i="1"/>
  <c r="BB344" i="1"/>
  <c r="BE319" i="1"/>
  <c r="BA89" i="1"/>
  <c r="BE184" i="1"/>
  <c r="BD348" i="1"/>
  <c r="BB121" i="1"/>
  <c r="BE317" i="1"/>
  <c r="BE271" i="1"/>
  <c r="BA141" i="1"/>
  <c r="BE313" i="1"/>
  <c r="BA123" i="1"/>
  <c r="AD82" i="1"/>
  <c r="BB151" i="1"/>
  <c r="BA205" i="1"/>
  <c r="BC16" i="1"/>
  <c r="BA210" i="1"/>
  <c r="BC287" i="1"/>
  <c r="BE42" i="1"/>
  <c r="AD41" i="1"/>
  <c r="BC184" i="1"/>
  <c r="AD252" i="1"/>
  <c r="BC315" i="1"/>
  <c r="BC243" i="1"/>
  <c r="BB334" i="1"/>
  <c r="BD73" i="1"/>
  <c r="BB23" i="1"/>
  <c r="BA148" i="1"/>
  <c r="BE26" i="1"/>
  <c r="BD158" i="1"/>
  <c r="BE257" i="1"/>
  <c r="BE351" i="1"/>
  <c r="BB305" i="1"/>
  <c r="BA246" i="1"/>
  <c r="BA358" i="1"/>
  <c r="BC127" i="1"/>
  <c r="BA144" i="1"/>
  <c r="AD350" i="1"/>
  <c r="BB98" i="1"/>
  <c r="BC343" i="1"/>
  <c r="BB321" i="1"/>
  <c r="BC220" i="1"/>
  <c r="BC248" i="1"/>
  <c r="BB112" i="1"/>
  <c r="BD97" i="1"/>
  <c r="BE318" i="1"/>
  <c r="BA217" i="1"/>
  <c r="BD51" i="1"/>
  <c r="BA317" i="1"/>
  <c r="BA78" i="1"/>
  <c r="BB99" i="1"/>
  <c r="AD165" i="1"/>
  <c r="BA122" i="1"/>
  <c r="BB162" i="1"/>
  <c r="AD300" i="1"/>
  <c r="AD102" i="1"/>
  <c r="BE37" i="1"/>
  <c r="BD139" i="1"/>
  <c r="BA267" i="1"/>
  <c r="BC34" i="1"/>
  <c r="BE323" i="1"/>
  <c r="BC222" i="1"/>
  <c r="BA208" i="1"/>
  <c r="BA280" i="1"/>
  <c r="BC205" i="1"/>
  <c r="BD85" i="1"/>
  <c r="AD9" i="1"/>
  <c r="AD16" i="1"/>
  <c r="BA231" i="1"/>
  <c r="BE256" i="1"/>
  <c r="BB125" i="1"/>
  <c r="BD194" i="1"/>
  <c r="BD50" i="1"/>
  <c r="AD314" i="1"/>
  <c r="BD54" i="1"/>
  <c r="BE322" i="1"/>
  <c r="BD131" i="1"/>
  <c r="BB224" i="1"/>
  <c r="AD10" i="1"/>
  <c r="BD66" i="1"/>
  <c r="BA175" i="1"/>
  <c r="BA236" i="1"/>
  <c r="BC14" i="1"/>
  <c r="BE23" i="1"/>
  <c r="BB323" i="1"/>
  <c r="BA4" i="1"/>
  <c r="BC175" i="1"/>
  <c r="BE360" i="1"/>
  <c r="BC170" i="1"/>
  <c r="BB96" i="1"/>
  <c r="BE22" i="1"/>
  <c r="BE329" i="1"/>
  <c r="BB91" i="1"/>
  <c r="BE12" i="1"/>
  <c r="BE159" i="1"/>
  <c r="BD217" i="1"/>
  <c r="BD297" i="1"/>
  <c r="AD280" i="1"/>
  <c r="BD270" i="1"/>
  <c r="AD42" i="1"/>
  <c r="BA297" i="1"/>
  <c r="BA206" i="1"/>
  <c r="AD131" i="1"/>
  <c r="AD127" i="1"/>
  <c r="BB145" i="1"/>
  <c r="BD300" i="1"/>
  <c r="BE308" i="1"/>
  <c r="BA329" i="1"/>
  <c r="BC189" i="1"/>
  <c r="BC105" i="1"/>
  <c r="AD8" i="1"/>
  <c r="BC355" i="1"/>
  <c r="BB218" i="1"/>
  <c r="BA121" i="1"/>
  <c r="BC22" i="1"/>
  <c r="BB190" i="1"/>
  <c r="BE70" i="1"/>
  <c r="BA203" i="1"/>
  <c r="AD107" i="1"/>
  <c r="BB172" i="1"/>
  <c r="BD347" i="1"/>
  <c r="BB20" i="1"/>
  <c r="BC80" i="1"/>
  <c r="BD235" i="1"/>
  <c r="BE202" i="1"/>
  <c r="BE154" i="1"/>
  <c r="AD92" i="1"/>
  <c r="BD260" i="1"/>
  <c r="BB167" i="1"/>
  <c r="BB174" i="1"/>
  <c r="BE8" i="1"/>
  <c r="BC118" i="1"/>
  <c r="BA65" i="1"/>
  <c r="BC35" i="1"/>
  <c r="BC354" i="1"/>
  <c r="BE242" i="1"/>
  <c r="BD227" i="1"/>
  <c r="BB115" i="1"/>
  <c r="BA234" i="1"/>
  <c r="BB27" i="1"/>
  <c r="BB147" i="1"/>
  <c r="AD23" i="1"/>
  <c r="BD43" i="1"/>
  <c r="BC58" i="1"/>
  <c r="AD298" i="1"/>
  <c r="BC84" i="1"/>
  <c r="BD146" i="1"/>
  <c r="BC326" i="1"/>
  <c r="BE279" i="1"/>
  <c r="BB62" i="1"/>
  <c r="BB295" i="1"/>
  <c r="AD258" i="1"/>
  <c r="BC46" i="1"/>
  <c r="BA76" i="1"/>
  <c r="BD74" i="1"/>
  <c r="BD115" i="1"/>
  <c r="BE108" i="1"/>
  <c r="BB281" i="1"/>
  <c r="BA52" i="1"/>
  <c r="BA29" i="1"/>
  <c r="BE5" i="1"/>
  <c r="BD161" i="1"/>
  <c r="AD72" i="1"/>
  <c r="BD357" i="1"/>
  <c r="BB180" i="1"/>
  <c r="BD104" i="1"/>
  <c r="BB168" i="1"/>
  <c r="BE226" i="1"/>
  <c r="BE223" i="1"/>
  <c r="BB352" i="1"/>
  <c r="BB152" i="1"/>
  <c r="BB157" i="1"/>
  <c r="BB179" i="1"/>
  <c r="BC260" i="1"/>
  <c r="BA300" i="1"/>
  <c r="AD311" i="1"/>
  <c r="AD108" i="1"/>
  <c r="BD154" i="1"/>
  <c r="BC289" i="1"/>
  <c r="BD118" i="1"/>
  <c r="AD309" i="1"/>
  <c r="BE272" i="1"/>
  <c r="AD359" i="1"/>
  <c r="BB275" i="1"/>
  <c r="BC259" i="1"/>
  <c r="AD224" i="1"/>
  <c r="BD133" i="1"/>
  <c r="BE145" i="1"/>
  <c r="BB144" i="1"/>
  <c r="AD227" i="1"/>
  <c r="BD126" i="1"/>
  <c r="BE186" i="1"/>
  <c r="BD145" i="1"/>
  <c r="BB39" i="1"/>
  <c r="BD193" i="1"/>
  <c r="BA212" i="1"/>
  <c r="BD266" i="1"/>
  <c r="BB169" i="1"/>
  <c r="BA129" i="1"/>
  <c r="AD33" i="1"/>
  <c r="BA116" i="1"/>
  <c r="BC194" i="1"/>
  <c r="BE91" i="1"/>
  <c r="BD251" i="1"/>
  <c r="BD90" i="1"/>
  <c r="BA187" i="1"/>
  <c r="BA64" i="1"/>
  <c r="BA361" i="1"/>
  <c r="AD174" i="1"/>
  <c r="BA325" i="1"/>
  <c r="AD43" i="1"/>
  <c r="BA260" i="1"/>
  <c r="BB153" i="1"/>
  <c r="BE292" i="1"/>
  <c r="BB209" i="1"/>
  <c r="BD15" i="1"/>
  <c r="BB273" i="1"/>
  <c r="BB194" i="1"/>
  <c r="BA254" i="1"/>
  <c r="BA312" i="1"/>
  <c r="BA218" i="1"/>
  <c r="BE289" i="1"/>
  <c r="BA270" i="1"/>
  <c r="BC77" i="1"/>
  <c r="BA162" i="1"/>
  <c r="BD57" i="1"/>
  <c r="BA142" i="1"/>
  <c r="AD247" i="1"/>
  <c r="BA229" i="1"/>
  <c r="BA93" i="1"/>
  <c r="BA253" i="1"/>
  <c r="BC4" i="1"/>
  <c r="BA118" i="1"/>
  <c r="BB235" i="1"/>
  <c r="BA341" i="1"/>
  <c r="BE122" i="1"/>
  <c r="BC176" i="1"/>
  <c r="BC24" i="1"/>
  <c r="BE239" i="1"/>
  <c r="BB156" i="1"/>
  <c r="BB230" i="1"/>
  <c r="BB217" i="1"/>
  <c r="BC129" i="1"/>
  <c r="BB250" i="1"/>
  <c r="BB95" i="1"/>
  <c r="BD239" i="1"/>
  <c r="AD340" i="1"/>
  <c r="BA211" i="1"/>
  <c r="BB44" i="1"/>
  <c r="AD345" i="1"/>
  <c r="AD123" i="1"/>
  <c r="BA82" i="1"/>
  <c r="AD166" i="1"/>
  <c r="AD89" i="1"/>
  <c r="BC234" i="1"/>
  <c r="AD297" i="1"/>
  <c r="BC215" i="1"/>
  <c r="BE207" i="1"/>
  <c r="AD210" i="1"/>
  <c r="AD137" i="1"/>
  <c r="BB119" i="1"/>
  <c r="BD349" i="1"/>
  <c r="AD112" i="1"/>
  <c r="BA110" i="1"/>
  <c r="AD88" i="1"/>
  <c r="BC359" i="1"/>
  <c r="BD84" i="1"/>
  <c r="BE340" i="1"/>
  <c r="BA127" i="1"/>
  <c r="BC253" i="1"/>
  <c r="BD195" i="1"/>
  <c r="BE196" i="1"/>
  <c r="BD221" i="1"/>
  <c r="BB200" i="1"/>
  <c r="BA115" i="1"/>
  <c r="AD357" i="1"/>
  <c r="AD101" i="1"/>
  <c r="BD26" i="1"/>
  <c r="BA290" i="1"/>
  <c r="BE157" i="1"/>
  <c r="BE171" i="1"/>
  <c r="BE121" i="1"/>
  <c r="BC20" i="1"/>
  <c r="BE204" i="1"/>
  <c r="BC154" i="1"/>
  <c r="BC206" i="1"/>
  <c r="BE40" i="1"/>
  <c r="BD220" i="1"/>
  <c r="BB113" i="1"/>
  <c r="BE51" i="1"/>
  <c r="BD293" i="1"/>
  <c r="BE324" i="1"/>
  <c r="BE81" i="1"/>
  <c r="AD156" i="1"/>
  <c r="BB141" i="1"/>
  <c r="BD316" i="1"/>
  <c r="BC225" i="1"/>
  <c r="BE238" i="1"/>
  <c r="BA289" i="1"/>
  <c r="AD213" i="1"/>
  <c r="BE118" i="1"/>
  <c r="BE253" i="1"/>
  <c r="BA92" i="1"/>
  <c r="BC42" i="1"/>
  <c r="BC333" i="1"/>
  <c r="BB178" i="1"/>
  <c r="BA310" i="1"/>
  <c r="AD263" i="1"/>
  <c r="BC86" i="1"/>
  <c r="BC95" i="1"/>
  <c r="BB182" i="1"/>
  <c r="BD298" i="1"/>
  <c r="BC180" i="1"/>
  <c r="BB296" i="1"/>
  <c r="AD145" i="1"/>
  <c r="AD129" i="1"/>
  <c r="BA170" i="1"/>
  <c r="BC301" i="1"/>
  <c r="BD144" i="1"/>
  <c r="BA278" i="1"/>
  <c r="AD283" i="1"/>
  <c r="BC276" i="1"/>
  <c r="AD218" i="1"/>
  <c r="BE264" i="1"/>
  <c r="BA69" i="1"/>
  <c r="BA354" i="1"/>
  <c r="BA12" i="1"/>
  <c r="BD188" i="1"/>
  <c r="AD206" i="1"/>
  <c r="BD186" i="1"/>
  <c r="BA171" i="1"/>
  <c r="BB117" i="1"/>
  <c r="BE123" i="1"/>
  <c r="BE332" i="1"/>
  <c r="BC295" i="1"/>
  <c r="BE172" i="1"/>
  <c r="BE181" i="1"/>
  <c r="BC198" i="1"/>
  <c r="AD106" i="1"/>
  <c r="BC97" i="1"/>
  <c r="BD122" i="1"/>
  <c r="AD361" i="1"/>
  <c r="BA335" i="1"/>
  <c r="AD149" i="1"/>
  <c r="BC147" i="1"/>
  <c r="BD198" i="1"/>
  <c r="BE160" i="1"/>
  <c r="BD285" i="1"/>
  <c r="BD81" i="1"/>
  <c r="BE95" i="1"/>
  <c r="BA161" i="1"/>
  <c r="BC269" i="1"/>
  <c r="BC67" i="1"/>
  <c r="BB219" i="1"/>
  <c r="BA213" i="1"/>
  <c r="BC169" i="1"/>
  <c r="BD318" i="1"/>
  <c r="BC195" i="1"/>
  <c r="BC224" i="1"/>
  <c r="BC121" i="1"/>
  <c r="BE182" i="1"/>
  <c r="BA269" i="1"/>
  <c r="BD6" i="1"/>
  <c r="BA176" i="1"/>
  <c r="AD208" i="1"/>
  <c r="AD159" i="1"/>
  <c r="BC332" i="1"/>
  <c r="AD282" i="1"/>
  <c r="BA353" i="1"/>
  <c r="BD48" i="1"/>
  <c r="AD142" i="1"/>
  <c r="BE247" i="1"/>
  <c r="BE343" i="1"/>
  <c r="BB47" i="1"/>
  <c r="BB269" i="1"/>
  <c r="BC283" i="1"/>
  <c r="BD162" i="1"/>
  <c r="BA75" i="1"/>
  <c r="BC330" i="1"/>
  <c r="BD280" i="1"/>
  <c r="BE250" i="1"/>
  <c r="BD224" i="1"/>
  <c r="BD177" i="1"/>
  <c r="BD17" i="1"/>
  <c r="BE273" i="1"/>
  <c r="BE17" i="1"/>
  <c r="BC40" i="1"/>
  <c r="BD86" i="1"/>
  <c r="BB187" i="1"/>
  <c r="BE67" i="1"/>
  <c r="BD214" i="1"/>
  <c r="BD65" i="1"/>
  <c r="BA284" i="1"/>
  <c r="BE227" i="1"/>
  <c r="BE294" i="1"/>
  <c r="BA191" i="1"/>
  <c r="AD319" i="1"/>
  <c r="BC93" i="1"/>
  <c r="BE362" i="1"/>
  <c r="AD223" i="1"/>
  <c r="BE236" i="1"/>
  <c r="AD27" i="1"/>
  <c r="BD337" i="1"/>
  <c r="BB346" i="1"/>
  <c r="BA153" i="1"/>
  <c r="BD226" i="1"/>
  <c r="BC56" i="1"/>
  <c r="BB12" i="1"/>
  <c r="BA164" i="1"/>
  <c r="BE241" i="1"/>
  <c r="BD99" i="1"/>
  <c r="AD254" i="1"/>
  <c r="AD62" i="1"/>
  <c r="AD49" i="1"/>
  <c r="BD190" i="1"/>
  <c r="BC134" i="1"/>
  <c r="BB60" i="1"/>
  <c r="BC185" i="1"/>
  <c r="BA31" i="1"/>
  <c r="AD236" i="1"/>
  <c r="BD281" i="1"/>
  <c r="AD351" i="1"/>
  <c r="BE338" i="1"/>
  <c r="BA61" i="1"/>
  <c r="BE291" i="1"/>
  <c r="BC298" i="1"/>
  <c r="BD306" i="1"/>
  <c r="BB149" i="1"/>
  <c r="AD310" i="1"/>
  <c r="BE46" i="1"/>
  <c r="BC327" i="1"/>
  <c r="BB114" i="1"/>
  <c r="BA200" i="1"/>
  <c r="AD66" i="1"/>
  <c r="BE210" i="1"/>
  <c r="BD23" i="1"/>
  <c r="BC81" i="1"/>
  <c r="BE110" i="1"/>
  <c r="AD269" i="1"/>
  <c r="BC109" i="1"/>
  <c r="BE128" i="1"/>
  <c r="AD14" i="1"/>
  <c r="BA336" i="1"/>
  <c r="BE101" i="1"/>
  <c r="BC240" i="1"/>
  <c r="BD55" i="1"/>
  <c r="BA136" i="1"/>
  <c r="BA120" i="1"/>
  <c r="BE281" i="1"/>
  <c r="BD165" i="1"/>
  <c r="BC308" i="1"/>
  <c r="BA188" i="1"/>
  <c r="BC250" i="1"/>
  <c r="AD5" i="1"/>
  <c r="BB79" i="1"/>
  <c r="BE59" i="1"/>
  <c r="BC325" i="1"/>
  <c r="BD213" i="1"/>
  <c r="BA228" i="1"/>
  <c r="BB236" i="1"/>
  <c r="BC324" i="1"/>
  <c r="BD108" i="1"/>
  <c r="BD301" i="1"/>
  <c r="BB122" i="1"/>
  <c r="BE102" i="1"/>
  <c r="BE280" i="1"/>
  <c r="BD353" i="1"/>
  <c r="AD138" i="1"/>
  <c r="BE246" i="1"/>
  <c r="BB214" i="1"/>
  <c r="BB291" i="1"/>
  <c r="BB313" i="1"/>
  <c r="AD22" i="1"/>
  <c r="BC153" i="1"/>
  <c r="BA294" i="1"/>
  <c r="AD216" i="1"/>
  <c r="BE10" i="1"/>
  <c r="BE359" i="1"/>
  <c r="BE142" i="1"/>
  <c r="BA84" i="1"/>
  <c r="BB160" i="1"/>
  <c r="BA259" i="1"/>
  <c r="BA23" i="1"/>
  <c r="AD164" i="1"/>
  <c r="BC139" i="1"/>
  <c r="BD69" i="1"/>
  <c r="BC159" i="1"/>
  <c r="BD114" i="1"/>
  <c r="BA67" i="1"/>
  <c r="BC142" i="1"/>
  <c r="BE222" i="1"/>
  <c r="BD109" i="1"/>
  <c r="BE112" i="1"/>
  <c r="BC320" i="1"/>
  <c r="BE284" i="1"/>
  <c r="BA97" i="1"/>
  <c r="AD212" i="1"/>
  <c r="AD194" i="1"/>
  <c r="BC123" i="1"/>
  <c r="AD140" i="1"/>
  <c r="BA14" i="1"/>
  <c r="BB15" i="1"/>
  <c r="BB142" i="1"/>
  <c r="BB280" i="1"/>
  <c r="AD26" i="1"/>
  <c r="BE63" i="1"/>
  <c r="BC135" i="1"/>
  <c r="BB159" i="1"/>
  <c r="BE214" i="1"/>
  <c r="BB206" i="1"/>
  <c r="BE116" i="1"/>
  <c r="BA178" i="1"/>
  <c r="BE353" i="1"/>
  <c r="BE330" i="1"/>
  <c r="BE75" i="1"/>
  <c r="BB297" i="1"/>
  <c r="BB116" i="1"/>
  <c r="BD302" i="1"/>
  <c r="AD346" i="1"/>
  <c r="BC112" i="1"/>
  <c r="BE174" i="1"/>
  <c r="AD327" i="1"/>
  <c r="BC317" i="1"/>
  <c r="BB124" i="1"/>
  <c r="BE190" i="1"/>
  <c r="BE326" i="1"/>
  <c r="AD63" i="1"/>
  <c r="BD183" i="1"/>
  <c r="BD245" i="1"/>
  <c r="BB306" i="1"/>
  <c r="BC73" i="1"/>
  <c r="AD83" i="1"/>
  <c r="BE139" i="1"/>
  <c r="AD78" i="1"/>
  <c r="AD126" i="1"/>
  <c r="BC341" i="1"/>
  <c r="AD130" i="1"/>
  <c r="BE336" i="1"/>
  <c r="BB184" i="1"/>
  <c r="BC270" i="1"/>
  <c r="BD12" i="1"/>
  <c r="BE357" i="1"/>
  <c r="BE192" i="1"/>
  <c r="BE138" i="1"/>
  <c r="BA328" i="1"/>
  <c r="BD199" i="1"/>
  <c r="BB229" i="1"/>
  <c r="BA10" i="1"/>
  <c r="BD95" i="1"/>
  <c r="BA318" i="1"/>
  <c r="AD38" i="1"/>
  <c r="BB266" i="1"/>
  <c r="BC68" i="1"/>
  <c r="BE259" i="1"/>
  <c r="BB309" i="1"/>
  <c r="BB34" i="1"/>
  <c r="BC27" i="1"/>
  <c r="BA197" i="1"/>
  <c r="BC362" i="1"/>
  <c r="AD246" i="1"/>
  <c r="BB208" i="1"/>
  <c r="BE206" i="1"/>
  <c r="BB48" i="1"/>
  <c r="BD326" i="1"/>
  <c r="BB210" i="1"/>
  <c r="BD117" i="1"/>
  <c r="BA172" i="1"/>
  <c r="BA37" i="1"/>
  <c r="BB36" i="1"/>
  <c r="BB326" i="1"/>
  <c r="BB343" i="1"/>
  <c r="BD322" i="1"/>
  <c r="BA24" i="1"/>
  <c r="AD307" i="1"/>
  <c r="BD28" i="1"/>
  <c r="AD230" i="1"/>
  <c r="BD19" i="1"/>
  <c r="BC131" i="1"/>
  <c r="BB111" i="1"/>
  <c r="BA145" i="1"/>
  <c r="BC310" i="1"/>
  <c r="AD64" i="1"/>
  <c r="AD248" i="1"/>
  <c r="BD149" i="1"/>
  <c r="BC83" i="1"/>
  <c r="BA311" i="1"/>
  <c r="BC96" i="1"/>
  <c r="BB253" i="1"/>
  <c r="BE302" i="1"/>
  <c r="BC65" i="1"/>
  <c r="BE126" i="1"/>
  <c r="BA249" i="1"/>
  <c r="BC60" i="1"/>
  <c r="BC271" i="1"/>
  <c r="BA184" i="1"/>
  <c r="BD105" i="1"/>
  <c r="BE195" i="1"/>
  <c r="BE156" i="1"/>
  <c r="BA60" i="1"/>
  <c r="AD74" i="1"/>
  <c r="BD342" i="1"/>
  <c r="BB274" i="1"/>
  <c r="AD343" i="1"/>
  <c r="BE143" i="1"/>
  <c r="AD45" i="1"/>
  <c r="AD342" i="1"/>
  <c r="BD317" i="1"/>
  <c r="BD155" i="1"/>
  <c r="BB307" i="1"/>
  <c r="BC210" i="1"/>
  <c r="AD328" i="1"/>
  <c r="BB70" i="1"/>
  <c r="BB4" i="1"/>
  <c r="BC338" i="1"/>
  <c r="AD170" i="1"/>
  <c r="BB6" i="1"/>
  <c r="BE119" i="1"/>
  <c r="BC342" i="1"/>
  <c r="BA265" i="1"/>
  <c r="BE231" i="1"/>
  <c r="BA264" i="1"/>
  <c r="BE215" i="1"/>
  <c r="AD81" i="1"/>
  <c r="BD110" i="1"/>
  <c r="BC331" i="1"/>
  <c r="BA33" i="1"/>
  <c r="BA356" i="1"/>
  <c r="AD196" i="1"/>
  <c r="AD338" i="1"/>
  <c r="AD231" i="1"/>
  <c r="BD315" i="1"/>
  <c r="BB54" i="1"/>
  <c r="AD163" i="1"/>
  <c r="BC94" i="1"/>
  <c r="BD98" i="1"/>
  <c r="BD103" i="1"/>
  <c r="BA301" i="1"/>
  <c r="BE267" i="1"/>
  <c r="BC100" i="1"/>
  <c r="BE82" i="1"/>
  <c r="AD181" i="1"/>
  <c r="BC70" i="1"/>
  <c r="BE64" i="1"/>
  <c r="BE24" i="1"/>
  <c r="BB351" i="1"/>
  <c r="BD179" i="1"/>
  <c r="BC161" i="1"/>
  <c r="BC155" i="1"/>
  <c r="AD306" i="1"/>
  <c r="BE150" i="1"/>
  <c r="BC211" i="1"/>
  <c r="AD313" i="1"/>
  <c r="BC329" i="1"/>
  <c r="BD75" i="1"/>
  <c r="BA324" i="1"/>
  <c r="BB286" i="1"/>
  <c r="BA179" i="1"/>
  <c r="BA57" i="1"/>
  <c r="BA320" i="1"/>
  <c r="BE62" i="1"/>
  <c r="BD142" i="1"/>
  <c r="BB299" i="1"/>
  <c r="BE314" i="1"/>
  <c r="BA272" i="1"/>
  <c r="BB132" i="1"/>
  <c r="BE300" i="1"/>
  <c r="BC263" i="1"/>
  <c r="AD105" i="1"/>
  <c r="BE6" i="1"/>
  <c r="BE320" i="1"/>
  <c r="BD283" i="1"/>
  <c r="BC44" i="1"/>
  <c r="BB252" i="1"/>
  <c r="BA209" i="1"/>
  <c r="BB175" i="1"/>
  <c r="BB85" i="1"/>
  <c r="BD356" i="1"/>
  <c r="BA30" i="1"/>
  <c r="BD191" i="1"/>
  <c r="BD225" i="1"/>
  <c r="BA133" i="1"/>
  <c r="BA96" i="1"/>
  <c r="BC254" i="1"/>
  <c r="BB148" i="1"/>
  <c r="BE7" i="1"/>
  <c r="BB193" i="1"/>
  <c r="BE169" i="1"/>
  <c r="AD134" i="1"/>
  <c r="AD271" i="1"/>
  <c r="AD286" i="1"/>
  <c r="BA248" i="1"/>
  <c r="BD80" i="1"/>
  <c r="BC174" i="1"/>
  <c r="BA322" i="1"/>
  <c r="BB139" i="1"/>
  <c r="BE232" i="1"/>
  <c r="BA77" i="1"/>
  <c r="AD93" i="1"/>
  <c r="BB228" i="1"/>
  <c r="BB302" i="1"/>
  <c r="BE183" i="1"/>
  <c r="BB7" i="1"/>
  <c r="BD45" i="1"/>
  <c r="AD299" i="1"/>
  <c r="BC90" i="1"/>
  <c r="BE234" i="1"/>
  <c r="AD187" i="1"/>
  <c r="BD232" i="1"/>
  <c r="BE356" i="1"/>
  <c r="BC10" i="1"/>
  <c r="BD275" i="1"/>
  <c r="BB215" i="1"/>
  <c r="BB56" i="1"/>
  <c r="BE244" i="1"/>
  <c r="BE333" i="1"/>
  <c r="BA103" i="1"/>
  <c r="BC52" i="1"/>
  <c r="BD40" i="1"/>
  <c r="AD69" i="1"/>
  <c r="AD54" i="1"/>
  <c r="BE25" i="1"/>
  <c r="BC291" i="1"/>
  <c r="AD329" i="1"/>
  <c r="BC314" i="1"/>
  <c r="BC150" i="1"/>
  <c r="BB137" i="1"/>
  <c r="BD229" i="1"/>
  <c r="BE212" i="1"/>
  <c r="BE31" i="1"/>
  <c r="BD299" i="1"/>
  <c r="BE120" i="1"/>
  <c r="BD333" i="1"/>
  <c r="BA28" i="1"/>
  <c r="AD31" i="1"/>
  <c r="BE339" i="1"/>
  <c r="BD362" i="1"/>
  <c r="AD80" i="1"/>
  <c r="AD117" i="1"/>
  <c r="BE316" i="1"/>
  <c r="BE144" i="1"/>
  <c r="BB205" i="1"/>
  <c r="BE275" i="1"/>
  <c r="BD41" i="1"/>
  <c r="AD202" i="1"/>
  <c r="BB103" i="1"/>
  <c r="BC192" i="1"/>
  <c r="BE97" i="1"/>
  <c r="BA132" i="1"/>
  <c r="AD177" i="1"/>
  <c r="AD96" i="1"/>
  <c r="BA91" i="1"/>
  <c r="BE164" i="1"/>
  <c r="BA7" i="1"/>
  <c r="BB84" i="1"/>
  <c r="BE47" i="1"/>
  <c r="BC146" i="1"/>
  <c r="BC197" i="1"/>
  <c r="BB358" i="1"/>
  <c r="BA238" i="1"/>
  <c r="BA193" i="1"/>
  <c r="AD273" i="1"/>
  <c r="AD190" i="1"/>
  <c r="BB17" i="1"/>
  <c r="BD102" i="1"/>
  <c r="AD147" i="1"/>
  <c r="BB347" i="1"/>
  <c r="BC239" i="1"/>
  <c r="BE346" i="1"/>
  <c r="BA282" i="1"/>
  <c r="BD170" i="1"/>
  <c r="BA275" i="1"/>
  <c r="AD155" i="1"/>
  <c r="BC78" i="1"/>
  <c r="BB350" i="1"/>
  <c r="BA220" i="1"/>
  <c r="BE188" i="1"/>
  <c r="BD207" i="1"/>
  <c r="BA47" i="1"/>
  <c r="BE331" i="1"/>
  <c r="AD109" i="1"/>
  <c r="BA207" i="1"/>
  <c r="BD63" i="1"/>
  <c r="BC297" i="1"/>
  <c r="BA337" i="1"/>
  <c r="BD254" i="1"/>
  <c r="BB19" i="1"/>
  <c r="BA45" i="1"/>
  <c r="BC92" i="1"/>
  <c r="BA251" i="1"/>
  <c r="BE136" i="1"/>
  <c r="BC11" i="1"/>
  <c r="BA104" i="1"/>
  <c r="BD111" i="1"/>
  <c r="BE245" i="1"/>
  <c r="BB71" i="1"/>
  <c r="BD263" i="1"/>
  <c r="BA39" i="1"/>
  <c r="BC119" i="1"/>
  <c r="BD82" i="1"/>
  <c r="BA140" i="1"/>
  <c r="BA355" i="1"/>
  <c r="BB43" i="1"/>
  <c r="BC335" i="1"/>
  <c r="AD121" i="1"/>
  <c r="BB204" i="1"/>
  <c r="BB241" i="1"/>
  <c r="BB63" i="1"/>
  <c r="BB261" i="1"/>
  <c r="BC164" i="1"/>
  <c r="BB249" i="1"/>
  <c r="BB138" i="1"/>
  <c r="BA113" i="1"/>
  <c r="BA25" i="1"/>
  <c r="BB243" i="1"/>
  <c r="AD34" i="1"/>
  <c r="BD291" i="1"/>
  <c r="BA80" i="1"/>
  <c r="BB264" i="1"/>
  <c r="BC141" i="1"/>
  <c r="BB57" i="1"/>
  <c r="BE277" i="1"/>
  <c r="BD204" i="1"/>
  <c r="BE301" i="1"/>
  <c r="BE92" i="1"/>
  <c r="BD320" i="1"/>
  <c r="BD338" i="1"/>
  <c r="AD79" i="1"/>
  <c r="BA9" i="1"/>
  <c r="BA160" i="1"/>
  <c r="AD50" i="1"/>
  <c r="BE344" i="1"/>
  <c r="BB292" i="1"/>
  <c r="BD287" i="1"/>
  <c r="BD294" i="1"/>
  <c r="BA183" i="1"/>
  <c r="BC318" i="1"/>
  <c r="AD160" i="1"/>
  <c r="BC218" i="1"/>
  <c r="BE69" i="1"/>
  <c r="BA305" i="1"/>
  <c r="BC339" i="1"/>
  <c r="BB129" i="1"/>
  <c r="BA34" i="1"/>
  <c r="BE298" i="1"/>
  <c r="BA195" i="1"/>
  <c r="BD106" i="1"/>
  <c r="AD253" i="1"/>
  <c r="BD212" i="1"/>
  <c r="AD274" i="1"/>
  <c r="BE299" i="1"/>
  <c r="BB66" i="1"/>
  <c r="BC21" i="1"/>
  <c r="BA108" i="1"/>
  <c r="BD329" i="1"/>
  <c r="BE349" i="1"/>
  <c r="BA159" i="1"/>
  <c r="BD311" i="1"/>
  <c r="BE290" i="1"/>
  <c r="BB134" i="1"/>
  <c r="BA157" i="1"/>
  <c r="AD15" i="1"/>
  <c r="BE77" i="1"/>
  <c r="AD211" i="1"/>
  <c r="AD154" i="1"/>
  <c r="AD28" i="1"/>
  <c r="BB173" i="1"/>
  <c r="BC256" i="1"/>
  <c r="AD201" i="1"/>
  <c r="AD323" i="1"/>
  <c r="BB363" i="1"/>
  <c r="BB220" i="1"/>
  <c r="BD319" i="1"/>
  <c r="BD304" i="1"/>
  <c r="BA181" i="1"/>
  <c r="BB136" i="1"/>
  <c r="BD259" i="1"/>
  <c r="BA135" i="1"/>
  <c r="BA16" i="1"/>
  <c r="BC66" i="1"/>
  <c r="BD124" i="1"/>
  <c r="BB258" i="1"/>
  <c r="BD88" i="1"/>
  <c r="BB222" i="1"/>
  <c r="BB86" i="1"/>
  <c r="BA266" i="1"/>
  <c r="BE88" i="1"/>
  <c r="AD111" i="1"/>
  <c r="BB212" i="1"/>
  <c r="AD200" i="1"/>
  <c r="AD98" i="1"/>
  <c r="BC32" i="1"/>
  <c r="BA27" i="1"/>
  <c r="BE337" i="1"/>
  <c r="BE221" i="1"/>
  <c r="BE115" i="1"/>
  <c r="BA306" i="1"/>
  <c r="BE358" i="1"/>
  <c r="AD119" i="1"/>
  <c r="BA263" i="1"/>
  <c r="BA298" i="1"/>
  <c r="BA357" i="1"/>
  <c r="BB33" i="1"/>
  <c r="BD152" i="1"/>
  <c r="BA85" i="1"/>
  <c r="BD328" i="1"/>
  <c r="BC133" i="1"/>
  <c r="BB186" i="1"/>
  <c r="BB146" i="1"/>
  <c r="BC181" i="1"/>
  <c r="BC306" i="1"/>
  <c r="BB337" i="1"/>
  <c r="BA192" i="1"/>
  <c r="BB310" i="1"/>
  <c r="BB279" i="1"/>
  <c r="BB197" i="1"/>
  <c r="BA106" i="1"/>
  <c r="BA258" i="1"/>
  <c r="BE79" i="1"/>
  <c r="BC357" i="1"/>
  <c r="BC113" i="1"/>
  <c r="BC257" i="1"/>
  <c r="BA36" i="1"/>
  <c r="BB335" i="1"/>
  <c r="BA346" i="1"/>
  <c r="BD246" i="1"/>
  <c r="AD20" i="1"/>
  <c r="BE262" i="1"/>
  <c r="AD167" i="1"/>
  <c r="BD336" i="1"/>
  <c r="BB226" i="1"/>
  <c r="BB109" i="1"/>
  <c r="BB18" i="1"/>
  <c r="BC29" i="1"/>
  <c r="BE50" i="1"/>
  <c r="BD31" i="1"/>
  <c r="BC213" i="1"/>
  <c r="BB28" i="1"/>
  <c r="BD206" i="1"/>
  <c r="AD133" i="1"/>
  <c r="BA281" i="1"/>
  <c r="AD353" i="1"/>
  <c r="BE73" i="1"/>
  <c r="BD14" i="1"/>
  <c r="BE199" i="1"/>
  <c r="AD125" i="1"/>
  <c r="BA299" i="1"/>
  <c r="BB82" i="1"/>
  <c r="BB225" i="1"/>
  <c r="BD72" i="1"/>
  <c r="BD32" i="1"/>
  <c r="BE39" i="1"/>
  <c r="BD101" i="1"/>
  <c r="AD56" i="1"/>
  <c r="AD65" i="1"/>
  <c r="BD240" i="1"/>
  <c r="BC334" i="1"/>
  <c r="BD16" i="1"/>
  <c r="BE54" i="1"/>
  <c r="AD242" i="1"/>
  <c r="BD76" i="1"/>
  <c r="BD58" i="1"/>
  <c r="BD153" i="1"/>
  <c r="BE327" i="1"/>
  <c r="BB176" i="1"/>
  <c r="BB242" i="1"/>
  <c r="BD314" i="1"/>
  <c r="BA101" i="1"/>
  <c r="AD195" i="1"/>
  <c r="BD135" i="1"/>
  <c r="BD255" i="1"/>
  <c r="BD87" i="1"/>
  <c r="BB277" i="1"/>
  <c r="BE266" i="1"/>
  <c r="BA139" i="1"/>
  <c r="BE16" i="1"/>
  <c r="AD180" i="1"/>
  <c r="BC28" i="1"/>
  <c r="BC278" i="1"/>
  <c r="BD277" i="1"/>
  <c r="BE141" i="1"/>
  <c r="BD157" i="1"/>
  <c r="AD363" i="1"/>
  <c r="BD307" i="1"/>
  <c r="AD324" i="1"/>
  <c r="BD210" i="1"/>
  <c r="AD176" i="1"/>
  <c r="BE33" i="1"/>
  <c r="BA20" i="1"/>
  <c r="BA262" i="1"/>
  <c r="BE52" i="1"/>
  <c r="BA44" i="1"/>
  <c r="BA21" i="1"/>
  <c r="BB272" i="1"/>
  <c r="BD201" i="1"/>
  <c r="BA302" i="1"/>
  <c r="BC196" i="1"/>
  <c r="BD327" i="1"/>
  <c r="BA49" i="1"/>
  <c r="BE354" i="1"/>
  <c r="BC322" i="1"/>
  <c r="BB58" i="1"/>
  <c r="BC117" i="1"/>
  <c r="BD8" i="1"/>
  <c r="BE175" i="1"/>
  <c r="BE61" i="1"/>
  <c r="BC351" i="1"/>
  <c r="BD242" i="1"/>
  <c r="BD228" i="1"/>
  <c r="BC344" i="1"/>
  <c r="BB14" i="1"/>
  <c r="BB332" i="1"/>
  <c r="BC111" i="1"/>
  <c r="AD73" i="1"/>
  <c r="BE249" i="1"/>
  <c r="BC45" i="1"/>
  <c r="BD112" i="1"/>
  <c r="BB276" i="1"/>
  <c r="BD46" i="1"/>
  <c r="BB90" i="1"/>
  <c r="BD223" i="1"/>
  <c r="BB339" i="1"/>
  <c r="BE342" i="1"/>
  <c r="BC55" i="1"/>
  <c r="BC128" i="1"/>
  <c r="AD281" i="1"/>
  <c r="BA22" i="1"/>
  <c r="BE55" i="1"/>
  <c r="BA150" i="1"/>
  <c r="AD333" i="1"/>
  <c r="BB331" i="1"/>
  <c r="BA26" i="1"/>
  <c r="AD47" i="1"/>
  <c r="BD30" i="1"/>
  <c r="BD128" i="1"/>
  <c r="AD205" i="1"/>
  <c r="BE9" i="1"/>
  <c r="BC275" i="1"/>
  <c r="AD139" i="1"/>
  <c r="BD208" i="1"/>
  <c r="BE86" i="1"/>
  <c r="BC251" i="1"/>
  <c r="BE328" i="1"/>
  <c r="AD173" i="1"/>
  <c r="BA88" i="1"/>
  <c r="AD36" i="1"/>
  <c r="AD21" i="1"/>
  <c r="AD238" i="1"/>
  <c r="BE130" i="1"/>
  <c r="BA363" i="1"/>
  <c r="BC292" i="1"/>
  <c r="BA119" i="1"/>
  <c r="BC304" i="1"/>
  <c r="BE251" i="1"/>
  <c r="BD70" i="1"/>
  <c r="AD226" i="1"/>
  <c r="BC186" i="1"/>
  <c r="BA321" i="1"/>
  <c r="BC43" i="1"/>
  <c r="BC59" i="1"/>
  <c r="BB94" i="1"/>
  <c r="BB360" i="1"/>
  <c r="BA343" i="1"/>
  <c r="BB348" i="1"/>
  <c r="AD189" i="1"/>
  <c r="AD144" i="1"/>
  <c r="BE235" i="1"/>
  <c r="BB45" i="1"/>
  <c r="BE13" i="1"/>
  <c r="BA221" i="1"/>
  <c r="BE68" i="1"/>
  <c r="BA72" i="1"/>
  <c r="BA279" i="1"/>
  <c r="BA50" i="1"/>
  <c r="BB357" i="1"/>
  <c r="BB349" i="1"/>
  <c r="BD53" i="1"/>
  <c r="BB29" i="1"/>
  <c r="BC171" i="1"/>
  <c r="BE219" i="1"/>
  <c r="BE282" i="1"/>
  <c r="BB135" i="1"/>
  <c r="BC50" i="1"/>
  <c r="BD192" i="1"/>
  <c r="AD118" i="1"/>
  <c r="BE113" i="1"/>
  <c r="BE274" i="1"/>
  <c r="AD94" i="1"/>
  <c r="BB336" i="1"/>
  <c r="BE201" i="1"/>
  <c r="BE20" i="1"/>
  <c r="BA303" i="1"/>
  <c r="BD34" i="1"/>
  <c r="BB308" i="1"/>
  <c r="BB41" i="1"/>
  <c r="BE158" i="1"/>
  <c r="BC5" i="1"/>
  <c r="BD209" i="1"/>
  <c r="BD89" i="1"/>
  <c r="BB198" i="1"/>
  <c r="BA154" i="1"/>
  <c r="BE43" i="1"/>
  <c r="BA330" i="1"/>
  <c r="AD158" i="1"/>
  <c r="BE111" i="1"/>
  <c r="BE287" i="1"/>
  <c r="BE248" i="1"/>
  <c r="BC244" i="1"/>
  <c r="BE48" i="1"/>
  <c r="BC132" i="1"/>
  <c r="BE104" i="1"/>
  <c r="BB5" i="1"/>
  <c r="BB254" i="1"/>
  <c r="BA360" i="1"/>
  <c r="W91" i="4" l="1"/>
  <c r="X92" i="4"/>
  <c r="W82" i="4"/>
  <c r="W86" i="4"/>
  <c r="U98" i="4"/>
  <c r="X94" i="4"/>
  <c r="U94" i="4"/>
  <c r="V95" i="4"/>
  <c r="X68" i="4"/>
  <c r="U85" i="4"/>
  <c r="V86" i="4"/>
  <c r="U79" i="4"/>
  <c r="U67" i="4"/>
  <c r="V76" i="4"/>
  <c r="X85" i="4"/>
  <c r="U74" i="4"/>
  <c r="W87" i="4"/>
  <c r="X88" i="4"/>
  <c r="W85" i="4"/>
  <c r="U95" i="4"/>
  <c r="U97" i="4"/>
  <c r="X95" i="4"/>
  <c r="U90" i="4"/>
  <c r="V98" i="4"/>
  <c r="X75" i="4"/>
  <c r="U78" i="4"/>
  <c r="V75" i="4"/>
  <c r="V80" i="4"/>
  <c r="V79" i="4"/>
  <c r="X77" i="4"/>
  <c r="V78" i="4"/>
  <c r="U81" i="4"/>
  <c r="W88" i="4"/>
  <c r="X91" i="4"/>
  <c r="W81" i="4"/>
  <c r="W71" i="4"/>
  <c r="U96" i="4"/>
  <c r="X98" i="4"/>
  <c r="U89" i="4"/>
  <c r="V97" i="4"/>
  <c r="V71" i="4"/>
  <c r="X67" i="4"/>
  <c r="V94" i="4"/>
  <c r="V87" i="4"/>
  <c r="V89" i="4"/>
  <c r="U71" i="4"/>
  <c r="U80" i="4"/>
  <c r="X72" i="4"/>
  <c r="W97" i="4"/>
  <c r="X87" i="4"/>
  <c r="W77" i="4"/>
  <c r="W79" i="4"/>
  <c r="W94" i="4"/>
  <c r="X97" i="4"/>
  <c r="U93" i="4"/>
  <c r="V96" i="4"/>
  <c r="V68" i="4"/>
  <c r="V73" i="4"/>
  <c r="U69" i="4"/>
  <c r="X80" i="4"/>
  <c r="X70" i="4"/>
  <c r="V82" i="4"/>
  <c r="V85" i="4"/>
  <c r="V74" i="4"/>
  <c r="W98" i="4"/>
  <c r="W89" i="4"/>
  <c r="X89" i="4"/>
  <c r="W74" i="4"/>
  <c r="W95" i="4"/>
  <c r="X96" i="4"/>
  <c r="U92" i="4"/>
  <c r="V77" i="4"/>
  <c r="U77" i="4"/>
  <c r="V91" i="4"/>
  <c r="X84" i="4"/>
  <c r="V93" i="4"/>
  <c r="V70" i="4"/>
  <c r="X79" i="4"/>
  <c r="V72" i="4"/>
  <c r="X71" i="4"/>
  <c r="W92" i="4"/>
  <c r="X90" i="4"/>
  <c r="W75" i="4"/>
  <c r="W84" i="4"/>
  <c r="W70" i="4"/>
  <c r="X93" i="4"/>
  <c r="U91" i="4"/>
  <c r="U73" i="4"/>
  <c r="V69" i="4"/>
  <c r="U68" i="4"/>
  <c r="W68" i="4"/>
  <c r="X86" i="4"/>
  <c r="U72" i="4"/>
  <c r="X69" i="4"/>
  <c r="X82" i="4"/>
  <c r="X73" i="4"/>
  <c r="W90" i="4"/>
  <c r="X76" i="4"/>
  <c r="W83" i="4"/>
  <c r="W73" i="4"/>
  <c r="W67" i="4"/>
  <c r="W96" i="4"/>
  <c r="U88" i="4"/>
  <c r="U87" i="4"/>
  <c r="X81" i="4"/>
  <c r="V90" i="4"/>
  <c r="W69" i="4"/>
  <c r="V88" i="4"/>
  <c r="X74" i="4"/>
  <c r="V67" i="4"/>
  <c r="X78" i="4"/>
  <c r="U70" i="4"/>
  <c r="X83" i="4"/>
  <c r="W76" i="4"/>
  <c r="W80" i="4"/>
  <c r="W78" i="4"/>
  <c r="W72" i="4"/>
  <c r="W93" i="4"/>
  <c r="U76" i="4"/>
  <c r="U75" i="4"/>
  <c r="V92" i="4"/>
  <c r="V84" i="4"/>
  <c r="U84" i="4"/>
  <c r="U82" i="4"/>
  <c r="U86" i="4"/>
  <c r="V81" i="4"/>
  <c r="U83" i="4"/>
  <c r="V83" i="4"/>
  <c r="BL79" i="4"/>
  <c r="AC52" i="4"/>
  <c r="BN28" i="4"/>
  <c r="BL81" i="4"/>
  <c r="AS108" i="4"/>
  <c r="BL61" i="4"/>
  <c r="BG22" i="4"/>
  <c r="AC93" i="4"/>
  <c r="BH115" i="4"/>
  <c r="AF59" i="4"/>
  <c r="AD116" i="4"/>
  <c r="BO15" i="4"/>
  <c r="BH6" i="4"/>
  <c r="BN11" i="4"/>
  <c r="BG66" i="4"/>
  <c r="AF109" i="4"/>
  <c r="BO59" i="4"/>
  <c r="BH18" i="4"/>
  <c r="AC55" i="4"/>
  <c r="AE13" i="4"/>
  <c r="AS109" i="4"/>
  <c r="BL36" i="4"/>
  <c r="AE59" i="4"/>
  <c r="BI87" i="4"/>
  <c r="BN51" i="4"/>
  <c r="AF80" i="4"/>
  <c r="BG78" i="4"/>
  <c r="BH69" i="4"/>
  <c r="AC47" i="4"/>
  <c r="BH64" i="4"/>
  <c r="AC111" i="4"/>
  <c r="BL50" i="4"/>
  <c r="BG117" i="4"/>
  <c r="BI33" i="4"/>
  <c r="BJ102" i="4"/>
  <c r="BJ22" i="4"/>
  <c r="BH107" i="4"/>
  <c r="AD86" i="4"/>
  <c r="BG107" i="4"/>
  <c r="BO101" i="4"/>
  <c r="BI83" i="4"/>
  <c r="AD25" i="4"/>
  <c r="AE81" i="4"/>
  <c r="AC30" i="4"/>
  <c r="BI58" i="4"/>
  <c r="BO68" i="4"/>
  <c r="AE36" i="4"/>
  <c r="BN45" i="4"/>
  <c r="BO48" i="4"/>
  <c r="AF42" i="4"/>
  <c r="BG20" i="4"/>
  <c r="BM55" i="4"/>
  <c r="BI16" i="4"/>
  <c r="BI35" i="4"/>
  <c r="BG16" i="4"/>
  <c r="AD15" i="4"/>
  <c r="BG55" i="4"/>
  <c r="AC35" i="4"/>
  <c r="BL43" i="4"/>
  <c r="BM14" i="4"/>
  <c r="BG56" i="4"/>
  <c r="BJ61" i="4"/>
  <c r="BH25" i="4"/>
  <c r="BN73" i="4"/>
  <c r="BJ38" i="4"/>
  <c r="BH56" i="4"/>
  <c r="BN106" i="4"/>
  <c r="BI19" i="4"/>
  <c r="BH92" i="4"/>
  <c r="AE102" i="4"/>
  <c r="BH50" i="4"/>
  <c r="AF50" i="4"/>
  <c r="BI65" i="4"/>
  <c r="AD11" i="4"/>
  <c r="BJ81" i="4"/>
  <c r="BJ8" i="4"/>
  <c r="AE30" i="4"/>
  <c r="BH49" i="4"/>
  <c r="BN47" i="4"/>
  <c r="AF20" i="4"/>
  <c r="AF70" i="4"/>
  <c r="AE23" i="4"/>
  <c r="BJ39" i="4"/>
  <c r="AS111" i="4"/>
  <c r="AC46" i="4"/>
  <c r="BN76" i="4"/>
  <c r="AC97" i="4"/>
  <c r="AD35" i="4"/>
  <c r="BG8" i="4"/>
  <c r="BL108" i="4"/>
  <c r="BM84" i="4"/>
  <c r="AC84" i="4"/>
  <c r="BJ43" i="4"/>
  <c r="BL40" i="4"/>
  <c r="BI102" i="4"/>
  <c r="BM117" i="4"/>
  <c r="AE37" i="4"/>
  <c r="AT110" i="4"/>
  <c r="BJ51" i="4"/>
  <c r="BG49" i="4"/>
  <c r="BO19" i="4"/>
  <c r="BL20" i="4"/>
  <c r="AC51" i="4"/>
  <c r="BJ19" i="4"/>
  <c r="BH9" i="4"/>
  <c r="BJ42" i="4"/>
  <c r="BL65" i="4"/>
  <c r="BH91" i="4"/>
  <c r="BG36" i="4"/>
  <c r="BN20" i="4"/>
  <c r="BH27" i="4"/>
  <c r="BJ55" i="4"/>
  <c r="BH44" i="4"/>
  <c r="BG113" i="4"/>
  <c r="BJ103" i="4"/>
  <c r="AF83" i="4"/>
  <c r="BJ82" i="4"/>
  <c r="AC6" i="4"/>
  <c r="BJ71" i="4"/>
  <c r="BJ73" i="4"/>
  <c r="BI21" i="4"/>
  <c r="AF111" i="4"/>
  <c r="BM54" i="4"/>
  <c r="BG88" i="4"/>
  <c r="BI106" i="4"/>
  <c r="AC33" i="4"/>
  <c r="BL70" i="4"/>
  <c r="BI55" i="4"/>
  <c r="AE77" i="4"/>
  <c r="AD42" i="4"/>
  <c r="AD19" i="4"/>
  <c r="AC107" i="4"/>
  <c r="AC45" i="4"/>
  <c r="BO54" i="4"/>
  <c r="BI28" i="4"/>
  <c r="BG67" i="4"/>
  <c r="BG119" i="4"/>
  <c r="AE76" i="4"/>
  <c r="AE32" i="4"/>
  <c r="BI15" i="4"/>
  <c r="BJ28" i="4"/>
  <c r="AU99" i="4"/>
  <c r="AD61" i="4"/>
  <c r="AD87" i="4"/>
  <c r="BM80" i="4"/>
  <c r="AC28" i="4"/>
  <c r="AC21" i="4"/>
  <c r="BI113" i="4"/>
  <c r="AF104" i="4"/>
  <c r="BM28" i="4"/>
  <c r="BI39" i="4"/>
  <c r="AU105" i="4"/>
  <c r="BO98" i="4"/>
  <c r="BG29" i="4"/>
  <c r="BL56" i="4"/>
  <c r="BI60" i="4"/>
  <c r="AF78" i="4"/>
  <c r="BM20" i="4"/>
  <c r="BJ69" i="4"/>
  <c r="BL113" i="4"/>
  <c r="BG48" i="4"/>
  <c r="BH38" i="4"/>
  <c r="BM33" i="4"/>
  <c r="BH5" i="4"/>
  <c r="BJ32" i="4"/>
  <c r="BN5" i="4"/>
  <c r="AD55" i="4"/>
  <c r="BI76" i="4"/>
  <c r="BN33" i="4"/>
  <c r="AE14" i="4"/>
  <c r="BI29" i="4"/>
  <c r="BN39" i="4"/>
  <c r="BJ104" i="4"/>
  <c r="BM63" i="4"/>
  <c r="BJ50" i="4"/>
  <c r="BM7" i="4"/>
  <c r="AC117" i="4"/>
  <c r="AE74" i="4"/>
  <c r="BM30" i="4"/>
  <c r="AF37" i="4"/>
  <c r="BH22" i="4"/>
  <c r="BH26" i="4"/>
  <c r="AD49" i="4"/>
  <c r="AC82" i="4"/>
  <c r="BO12" i="4"/>
  <c r="BJ16" i="4"/>
  <c r="AF9" i="4"/>
  <c r="AR109" i="4"/>
  <c r="BO31" i="4"/>
  <c r="AC75" i="4"/>
  <c r="BI59" i="4"/>
  <c r="AT106" i="4"/>
  <c r="BL84" i="4"/>
  <c r="BI69" i="4"/>
  <c r="BG5" i="4"/>
  <c r="BH46" i="4"/>
  <c r="BI51" i="4"/>
  <c r="BG59" i="4"/>
  <c r="BH20" i="4"/>
  <c r="AC48" i="4"/>
  <c r="BO79" i="4"/>
  <c r="BJ21" i="4"/>
  <c r="BI71" i="4"/>
  <c r="BI7" i="4"/>
  <c r="BJ40" i="4"/>
  <c r="BN110" i="4"/>
  <c r="BM60" i="4"/>
  <c r="BI74" i="4"/>
  <c r="BJ7" i="4"/>
  <c r="BG62" i="4"/>
  <c r="AS115" i="4"/>
  <c r="BG51" i="4"/>
  <c r="BL110" i="4"/>
  <c r="AC19" i="4"/>
  <c r="BH61" i="4"/>
  <c r="BI6" i="4"/>
  <c r="AC79" i="4"/>
  <c r="BI14" i="4"/>
  <c r="AE26" i="4"/>
  <c r="BL85" i="4"/>
  <c r="BL115" i="4"/>
  <c r="BN53" i="4"/>
  <c r="AF110" i="4"/>
  <c r="AC16" i="4"/>
  <c r="BH42" i="4"/>
  <c r="BH32" i="4"/>
  <c r="BM66" i="4"/>
  <c r="BJ85" i="4"/>
  <c r="AE48" i="4"/>
  <c r="BG69" i="4"/>
  <c r="AD108" i="4"/>
  <c r="BN109" i="4"/>
  <c r="AC9" i="4"/>
  <c r="AD45" i="4"/>
  <c r="AD58" i="4"/>
  <c r="BL89" i="4"/>
  <c r="BG93" i="4"/>
  <c r="AD17" i="4"/>
  <c r="BG33" i="4"/>
  <c r="BO63" i="4"/>
  <c r="BI32" i="4"/>
  <c r="BN27" i="4"/>
  <c r="BJ56" i="4"/>
  <c r="BG25" i="4"/>
  <c r="AF12" i="4"/>
  <c r="BI38" i="4"/>
  <c r="AF86" i="4"/>
  <c r="AE61" i="4"/>
  <c r="AF11" i="4"/>
  <c r="AC115" i="4"/>
  <c r="AE29" i="4"/>
  <c r="AC40" i="4"/>
  <c r="BO76" i="4"/>
  <c r="BH55" i="4"/>
  <c r="BH104" i="4"/>
  <c r="AC69" i="4"/>
  <c r="AF10" i="4"/>
  <c r="BH40" i="4"/>
  <c r="AC29" i="4"/>
  <c r="BH62" i="4"/>
  <c r="BJ57" i="4"/>
  <c r="AC53" i="4"/>
  <c r="BH87" i="4"/>
  <c r="AR116" i="4"/>
  <c r="BJ76" i="4"/>
  <c r="BN37" i="4"/>
  <c r="AS117" i="4"/>
  <c r="BJ14" i="4"/>
  <c r="AC32" i="4"/>
  <c r="AC60" i="4"/>
  <c r="AD44" i="4"/>
  <c r="AD110" i="4"/>
  <c r="AE22" i="4"/>
  <c r="BI110" i="4"/>
  <c r="BJ18" i="4"/>
  <c r="AD36" i="4"/>
  <c r="BO74" i="4"/>
  <c r="BG90" i="4"/>
  <c r="AE20" i="4"/>
  <c r="BO18" i="4"/>
  <c r="AD88" i="4"/>
  <c r="BL52" i="4"/>
  <c r="AC116" i="4"/>
  <c r="BL37" i="4"/>
  <c r="AC31" i="4"/>
  <c r="BI27" i="4"/>
  <c r="BG85" i="4"/>
  <c r="AE12" i="4"/>
  <c r="BM79" i="4"/>
  <c r="BH52" i="4"/>
  <c r="AC12" i="4"/>
  <c r="BJ23" i="4"/>
  <c r="BG54" i="4"/>
  <c r="BL5" i="4"/>
  <c r="AC11" i="4"/>
  <c r="BN12" i="4"/>
  <c r="AD13" i="4"/>
  <c r="BO10" i="4"/>
  <c r="BN103" i="4"/>
  <c r="BO38" i="4"/>
  <c r="BL11" i="4"/>
  <c r="BL91" i="4"/>
  <c r="BJ36" i="4"/>
  <c r="BL14" i="4"/>
  <c r="BN32" i="4"/>
  <c r="BN57" i="4"/>
  <c r="AD85" i="4"/>
  <c r="BI12" i="4"/>
  <c r="BO47" i="4"/>
  <c r="BL64" i="4"/>
  <c r="BI111" i="4"/>
  <c r="BI104" i="4"/>
  <c r="BM108" i="4"/>
  <c r="BN49" i="4"/>
  <c r="AE38" i="4"/>
  <c r="BG74" i="4"/>
  <c r="BG70" i="4"/>
  <c r="BJ64" i="4"/>
  <c r="BM81" i="4"/>
  <c r="BG19" i="4"/>
  <c r="AC49" i="4"/>
  <c r="BL83" i="4"/>
  <c r="BO77" i="4"/>
  <c r="BN60" i="4"/>
  <c r="AD23" i="4"/>
  <c r="AD47" i="4"/>
  <c r="BM111" i="4"/>
  <c r="BG86" i="4"/>
  <c r="BM31" i="4"/>
  <c r="AD41" i="4"/>
  <c r="AD78" i="4"/>
  <c r="BN18" i="4"/>
  <c r="BI105" i="4"/>
  <c r="BI103" i="4"/>
  <c r="AF100" i="4"/>
  <c r="BM5" i="4"/>
  <c r="AE47" i="4"/>
  <c r="BM116" i="4"/>
  <c r="AD10" i="4"/>
  <c r="AR114" i="4"/>
  <c r="BL63" i="4"/>
  <c r="BH45" i="4"/>
  <c r="BG111" i="4"/>
  <c r="BN26" i="4"/>
  <c r="BI43" i="4"/>
  <c r="BO46" i="4"/>
  <c r="BI46" i="4"/>
  <c r="AD63" i="4"/>
  <c r="BG108" i="4"/>
  <c r="AE18" i="4"/>
  <c r="BO83" i="4"/>
  <c r="BH36" i="4"/>
  <c r="BH79" i="4"/>
  <c r="AS103" i="4"/>
  <c r="BL109" i="4"/>
  <c r="AF79" i="4"/>
  <c r="BL116" i="4"/>
  <c r="BH19" i="4"/>
  <c r="BM45" i="4"/>
  <c r="BM34" i="4"/>
  <c r="BH48" i="4"/>
  <c r="BO58" i="4"/>
  <c r="AC85" i="4"/>
  <c r="BG52" i="4"/>
  <c r="BI42" i="4"/>
  <c r="BM42" i="4"/>
  <c r="BM78" i="4"/>
  <c r="AU114" i="4"/>
  <c r="AE28" i="4"/>
  <c r="AR111" i="4"/>
  <c r="AD50" i="4"/>
  <c r="BH84" i="4"/>
  <c r="AF36" i="4"/>
  <c r="BL44" i="4"/>
  <c r="AC94" i="4"/>
  <c r="BI34" i="4"/>
  <c r="BM12" i="4"/>
  <c r="AD81" i="4"/>
  <c r="AC71" i="4"/>
  <c r="BL9" i="4"/>
  <c r="BI54" i="4"/>
  <c r="AF74" i="4"/>
  <c r="BO61" i="4"/>
  <c r="BJ20" i="4"/>
  <c r="AC119" i="4"/>
  <c r="BI115" i="4"/>
  <c r="AC63" i="4"/>
  <c r="AD5" i="4"/>
  <c r="AC65" i="4"/>
  <c r="AC22" i="4"/>
  <c r="BG41" i="4"/>
  <c r="BO16" i="4"/>
  <c r="AU102" i="4"/>
  <c r="BH94" i="4"/>
  <c r="AR118" i="4"/>
  <c r="AF62" i="4"/>
  <c r="BJ114" i="4"/>
  <c r="BG91" i="4"/>
  <c r="BH23" i="4"/>
  <c r="BM59" i="4"/>
  <c r="BJ100" i="4"/>
  <c r="AD84" i="4"/>
  <c r="BO102" i="4"/>
  <c r="AU98" i="4"/>
  <c r="AS106" i="4"/>
  <c r="BG72" i="4"/>
  <c r="BI85" i="4"/>
  <c r="BN54" i="4"/>
  <c r="BJ47" i="4"/>
  <c r="BH93" i="4"/>
  <c r="AE71" i="4"/>
  <c r="AF108" i="4"/>
  <c r="BO56" i="4"/>
  <c r="BH57" i="4"/>
  <c r="BO51" i="4"/>
  <c r="BM13" i="4"/>
  <c r="BO114" i="4"/>
  <c r="BG27" i="4"/>
  <c r="BN81" i="4"/>
  <c r="BG79" i="4"/>
  <c r="BN67" i="4"/>
  <c r="BM21" i="4"/>
  <c r="AF55" i="4"/>
  <c r="AF35" i="4"/>
  <c r="AD107" i="4"/>
  <c r="AF103" i="4"/>
  <c r="AD69" i="4"/>
  <c r="BM75" i="4"/>
  <c r="AC57" i="4"/>
  <c r="BI56" i="4"/>
  <c r="BJ66" i="4"/>
  <c r="AF54" i="4"/>
  <c r="AD103" i="4"/>
  <c r="AE17" i="4"/>
  <c r="BH39" i="4"/>
  <c r="BM77" i="4"/>
  <c r="BM112" i="4"/>
  <c r="BG18" i="4"/>
  <c r="BN69" i="4"/>
  <c r="BM68" i="4"/>
  <c r="BO78" i="4"/>
  <c r="BL112" i="4"/>
  <c r="AE40" i="4"/>
  <c r="AS110" i="4"/>
  <c r="BL16" i="4"/>
  <c r="BM44" i="4"/>
  <c r="AE25" i="4"/>
  <c r="BL41" i="4"/>
  <c r="BJ72" i="4"/>
  <c r="BI48" i="4"/>
  <c r="BN74" i="4"/>
  <c r="BH43" i="4"/>
  <c r="BI61" i="4"/>
  <c r="BN25" i="4"/>
  <c r="BJ98" i="4"/>
  <c r="BI20" i="4"/>
  <c r="AE100" i="4"/>
  <c r="AD111" i="4"/>
  <c r="AD94" i="4"/>
  <c r="BG77" i="4"/>
  <c r="BN79" i="4"/>
  <c r="BJ74" i="4"/>
  <c r="AF107" i="4"/>
  <c r="BH65" i="4"/>
  <c r="BM109" i="4"/>
  <c r="BJ24" i="4"/>
  <c r="BL47" i="4"/>
  <c r="BG76" i="4"/>
  <c r="BN14" i="4"/>
  <c r="AF57" i="4"/>
  <c r="BH105" i="4"/>
  <c r="BL21" i="4"/>
  <c r="AF26" i="4"/>
  <c r="BN87" i="4"/>
  <c r="BL46" i="4"/>
  <c r="BO8" i="4"/>
  <c r="AD30" i="4"/>
  <c r="AE50" i="4"/>
  <c r="AD92" i="4"/>
  <c r="BM114" i="4"/>
  <c r="BO113" i="4"/>
  <c r="BO72" i="4"/>
  <c r="AD91" i="4"/>
  <c r="BG58" i="4"/>
  <c r="AD74" i="4"/>
  <c r="BL60" i="4"/>
  <c r="BG115" i="4"/>
  <c r="BO49" i="4"/>
  <c r="AT116" i="4"/>
  <c r="BL27" i="4"/>
  <c r="AD16" i="4"/>
  <c r="BH54" i="4"/>
  <c r="AD73" i="4"/>
  <c r="AC76" i="4"/>
  <c r="AD38" i="4"/>
  <c r="BH117" i="4"/>
  <c r="AF6" i="4"/>
  <c r="BI5" i="4"/>
  <c r="BH71" i="4"/>
  <c r="AD75" i="4"/>
  <c r="AD53" i="4"/>
  <c r="AD64" i="4"/>
  <c r="BN31" i="4"/>
  <c r="BI10" i="4"/>
  <c r="AD113" i="4"/>
  <c r="BJ58" i="4"/>
  <c r="BG28" i="4"/>
  <c r="BM51" i="4"/>
  <c r="BG116" i="4"/>
  <c r="AR115" i="4"/>
  <c r="BN23" i="4"/>
  <c r="BN52" i="4"/>
  <c r="AC62" i="4"/>
  <c r="AE110" i="4"/>
  <c r="BL119" i="4"/>
  <c r="BN56" i="4"/>
  <c r="BN80" i="4"/>
  <c r="AE52" i="4"/>
  <c r="AC113" i="4"/>
  <c r="BM56" i="4"/>
  <c r="AE89" i="4"/>
  <c r="BM47" i="4"/>
  <c r="AF66" i="4"/>
  <c r="BJ110" i="4"/>
  <c r="BG87" i="4"/>
  <c r="AF44" i="4"/>
  <c r="BL71" i="4"/>
  <c r="BG84" i="4"/>
  <c r="AC56" i="4"/>
  <c r="AD6" i="4"/>
  <c r="AR113" i="4"/>
  <c r="AD83" i="4"/>
  <c r="AE19" i="4"/>
  <c r="BG10" i="4"/>
  <c r="BG17" i="4"/>
  <c r="BJ77" i="4"/>
  <c r="AD80" i="4"/>
  <c r="BI50" i="4"/>
  <c r="BH114" i="4"/>
  <c r="BL69" i="4"/>
  <c r="AE7" i="4"/>
  <c r="BJ5" i="4"/>
  <c r="BN100" i="4"/>
  <c r="AF85" i="4"/>
  <c r="BG94" i="4"/>
  <c r="BN15" i="4"/>
  <c r="BN63" i="4"/>
  <c r="BO60" i="4"/>
  <c r="AF77" i="4"/>
  <c r="BO40" i="4"/>
  <c r="BM70" i="4"/>
  <c r="AC37" i="4"/>
  <c r="AF7" i="4"/>
  <c r="BG12" i="4"/>
  <c r="BN59" i="4"/>
  <c r="BI22" i="4"/>
  <c r="AE51" i="4"/>
  <c r="AD43" i="4"/>
  <c r="AF65" i="4"/>
  <c r="BO36" i="4"/>
  <c r="BJ83" i="4"/>
  <c r="BH21" i="4"/>
  <c r="BL32" i="4"/>
  <c r="BM37" i="4"/>
  <c r="AD29" i="4"/>
  <c r="BG45" i="4"/>
  <c r="AC83" i="4"/>
  <c r="BG89" i="4"/>
  <c r="AD33" i="4"/>
  <c r="BN19" i="4"/>
  <c r="AC72" i="4"/>
  <c r="AC10" i="4"/>
  <c r="BI73" i="4"/>
  <c r="BN77" i="4"/>
  <c r="BO42" i="4"/>
  <c r="AT104" i="4"/>
  <c r="AE45" i="4"/>
  <c r="BG9" i="4"/>
  <c r="BL78" i="4"/>
  <c r="AF23" i="4"/>
  <c r="BL49" i="4"/>
  <c r="BL13" i="4"/>
  <c r="BN75" i="4"/>
  <c r="BJ108" i="4"/>
  <c r="BL53" i="4"/>
  <c r="BO7" i="4"/>
  <c r="AF58" i="4"/>
  <c r="AE8" i="4"/>
  <c r="BH53" i="4"/>
  <c r="BG43" i="4"/>
  <c r="BO55" i="4"/>
  <c r="AF60" i="4"/>
  <c r="AC73" i="4"/>
  <c r="AF114" i="4"/>
  <c r="AD51" i="4"/>
  <c r="BG97" i="4"/>
  <c r="AE54" i="4"/>
  <c r="BG15" i="4"/>
  <c r="AC41" i="4"/>
  <c r="BM89" i="4"/>
  <c r="AD60" i="4"/>
  <c r="AC39" i="4"/>
  <c r="BJ29" i="4"/>
  <c r="BM15" i="4"/>
  <c r="BL54" i="4"/>
  <c r="AE78" i="4"/>
  <c r="AF76" i="4"/>
  <c r="BM65" i="4"/>
  <c r="BI9" i="4"/>
  <c r="BI84" i="4"/>
  <c r="BH17" i="4"/>
  <c r="BJ70" i="4"/>
  <c r="BN107" i="4"/>
  <c r="BI64" i="4"/>
  <c r="AC59" i="4"/>
  <c r="AC80" i="4"/>
  <c r="BG21" i="4"/>
  <c r="AD104" i="4"/>
  <c r="AE105" i="4"/>
  <c r="BG61" i="4"/>
  <c r="AF41" i="4"/>
  <c r="AD106" i="4"/>
  <c r="BG75" i="4"/>
  <c r="BM9" i="4"/>
  <c r="BH78" i="4"/>
  <c r="BI80" i="4"/>
  <c r="BH82" i="4"/>
  <c r="BI109" i="4"/>
  <c r="AF67" i="4"/>
  <c r="BM107" i="4"/>
  <c r="BL26" i="4"/>
  <c r="AS114" i="4"/>
  <c r="AE83" i="4"/>
  <c r="AU106" i="4"/>
  <c r="BH90" i="4"/>
  <c r="AC15" i="4"/>
  <c r="BL24" i="4"/>
  <c r="BM85" i="4"/>
  <c r="BN112" i="4"/>
  <c r="BG44" i="4"/>
  <c r="BG53" i="4"/>
  <c r="AE42" i="4"/>
  <c r="AC95" i="4"/>
  <c r="BI41" i="4"/>
  <c r="BO80" i="4"/>
  <c r="AD70" i="4"/>
  <c r="AE5" i="4"/>
  <c r="BL107" i="4"/>
  <c r="BO29" i="4"/>
  <c r="BO9" i="4"/>
  <c r="BL90" i="4"/>
  <c r="BH74" i="4"/>
  <c r="BO14" i="4"/>
  <c r="BH58" i="4"/>
  <c r="BH66" i="4"/>
  <c r="BO41" i="4"/>
  <c r="BM67" i="4"/>
  <c r="BI36" i="4"/>
  <c r="AE66" i="4"/>
  <c r="BO73" i="4"/>
  <c r="BI18" i="4"/>
  <c r="BI25" i="4"/>
  <c r="BG50" i="4"/>
  <c r="AF15" i="4"/>
  <c r="BG31" i="4"/>
  <c r="BM62" i="4"/>
  <c r="BN16" i="4"/>
  <c r="BG118" i="4"/>
  <c r="BI114" i="4"/>
  <c r="BN17" i="4"/>
  <c r="BN13" i="4"/>
  <c r="BM115" i="4"/>
  <c r="AT102" i="4"/>
  <c r="BJ80" i="4"/>
  <c r="BM40" i="4"/>
  <c r="BL82" i="4"/>
  <c r="BN72" i="4"/>
  <c r="AC26" i="4"/>
  <c r="BO107" i="4"/>
  <c r="AE106" i="4"/>
  <c r="AU107" i="4"/>
  <c r="BL51" i="4"/>
  <c r="BN78" i="4"/>
  <c r="BI67" i="4"/>
  <c r="AD32" i="4"/>
  <c r="BO35" i="4"/>
  <c r="AD115" i="4"/>
  <c r="AD59" i="4"/>
  <c r="BG112" i="4"/>
  <c r="AF19" i="4"/>
  <c r="BN10" i="4"/>
  <c r="BG65" i="4"/>
  <c r="BL75" i="4"/>
  <c r="AD77" i="4"/>
  <c r="BM61" i="4"/>
  <c r="AC14" i="4"/>
  <c r="AE27" i="4"/>
  <c r="AE72" i="4"/>
  <c r="BG7" i="4"/>
  <c r="BJ44" i="4"/>
  <c r="BM38" i="4"/>
  <c r="BM8" i="4"/>
  <c r="AE49" i="4"/>
  <c r="AC96" i="4"/>
  <c r="AF38" i="4"/>
  <c r="AF113" i="4"/>
  <c r="BL17" i="4"/>
  <c r="BO84" i="4"/>
  <c r="BG68" i="4"/>
  <c r="BJ31" i="4"/>
  <c r="AD39" i="4"/>
  <c r="BN101" i="4"/>
  <c r="BH109" i="4"/>
  <c r="AD105" i="4"/>
  <c r="AE85" i="4"/>
  <c r="AE108" i="4"/>
  <c r="BM73" i="4"/>
  <c r="BN44" i="4"/>
  <c r="BI79" i="4"/>
  <c r="BN34" i="4"/>
  <c r="BH76" i="4"/>
  <c r="AC92" i="4"/>
  <c r="BM87" i="4"/>
  <c r="BN86" i="4"/>
  <c r="BI88" i="4"/>
  <c r="BJ46" i="4"/>
  <c r="BM113" i="4"/>
  <c r="AD18" i="4"/>
  <c r="BL35" i="4"/>
  <c r="BL28" i="4"/>
  <c r="BI68" i="4"/>
  <c r="BI24" i="4"/>
  <c r="BN36" i="4"/>
  <c r="BO86" i="4"/>
  <c r="BM32" i="4"/>
  <c r="AE84" i="4"/>
  <c r="BL95" i="4"/>
  <c r="AC13" i="4"/>
  <c r="BM41" i="4"/>
  <c r="BO50" i="4"/>
  <c r="BH13" i="4"/>
  <c r="BM36" i="4"/>
  <c r="BH28" i="4"/>
  <c r="BJ105" i="4"/>
  <c r="BH85" i="4"/>
  <c r="BI86" i="4"/>
  <c r="AD65" i="4"/>
  <c r="BO27" i="4"/>
  <c r="AU104" i="4"/>
  <c r="BO75" i="4"/>
  <c r="BG109" i="4"/>
  <c r="BH24" i="4"/>
  <c r="BJ13" i="4"/>
  <c r="AE33" i="4"/>
  <c r="BM88" i="4"/>
  <c r="BG42" i="4"/>
  <c r="BH112" i="4"/>
  <c r="AC70" i="4"/>
  <c r="AC108" i="4"/>
  <c r="BH16" i="4"/>
  <c r="BL72" i="4"/>
  <c r="AF13" i="4"/>
  <c r="BH80" i="4"/>
  <c r="BI57" i="4"/>
  <c r="AF75" i="4"/>
  <c r="BJ30" i="4"/>
  <c r="BH8" i="4"/>
  <c r="BO53" i="4"/>
  <c r="BL77" i="4"/>
  <c r="BJ86" i="4"/>
  <c r="BM27" i="4"/>
  <c r="BN85" i="4"/>
  <c r="AD24" i="4"/>
  <c r="BM50" i="4"/>
  <c r="BN48" i="4"/>
  <c r="AF25" i="4"/>
  <c r="BO71" i="4"/>
  <c r="AF30" i="4"/>
  <c r="BJ35" i="4"/>
  <c r="BM92" i="4"/>
  <c r="BI101" i="4"/>
  <c r="BG60" i="4"/>
  <c r="BM6" i="4"/>
  <c r="BO100" i="4"/>
  <c r="AC7" i="4"/>
  <c r="AC68" i="4"/>
  <c r="BL29" i="4"/>
  <c r="AE31" i="4"/>
  <c r="BJ60" i="4"/>
  <c r="AS112" i="4"/>
  <c r="BI44" i="4"/>
  <c r="BJ62" i="4"/>
  <c r="BI89" i="4"/>
  <c r="BN43" i="4"/>
  <c r="BH30" i="4"/>
  <c r="BH29" i="4"/>
  <c r="BJ75" i="4"/>
  <c r="BM76" i="4"/>
  <c r="AE43" i="4"/>
  <c r="BM49" i="4"/>
  <c r="AU112" i="4"/>
  <c r="AF29" i="4"/>
  <c r="BO67" i="4"/>
  <c r="AT101" i="4"/>
  <c r="BI81" i="4"/>
  <c r="BJ48" i="4"/>
  <c r="BI72" i="4"/>
  <c r="BH110" i="4"/>
  <c r="BJ107" i="4"/>
  <c r="BG14" i="4"/>
  <c r="AC109" i="4"/>
  <c r="BG26" i="4"/>
  <c r="BG30" i="4"/>
  <c r="AE53" i="4"/>
  <c r="BG57" i="4"/>
  <c r="BI77" i="4"/>
  <c r="AF33" i="4"/>
  <c r="BL68" i="4"/>
  <c r="BI23" i="4"/>
  <c r="BL73" i="4"/>
  <c r="BH83" i="4"/>
  <c r="AF56" i="4"/>
  <c r="BL58" i="4"/>
  <c r="AD112" i="4"/>
  <c r="AC24" i="4"/>
  <c r="AF31" i="4"/>
  <c r="AD71" i="4"/>
  <c r="AR112" i="4"/>
  <c r="BL62" i="4"/>
  <c r="BI62" i="4"/>
  <c r="BL42" i="4"/>
  <c r="BN102" i="4"/>
  <c r="BG6" i="4"/>
  <c r="BM86" i="4"/>
  <c r="AC8" i="4"/>
  <c r="BL118" i="4"/>
  <c r="AE64" i="4"/>
  <c r="AC87" i="4"/>
  <c r="AE44" i="4"/>
  <c r="AD67" i="4"/>
  <c r="AD52" i="4"/>
  <c r="BH68" i="4"/>
  <c r="AC44" i="4"/>
  <c r="AF39" i="4"/>
  <c r="BO87" i="4"/>
  <c r="AC18" i="4"/>
  <c r="AE88" i="4"/>
  <c r="BG63" i="4"/>
  <c r="AC66" i="4"/>
  <c r="AT113" i="4"/>
  <c r="AF73" i="4"/>
  <c r="BJ33" i="4"/>
  <c r="BI53" i="4"/>
  <c r="BO66" i="4"/>
  <c r="BN7" i="4"/>
  <c r="BH67" i="4"/>
  <c r="AT115" i="4"/>
  <c r="BL34" i="4"/>
  <c r="AC89" i="4"/>
  <c r="BN46" i="4"/>
  <c r="BG32" i="4"/>
  <c r="BI37" i="4"/>
  <c r="AD21" i="4"/>
  <c r="BJ15" i="4"/>
  <c r="AE41" i="4"/>
  <c r="AF5" i="4"/>
  <c r="BG38" i="4"/>
  <c r="BN61" i="4"/>
  <c r="AC42" i="4"/>
  <c r="BH35" i="4"/>
  <c r="BJ113" i="4"/>
  <c r="AE58" i="4"/>
  <c r="AE16" i="4"/>
  <c r="AC54" i="4"/>
  <c r="AT111" i="4"/>
  <c r="BM48" i="4"/>
  <c r="AT107" i="4"/>
  <c r="BL87" i="4"/>
  <c r="AE73" i="4"/>
  <c r="AE57" i="4"/>
  <c r="AU100" i="4"/>
  <c r="AE62" i="4"/>
  <c r="BH14" i="4"/>
  <c r="AT105" i="4"/>
  <c r="AE79" i="4"/>
  <c r="BM11" i="4"/>
  <c r="AC27" i="4"/>
  <c r="AF61" i="4"/>
  <c r="AD22" i="4"/>
  <c r="BG47" i="4"/>
  <c r="BO104" i="4"/>
  <c r="AD12" i="4"/>
  <c r="BJ78" i="4"/>
  <c r="BN70" i="4"/>
  <c r="BO52" i="4"/>
  <c r="BL25" i="4"/>
  <c r="AR119" i="4"/>
  <c r="AE80" i="4"/>
  <c r="BI70" i="4"/>
  <c r="AF45" i="4"/>
  <c r="BL88" i="4"/>
  <c r="AE11" i="4"/>
  <c r="BO69" i="4"/>
  <c r="BH15" i="4"/>
  <c r="BO57" i="4"/>
  <c r="BM52" i="4"/>
  <c r="BM106" i="4"/>
  <c r="BG35" i="4"/>
  <c r="AD8" i="4"/>
  <c r="AF99" i="4"/>
  <c r="BI75" i="4"/>
  <c r="AT108" i="4"/>
  <c r="AC25" i="4"/>
  <c r="BG24" i="4"/>
  <c r="AE101" i="4"/>
  <c r="AC74" i="4"/>
  <c r="AD93" i="4"/>
  <c r="BO17" i="4"/>
  <c r="BL92" i="4"/>
  <c r="AT114" i="4"/>
  <c r="BG81" i="4"/>
  <c r="BH70" i="4"/>
  <c r="AD66" i="4"/>
  <c r="AE87" i="4"/>
  <c r="BL33" i="4"/>
  <c r="BN40" i="4"/>
  <c r="BO24" i="4"/>
  <c r="BL39" i="4"/>
  <c r="BG92" i="4"/>
  <c r="AE111" i="4"/>
  <c r="AE35" i="4"/>
  <c r="BN21" i="4"/>
  <c r="BJ10" i="4"/>
  <c r="AE46" i="4"/>
  <c r="BL12" i="4"/>
  <c r="AF68" i="4"/>
  <c r="BN22" i="4"/>
  <c r="BO30" i="4"/>
  <c r="BG40" i="4"/>
  <c r="BL45" i="4"/>
  <c r="BM110" i="4"/>
  <c r="AR117" i="4"/>
  <c r="AD68" i="4"/>
  <c r="BG73" i="4"/>
  <c r="BG95" i="4"/>
  <c r="AU109" i="4"/>
  <c r="BI49" i="4"/>
  <c r="BM103" i="4"/>
  <c r="BM93" i="4"/>
  <c r="BJ27" i="4"/>
  <c r="AC86" i="4"/>
  <c r="AE39" i="4"/>
  <c r="BO26" i="4"/>
  <c r="BO85" i="4"/>
  <c r="AC20" i="4"/>
  <c r="AT112" i="4"/>
  <c r="BM17" i="4"/>
  <c r="BH59" i="4"/>
  <c r="BN104" i="4"/>
  <c r="BL48" i="4"/>
  <c r="AF106" i="4"/>
  <c r="BJ54" i="4"/>
  <c r="BN116" i="4"/>
  <c r="AF51" i="4"/>
  <c r="AE9" i="4"/>
  <c r="BI45" i="4"/>
  <c r="AC88" i="4"/>
  <c r="AD72" i="4"/>
  <c r="AE116" i="4"/>
  <c r="BG114" i="4"/>
  <c r="BH60" i="4"/>
  <c r="BM82" i="4"/>
  <c r="AF52" i="4"/>
  <c r="AD54" i="4"/>
  <c r="AD90" i="4"/>
  <c r="BM104" i="4"/>
  <c r="BM74" i="4"/>
  <c r="BL10" i="4"/>
  <c r="BH41" i="4"/>
  <c r="AD37" i="4"/>
  <c r="BI17" i="4"/>
  <c r="BG46" i="4"/>
  <c r="BN88" i="4"/>
  <c r="AF112" i="4"/>
  <c r="BH37" i="4"/>
  <c r="BM91" i="4"/>
  <c r="BH113" i="4"/>
  <c r="BL8" i="4"/>
  <c r="BH51" i="4"/>
  <c r="AD34" i="4"/>
  <c r="BJ63" i="4"/>
  <c r="AD82" i="4"/>
  <c r="BH116" i="4"/>
  <c r="BO62" i="4"/>
  <c r="AS107" i="4"/>
  <c r="BM18" i="4"/>
  <c r="BO106" i="4"/>
  <c r="BM64" i="4"/>
  <c r="AC67" i="4"/>
  <c r="BL55" i="4"/>
  <c r="BO108" i="4"/>
  <c r="BN38" i="4"/>
  <c r="AR108" i="4"/>
  <c r="AD109" i="4"/>
  <c r="AF64" i="4"/>
  <c r="AD46" i="4"/>
  <c r="BL23" i="4"/>
  <c r="BI8" i="4"/>
  <c r="BI108" i="4"/>
  <c r="BI47" i="4"/>
  <c r="BJ84" i="4"/>
  <c r="BM53" i="4"/>
  <c r="AC58" i="4"/>
  <c r="BM69" i="4"/>
  <c r="AF32" i="4"/>
  <c r="AC38" i="4"/>
  <c r="BO20" i="4"/>
  <c r="BI107" i="4"/>
  <c r="BM43" i="4"/>
  <c r="AD89" i="4"/>
  <c r="AE114" i="4"/>
  <c r="AE69" i="4"/>
  <c r="AC34" i="4"/>
  <c r="BN84" i="4"/>
  <c r="BN29" i="4"/>
  <c r="BJ52" i="4"/>
  <c r="AE115" i="4"/>
  <c r="AT109" i="4"/>
  <c r="BI112" i="4"/>
  <c r="BI82" i="4"/>
  <c r="AF17" i="4"/>
  <c r="AC43" i="4"/>
  <c r="BL15" i="4"/>
  <c r="BN68" i="4"/>
  <c r="BM71" i="4"/>
  <c r="AD76" i="4"/>
  <c r="AE82" i="4"/>
  <c r="AF72" i="4"/>
  <c r="BG11" i="4"/>
  <c r="BO81" i="4"/>
  <c r="BO111" i="4"/>
  <c r="BH12" i="4"/>
  <c r="AD20" i="4"/>
  <c r="BJ106" i="4"/>
  <c r="BJ6" i="4"/>
  <c r="AD114" i="4"/>
  <c r="BH108" i="4"/>
  <c r="BL96" i="4"/>
  <c r="AF101" i="4"/>
  <c r="BO82" i="4"/>
  <c r="BN55" i="4"/>
  <c r="BM57" i="4"/>
  <c r="BL74" i="4"/>
  <c r="AF28" i="4"/>
  <c r="BN105" i="4"/>
  <c r="AE63" i="4"/>
  <c r="AF82" i="4"/>
  <c r="BM26" i="4"/>
  <c r="BJ49" i="4"/>
  <c r="BG80" i="4"/>
  <c r="BN24" i="4"/>
  <c r="AF81" i="4"/>
  <c r="BM25" i="4"/>
  <c r="BH31" i="4"/>
  <c r="BJ68" i="4"/>
  <c r="BN42" i="4"/>
  <c r="BJ11" i="4"/>
  <c r="BN41" i="4"/>
  <c r="BI66" i="4"/>
  <c r="BM105" i="4"/>
  <c r="BL30" i="4"/>
  <c r="AE68" i="4"/>
  <c r="BG37" i="4"/>
  <c r="BM39" i="4"/>
  <c r="AC36" i="4"/>
  <c r="BO43" i="4"/>
  <c r="AS116" i="4"/>
  <c r="BH89" i="4"/>
  <c r="AS104" i="4"/>
  <c r="AD56" i="4"/>
  <c r="BO28" i="4"/>
  <c r="BM29" i="4"/>
  <c r="BN35" i="4"/>
  <c r="AD117" i="4"/>
  <c r="BH33" i="4"/>
  <c r="BL111" i="4"/>
  <c r="BO109" i="4"/>
  <c r="BH77" i="4"/>
  <c r="AF43" i="4"/>
  <c r="AD7" i="4"/>
  <c r="BI116" i="4"/>
  <c r="AF27" i="4"/>
  <c r="AC17" i="4"/>
  <c r="BI31" i="4"/>
  <c r="BG23" i="4"/>
  <c r="AF87" i="4"/>
  <c r="AF98" i="4"/>
  <c r="BM46" i="4"/>
  <c r="BN71" i="4"/>
  <c r="BO105" i="4"/>
  <c r="AE15" i="4"/>
  <c r="AU111" i="4"/>
  <c r="AD62" i="4"/>
  <c r="BG39" i="4"/>
  <c r="AF69" i="4"/>
  <c r="BN89" i="4"/>
  <c r="BN64" i="4"/>
  <c r="AC78" i="4"/>
  <c r="BO25" i="4"/>
  <c r="BN62" i="4"/>
  <c r="BL86" i="4"/>
  <c r="BJ17" i="4"/>
  <c r="AE10" i="4"/>
  <c r="BM16" i="4"/>
  <c r="BI100" i="4"/>
  <c r="BN108" i="4"/>
  <c r="AE103" i="4"/>
  <c r="BL76" i="4"/>
  <c r="BM35" i="4"/>
  <c r="BO32" i="4"/>
  <c r="BN114" i="4"/>
  <c r="BJ101" i="4"/>
  <c r="BI63" i="4"/>
  <c r="BO21" i="4"/>
  <c r="BJ112" i="4"/>
  <c r="AE107" i="4"/>
  <c r="BG71" i="4"/>
  <c r="BM83" i="4"/>
  <c r="BL22" i="4"/>
  <c r="AE60" i="4"/>
  <c r="BH106" i="4"/>
  <c r="AF40" i="4"/>
  <c r="BJ87" i="4"/>
  <c r="AC50" i="4"/>
  <c r="BM94" i="4"/>
  <c r="AE104" i="4"/>
  <c r="BM10" i="4"/>
  <c r="BH47" i="4"/>
  <c r="BL117" i="4"/>
  <c r="BN30" i="4"/>
  <c r="BM72" i="4"/>
  <c r="BO11" i="4"/>
  <c r="BM58" i="4"/>
  <c r="BH7" i="4"/>
  <c r="AC77" i="4"/>
  <c r="BO99" i="4"/>
  <c r="BL19" i="4"/>
  <c r="AR110" i="4"/>
  <c r="AF22" i="4"/>
  <c r="BH81" i="4"/>
  <c r="BN58" i="4"/>
  <c r="BL38" i="4"/>
  <c r="AE112" i="4"/>
  <c r="AF71" i="4"/>
  <c r="BN6" i="4"/>
  <c r="BJ79" i="4"/>
  <c r="AD57" i="4"/>
  <c r="BI13" i="4"/>
  <c r="AC64" i="4"/>
  <c r="BM90" i="4"/>
  <c r="AE55" i="4"/>
  <c r="BJ53" i="4"/>
  <c r="BO45" i="4"/>
  <c r="BH63" i="4"/>
  <c r="AD28" i="4"/>
  <c r="AE67" i="4"/>
  <c r="AF53" i="4"/>
  <c r="BL97" i="4"/>
  <c r="BM23" i="4"/>
  <c r="AE75" i="4"/>
  <c r="BO112" i="4"/>
  <c r="BO5" i="4"/>
  <c r="AF18" i="4"/>
  <c r="AS105" i="4"/>
  <c r="BG110" i="4"/>
  <c r="AC110" i="4"/>
  <c r="BI40" i="4"/>
  <c r="AU110" i="4"/>
  <c r="BO44" i="4"/>
  <c r="BN9" i="4"/>
  <c r="AE21" i="4"/>
  <c r="BL59" i="4"/>
  <c r="AF46" i="4"/>
  <c r="AU113" i="4"/>
  <c r="AE70" i="4"/>
  <c r="AC23" i="4"/>
  <c r="BJ99" i="4"/>
  <c r="AF24" i="4"/>
  <c r="AF14" i="4"/>
  <c r="BL57" i="4"/>
  <c r="BG64" i="4"/>
  <c r="AD79" i="4"/>
  <c r="BN66" i="4"/>
  <c r="AE56" i="4"/>
  <c r="AD48" i="4"/>
  <c r="BH72" i="4"/>
  <c r="BJ34" i="4"/>
  <c r="BH34" i="4"/>
  <c r="BO65" i="4"/>
  <c r="AF105" i="4"/>
  <c r="BI52" i="4"/>
  <c r="BO37" i="4"/>
  <c r="BH88" i="4"/>
  <c r="BL93" i="4"/>
  <c r="BL94" i="4"/>
  <c r="BN113" i="4"/>
  <c r="BL114" i="4"/>
  <c r="BO22" i="4"/>
  <c r="BJ65" i="4"/>
  <c r="BI30" i="4"/>
  <c r="AF47" i="4"/>
  <c r="BH103" i="4"/>
  <c r="AE6" i="4"/>
  <c r="BM24" i="4"/>
  <c r="BO70" i="4"/>
  <c r="BO33" i="4"/>
  <c r="AD14" i="4"/>
  <c r="BL31" i="4"/>
  <c r="BG82" i="4"/>
  <c r="AU103" i="4"/>
  <c r="BN82" i="4"/>
  <c r="BN8" i="4"/>
  <c r="AD27" i="4"/>
  <c r="BO39" i="4"/>
  <c r="AF16" i="4"/>
  <c r="AC112" i="4"/>
  <c r="AU108" i="4"/>
  <c r="BH86" i="4"/>
  <c r="BI26" i="4"/>
  <c r="AF8" i="4"/>
  <c r="BM22" i="4"/>
  <c r="BL80" i="4"/>
  <c r="BG83" i="4"/>
  <c r="AE109" i="4"/>
  <c r="AT103" i="4"/>
  <c r="AC81" i="4"/>
  <c r="BM19" i="4"/>
  <c r="BG34" i="4"/>
  <c r="AF34" i="4"/>
  <c r="BN83" i="4"/>
  <c r="BJ45" i="4"/>
  <c r="AT100" i="4"/>
  <c r="AF63" i="4"/>
  <c r="BI78" i="4"/>
  <c r="AS113" i="4"/>
  <c r="AC5" i="4"/>
  <c r="AE34" i="4"/>
  <c r="BL7" i="4"/>
  <c r="BO64" i="4"/>
  <c r="AD9" i="4"/>
  <c r="BO103" i="4"/>
  <c r="AF48" i="4"/>
  <c r="BO23" i="4"/>
  <c r="AU101" i="4"/>
  <c r="BJ26" i="4"/>
  <c r="BJ9" i="4"/>
  <c r="AF49" i="4"/>
  <c r="BN111" i="4"/>
  <c r="AF102" i="4"/>
  <c r="BO110" i="4"/>
  <c r="BJ67" i="4"/>
  <c r="BJ12" i="4"/>
  <c r="AF84" i="4"/>
  <c r="BH75" i="4"/>
  <c r="AC118" i="4"/>
  <c r="AE24" i="4"/>
  <c r="BN115" i="4"/>
  <c r="BJ109" i="4"/>
  <c r="BH10" i="4"/>
  <c r="AC90" i="4"/>
  <c r="BH11" i="4"/>
  <c r="AD31" i="4"/>
  <c r="BL66" i="4"/>
  <c r="AE86" i="4"/>
  <c r="BJ25" i="4"/>
  <c r="BJ37" i="4"/>
  <c r="BO34" i="4"/>
  <c r="AD26" i="4"/>
  <c r="AC114" i="4"/>
  <c r="BG13" i="4"/>
  <c r="BJ59" i="4"/>
  <c r="BN65" i="4"/>
  <c r="BH73" i="4"/>
  <c r="BL6" i="4"/>
  <c r="AR107" i="4"/>
  <c r="AF21" i="4"/>
  <c r="AE113" i="4"/>
  <c r="BO13" i="4"/>
  <c r="BI11" i="4"/>
  <c r="BJ41" i="4"/>
  <c r="AD40" i="4"/>
  <c r="BL18" i="4"/>
  <c r="AC61" i="4"/>
  <c r="AE65" i="4"/>
  <c r="BN50" i="4"/>
  <c r="BL67" i="4"/>
  <c r="BG96" i="4"/>
  <c r="BO6" i="4"/>
  <c r="BH111" i="4"/>
  <c r="BJ111" i="4"/>
  <c r="AC91" i="4"/>
  <c r="BE9" i="4"/>
  <c r="BB62" i="4"/>
  <c r="AU96" i="4"/>
  <c r="BD19" i="4"/>
  <c r="AD95" i="4"/>
  <c r="BG101" i="4"/>
  <c r="BC66" i="4"/>
  <c r="AC103" i="4"/>
  <c r="AU97" i="4"/>
  <c r="BB109" i="4"/>
  <c r="BB54" i="4"/>
  <c r="AN115" i="4"/>
  <c r="AK111" i="4"/>
  <c r="AH114" i="4"/>
  <c r="AJ104" i="4"/>
  <c r="AF97" i="4"/>
  <c r="BD7" i="4"/>
  <c r="BN91" i="4"/>
  <c r="BB98" i="4"/>
  <c r="BB84" i="4"/>
  <c r="BO89" i="4"/>
  <c r="BD106" i="4"/>
  <c r="BD27" i="4"/>
  <c r="BC50" i="4"/>
  <c r="AU91" i="4"/>
  <c r="BE47" i="4"/>
  <c r="BC76" i="4"/>
  <c r="BB49" i="4"/>
  <c r="BD61" i="4"/>
  <c r="BC17" i="4"/>
  <c r="BD87" i="4"/>
  <c r="BC14" i="4"/>
  <c r="BC12" i="4"/>
  <c r="BD112" i="4"/>
  <c r="BC63" i="4"/>
  <c r="BE57" i="4"/>
  <c r="BE75" i="4"/>
  <c r="BB27" i="4"/>
  <c r="BE7" i="4"/>
  <c r="BB10" i="4"/>
  <c r="BL105" i="4"/>
  <c r="BB45" i="4"/>
  <c r="BN95" i="4"/>
  <c r="BC85" i="4"/>
  <c r="BE83" i="4"/>
  <c r="BC15" i="4"/>
  <c r="BM98" i="4"/>
  <c r="BC95" i="4"/>
  <c r="AF92" i="4"/>
  <c r="AF95" i="4"/>
  <c r="AU90" i="4"/>
  <c r="AT91" i="4"/>
  <c r="BE108" i="4"/>
  <c r="AT95" i="4"/>
  <c r="BC39" i="4"/>
  <c r="BD77" i="4"/>
  <c r="BD89" i="4"/>
  <c r="BC89" i="4"/>
  <c r="BC57" i="4"/>
  <c r="BI90" i="4"/>
  <c r="BB36" i="4"/>
  <c r="BC33" i="4"/>
  <c r="BD55" i="4"/>
  <c r="BC34" i="4"/>
  <c r="BJ88" i="4"/>
  <c r="BD102" i="4"/>
  <c r="BE85" i="4"/>
  <c r="AU89" i="4"/>
  <c r="BE42" i="4"/>
  <c r="AR99" i="4"/>
  <c r="BC46" i="4"/>
  <c r="BD25" i="4"/>
  <c r="AF91" i="4"/>
  <c r="BB26" i="4"/>
  <c r="BE77" i="4"/>
  <c r="BC13" i="4"/>
  <c r="BB76" i="4"/>
  <c r="BB69" i="4"/>
  <c r="BE8" i="4"/>
  <c r="BE46" i="4"/>
  <c r="BC44" i="4"/>
  <c r="BB6" i="4"/>
  <c r="BC80" i="4"/>
  <c r="BC79" i="4"/>
  <c r="BB85" i="4"/>
  <c r="AH115" i="4"/>
  <c r="AJ113" i="4"/>
  <c r="AI107" i="4"/>
  <c r="AM116" i="4"/>
  <c r="AJ107" i="4"/>
  <c r="AJ101" i="4"/>
  <c r="AP102" i="4"/>
  <c r="AO108" i="4"/>
  <c r="AJ102" i="4"/>
  <c r="AK107" i="4"/>
  <c r="AO106" i="4"/>
  <c r="AK101" i="4"/>
  <c r="AO105" i="4"/>
  <c r="AI110" i="4"/>
  <c r="AK104" i="4"/>
  <c r="AM117" i="4"/>
  <c r="BE67" i="4"/>
  <c r="AR102" i="4"/>
  <c r="AE95" i="4"/>
  <c r="BO90" i="4"/>
  <c r="BD6" i="4"/>
  <c r="BB40" i="4"/>
  <c r="BB47" i="4"/>
  <c r="BC47" i="4"/>
  <c r="BC61" i="4"/>
  <c r="BJ94" i="4"/>
  <c r="BN97" i="4"/>
  <c r="BB118" i="4"/>
  <c r="BC22" i="4"/>
  <c r="BC92" i="4"/>
  <c r="BC73" i="4"/>
  <c r="BD105" i="4"/>
  <c r="BC18" i="4"/>
  <c r="BE41" i="4"/>
  <c r="BE49" i="4"/>
  <c r="BE53" i="4"/>
  <c r="BL100" i="4"/>
  <c r="BB70" i="4"/>
  <c r="AR104" i="4"/>
  <c r="AD96" i="4"/>
  <c r="BC56" i="4"/>
  <c r="BC6" i="4"/>
  <c r="AD100" i="4"/>
  <c r="BB34" i="4"/>
  <c r="BE18" i="4"/>
  <c r="BC53" i="4"/>
  <c r="BC72" i="4"/>
  <c r="BB115" i="4"/>
  <c r="BD31" i="4"/>
  <c r="BE80" i="4"/>
  <c r="BL98" i="4"/>
  <c r="BD64" i="4"/>
  <c r="BE17" i="4"/>
  <c r="BO92" i="4"/>
  <c r="BC116" i="4"/>
  <c r="BB110" i="4"/>
  <c r="BB108" i="4"/>
  <c r="BO96" i="4"/>
  <c r="BE30" i="4"/>
  <c r="AC102" i="4"/>
  <c r="BB46" i="4"/>
  <c r="BC9" i="4"/>
  <c r="BB96" i="4"/>
  <c r="BB41" i="4"/>
  <c r="BC117" i="4"/>
  <c r="BE68" i="4"/>
  <c r="BB72" i="4"/>
  <c r="BE69" i="4"/>
  <c r="BE24" i="4"/>
  <c r="BC64" i="4"/>
  <c r="BB15" i="4"/>
  <c r="AT97" i="4"/>
  <c r="BD63" i="4"/>
  <c r="BC71" i="4"/>
  <c r="BD70" i="4"/>
  <c r="BE65" i="4"/>
  <c r="AE98" i="4"/>
  <c r="BN99" i="4"/>
  <c r="BE111" i="4"/>
  <c r="BE27" i="4"/>
  <c r="BE76" i="4"/>
  <c r="BB83" i="4"/>
  <c r="BE64" i="4"/>
  <c r="BB14" i="4"/>
  <c r="BB7" i="4"/>
  <c r="BH96" i="4"/>
  <c r="BB66" i="4"/>
  <c r="BE33" i="4"/>
  <c r="BC40" i="4"/>
  <c r="BB11" i="4"/>
  <c r="BC81" i="4"/>
  <c r="BE16" i="4"/>
  <c r="BE82" i="4"/>
  <c r="BD110" i="4"/>
  <c r="BB5" i="4"/>
  <c r="BE104" i="4"/>
  <c r="AC101" i="4"/>
  <c r="BC37" i="4"/>
  <c r="BE48" i="4"/>
  <c r="BI93" i="4"/>
  <c r="BB30" i="4"/>
  <c r="BB117" i="4"/>
  <c r="BD60" i="4"/>
  <c r="BC60" i="4"/>
  <c r="BE38" i="4"/>
  <c r="BE28" i="4"/>
  <c r="BD52" i="4"/>
  <c r="BM102" i="4"/>
  <c r="BD32" i="4"/>
  <c r="BC45" i="4"/>
  <c r="BD66" i="4"/>
  <c r="BB82" i="4"/>
  <c r="BC113" i="4"/>
  <c r="BC67" i="4"/>
  <c r="BE19" i="4"/>
  <c r="BB111" i="4"/>
  <c r="AD97" i="4"/>
  <c r="BC115" i="4"/>
  <c r="BD49" i="4"/>
  <c r="BL102" i="4"/>
  <c r="BC55" i="4"/>
  <c r="BC7" i="4"/>
  <c r="BB13" i="4"/>
  <c r="BE52" i="4"/>
  <c r="BJ93" i="4"/>
  <c r="BD26" i="4"/>
  <c r="BD69" i="4"/>
  <c r="BD13" i="4"/>
  <c r="BC69" i="4"/>
  <c r="BB52" i="4"/>
  <c r="BB113" i="4"/>
  <c r="BE100" i="4"/>
  <c r="BE43" i="4"/>
  <c r="BE102" i="4"/>
  <c r="BE23" i="4"/>
  <c r="BD37" i="4"/>
  <c r="BC20" i="4"/>
  <c r="BB120" i="4"/>
  <c r="AI114" i="4"/>
  <c r="AK100" i="4"/>
  <c r="AO112" i="4"/>
  <c r="AK113" i="4"/>
  <c r="AJ117" i="4"/>
  <c r="AO110" i="4"/>
  <c r="AN113" i="4"/>
  <c r="AO117" i="4"/>
  <c r="AJ115" i="4"/>
  <c r="AJ114" i="4"/>
  <c r="AN109" i="4"/>
  <c r="AP108" i="4"/>
  <c r="AN118" i="4"/>
  <c r="AM113" i="4"/>
  <c r="AP106" i="4"/>
  <c r="AI118" i="4"/>
  <c r="BC94" i="4"/>
  <c r="BB43" i="4"/>
  <c r="BO91" i="4"/>
  <c r="AS102" i="4"/>
  <c r="BC29" i="4"/>
  <c r="BC51" i="4"/>
  <c r="BD40" i="4"/>
  <c r="BE31" i="4"/>
  <c r="BC75" i="4"/>
  <c r="AU94" i="4"/>
  <c r="BE87" i="4"/>
  <c r="BC42" i="4"/>
  <c r="BL99" i="4"/>
  <c r="BC43" i="4"/>
  <c r="BC52" i="4"/>
  <c r="BE20" i="4"/>
  <c r="BC74" i="4"/>
  <c r="BE103" i="4"/>
  <c r="BD53" i="4"/>
  <c r="BE71" i="4"/>
  <c r="BB67" i="4"/>
  <c r="BB91" i="4"/>
  <c r="BI95" i="4"/>
  <c r="BB114" i="4"/>
  <c r="BB29" i="4"/>
  <c r="BE12" i="4"/>
  <c r="BD83" i="4"/>
  <c r="BB92" i="4"/>
  <c r="BC114" i="4"/>
  <c r="AE90" i="4"/>
  <c r="BD9" i="4"/>
  <c r="BE110" i="4"/>
  <c r="BB56" i="4"/>
  <c r="BB8" i="4"/>
  <c r="BD35" i="4"/>
  <c r="BB68" i="4"/>
  <c r="BB53" i="4"/>
  <c r="BO93" i="4"/>
  <c r="BD88" i="4"/>
  <c r="BD5" i="4"/>
  <c r="BE72" i="4"/>
  <c r="BD72" i="4"/>
  <c r="BC23" i="4"/>
  <c r="BC84" i="4"/>
  <c r="AF96" i="4"/>
  <c r="BE14" i="4"/>
  <c r="BH100" i="4"/>
  <c r="BB112" i="4"/>
  <c r="BE106" i="4"/>
  <c r="BN94" i="4"/>
  <c r="BD57" i="4"/>
  <c r="BD20" i="4"/>
  <c r="BC19" i="4"/>
  <c r="BN90" i="4"/>
  <c r="BD101" i="4"/>
  <c r="BD104" i="4"/>
  <c r="BC90" i="4"/>
  <c r="BE45" i="4"/>
  <c r="BI99" i="4"/>
  <c r="BG103" i="4"/>
  <c r="AS100" i="4"/>
  <c r="BC38" i="4"/>
  <c r="BO95" i="4"/>
  <c r="BD36" i="4"/>
  <c r="BD11" i="4"/>
  <c r="BD38" i="4"/>
  <c r="BE15" i="4"/>
  <c r="BE86" i="4"/>
  <c r="BC62" i="4"/>
  <c r="BJ95" i="4"/>
  <c r="BD21" i="4"/>
  <c r="AC98" i="4"/>
  <c r="BB21" i="4"/>
  <c r="BD10" i="4"/>
  <c r="AD99" i="4"/>
  <c r="BC10" i="4"/>
  <c r="BE115" i="4"/>
  <c r="BE113" i="4"/>
  <c r="BC111" i="4"/>
  <c r="BB32" i="4"/>
  <c r="AF90" i="4"/>
  <c r="BB33" i="4"/>
  <c r="BC70" i="4"/>
  <c r="BE5" i="4"/>
  <c r="BB61" i="4"/>
  <c r="BH97" i="4"/>
  <c r="BC28" i="4"/>
  <c r="BC26" i="4"/>
  <c r="BB24" i="4"/>
  <c r="BD71" i="4"/>
  <c r="BD45" i="4"/>
  <c r="AE99" i="4"/>
  <c r="BE37" i="4"/>
  <c r="BI91" i="4"/>
  <c r="BB42" i="4"/>
  <c r="BO88" i="4"/>
  <c r="BN96" i="4"/>
  <c r="BC11" i="4"/>
  <c r="BC107" i="4"/>
  <c r="BD103" i="4"/>
  <c r="BJ97" i="4"/>
  <c r="BB18" i="4"/>
  <c r="BH98" i="4"/>
  <c r="AC104" i="4"/>
  <c r="BB55" i="4"/>
  <c r="BC112" i="4"/>
  <c r="BE99" i="4"/>
  <c r="BE51" i="4"/>
  <c r="BC105" i="4"/>
  <c r="BE34" i="4"/>
  <c r="AS101" i="4"/>
  <c r="AT94" i="4"/>
  <c r="BD8" i="4"/>
  <c r="BN98" i="4"/>
  <c r="BC27" i="4"/>
  <c r="BC35" i="4"/>
  <c r="AS99" i="4"/>
  <c r="BC86" i="4"/>
  <c r="AM109" i="4"/>
  <c r="AH118" i="4"/>
  <c r="AI116" i="4"/>
  <c r="AP110" i="4"/>
  <c r="AH110" i="4"/>
  <c r="AH113" i="4"/>
  <c r="AH111" i="4"/>
  <c r="AH116" i="4"/>
  <c r="AJ109" i="4"/>
  <c r="AO102" i="4"/>
  <c r="AJ112" i="4"/>
  <c r="AN114" i="4"/>
  <c r="AM115" i="4"/>
  <c r="AM114" i="4"/>
  <c r="AN116" i="4"/>
  <c r="BD50" i="4"/>
  <c r="AH119" i="4"/>
  <c r="AN105" i="4"/>
  <c r="AK103" i="4"/>
  <c r="AJ116" i="4"/>
  <c r="AI108" i="4"/>
  <c r="AN104" i="4"/>
  <c r="AM108" i="4"/>
  <c r="BE29" i="4"/>
  <c r="BD81" i="4"/>
  <c r="BL104" i="4"/>
  <c r="BH101" i="4"/>
  <c r="BB39" i="4"/>
  <c r="BE39" i="4"/>
  <c r="BD17" i="4"/>
  <c r="BJ92" i="4"/>
  <c r="BD86" i="4"/>
  <c r="AU93" i="4"/>
  <c r="AR105" i="4"/>
  <c r="BG100" i="4"/>
  <c r="BB58" i="4"/>
  <c r="BI96" i="4"/>
  <c r="BD113" i="4"/>
  <c r="BB116" i="4"/>
  <c r="BB50" i="4"/>
  <c r="AM118" i="4"/>
  <c r="AN112" i="4"/>
  <c r="AJ105" i="4"/>
  <c r="AJ111" i="4"/>
  <c r="BD62" i="4"/>
  <c r="BI98" i="4"/>
  <c r="BB9" i="4"/>
  <c r="BE60" i="4"/>
  <c r="AU92" i="4"/>
  <c r="BD51" i="4"/>
  <c r="BE66" i="4"/>
  <c r="BB17" i="4"/>
  <c r="BE62" i="4"/>
  <c r="BD107" i="4"/>
  <c r="BE25" i="4"/>
  <c r="BB57" i="4"/>
  <c r="BE101" i="4"/>
  <c r="AF88" i="4"/>
  <c r="BB44" i="4"/>
  <c r="BB74" i="4"/>
  <c r="AR106" i="4"/>
  <c r="BH95" i="4"/>
  <c r="BD78" i="4"/>
  <c r="BG99" i="4"/>
  <c r="BL101" i="4"/>
  <c r="BE22" i="4"/>
  <c r="BC82" i="4"/>
  <c r="BD47" i="4"/>
  <c r="AT98" i="4"/>
  <c r="BC109" i="4"/>
  <c r="BD114" i="4"/>
  <c r="BB48" i="4"/>
  <c r="AR101" i="4"/>
  <c r="BC65" i="4"/>
  <c r="BJ90" i="4"/>
  <c r="BD42" i="4"/>
  <c r="AT99" i="4"/>
  <c r="AC99" i="4"/>
  <c r="BE26" i="4"/>
  <c r="BB75" i="4"/>
  <c r="BB65" i="4"/>
  <c r="BC24" i="4"/>
  <c r="BB35" i="4"/>
  <c r="AU95" i="4"/>
  <c r="BC93" i="4"/>
  <c r="BG102" i="4"/>
  <c r="BH99" i="4"/>
  <c r="BI97" i="4"/>
  <c r="BC106" i="4"/>
  <c r="BB77" i="4"/>
  <c r="BM96" i="4"/>
  <c r="BE61" i="4"/>
  <c r="BB20" i="4"/>
  <c r="BE54" i="4"/>
  <c r="BD18" i="4"/>
  <c r="AC100" i="4"/>
  <c r="BD111" i="4"/>
  <c r="BB23" i="4"/>
  <c r="BD76" i="4"/>
  <c r="BD39" i="4"/>
  <c r="BD29" i="4"/>
  <c r="BE81" i="4"/>
  <c r="BB97" i="4"/>
  <c r="AS97" i="4"/>
  <c r="BN93" i="4"/>
  <c r="BM99" i="4"/>
  <c r="BB51" i="4"/>
  <c r="AE92" i="4"/>
  <c r="BD108" i="4"/>
  <c r="BC48" i="4"/>
  <c r="BC30" i="4"/>
  <c r="BD43" i="4"/>
  <c r="BC41" i="4"/>
  <c r="AK112" i="4"/>
  <c r="AJ110" i="4"/>
  <c r="AO107" i="4"/>
  <c r="AP99" i="4"/>
  <c r="AO104" i="4"/>
  <c r="AI117" i="4"/>
  <c r="AJ108" i="4"/>
  <c r="AN108" i="4"/>
  <c r="BE55" i="4"/>
  <c r="AT92" i="4"/>
  <c r="BB95" i="4"/>
  <c r="BB88" i="4"/>
  <c r="BD109" i="4"/>
  <c r="AC105" i="4"/>
  <c r="BE114" i="4"/>
  <c r="AE96" i="4"/>
  <c r="BD79" i="4"/>
  <c r="BD28" i="4"/>
  <c r="BC88" i="4"/>
  <c r="AC106" i="4"/>
  <c r="BD65" i="4"/>
  <c r="BD44" i="4"/>
  <c r="BB60" i="4"/>
  <c r="BB64" i="4"/>
  <c r="BB25" i="4"/>
  <c r="BC54" i="4"/>
  <c r="BE79" i="4"/>
  <c r="AI106" i="4"/>
  <c r="AP109" i="4"/>
  <c r="AO114" i="4"/>
  <c r="BE32" i="4"/>
  <c r="BD46" i="4"/>
  <c r="BC108" i="4"/>
  <c r="AF89" i="4"/>
  <c r="AE91" i="4"/>
  <c r="BB94" i="4"/>
  <c r="BE40" i="4"/>
  <c r="BB81" i="4"/>
  <c r="BD116" i="4"/>
  <c r="BD117" i="4"/>
  <c r="BB89" i="4"/>
  <c r="BE70" i="4"/>
  <c r="BD15" i="4"/>
  <c r="BC49" i="4"/>
  <c r="BJ89" i="4"/>
  <c r="BD84" i="4"/>
  <c r="BD59" i="4"/>
  <c r="BD80" i="4"/>
  <c r="BD30" i="4"/>
  <c r="BC31" i="4"/>
  <c r="BD58" i="4"/>
  <c r="BC21" i="4"/>
  <c r="AD98" i="4"/>
  <c r="BG98" i="4"/>
  <c r="BC118" i="4"/>
  <c r="BO94" i="4"/>
  <c r="BE59" i="4"/>
  <c r="BD54" i="4"/>
  <c r="BD82" i="4"/>
  <c r="BD68" i="4"/>
  <c r="BB73" i="4"/>
  <c r="BE56" i="4"/>
  <c r="BC91" i="4"/>
  <c r="BC32" i="4"/>
  <c r="BM95" i="4"/>
  <c r="BB19" i="4"/>
  <c r="BB119" i="4"/>
  <c r="BC104" i="4"/>
  <c r="BC8" i="4"/>
  <c r="BD48" i="4"/>
  <c r="AT93" i="4"/>
  <c r="BC87" i="4"/>
  <c r="AD102" i="4"/>
  <c r="BE44" i="4"/>
  <c r="BC16" i="4"/>
  <c r="BC58" i="4"/>
  <c r="BB93" i="4"/>
  <c r="BB37" i="4"/>
  <c r="BN92" i="4"/>
  <c r="BD24" i="4"/>
  <c r="BL103" i="4"/>
  <c r="BE84" i="4"/>
  <c r="BB12" i="4"/>
  <c r="BC68" i="4"/>
  <c r="BG105" i="4"/>
  <c r="BE10" i="4"/>
  <c r="BE88" i="4"/>
  <c r="BB59" i="4"/>
  <c r="BJ91" i="4"/>
  <c r="BM97" i="4"/>
  <c r="BE109" i="4"/>
  <c r="BE78" i="4"/>
  <c r="BM100" i="4"/>
  <c r="BD12" i="4"/>
  <c r="BG106" i="4"/>
  <c r="BE13" i="4"/>
  <c r="BC83" i="4"/>
  <c r="BM101" i="4"/>
  <c r="BE63" i="4"/>
  <c r="BC5" i="4"/>
  <c r="AP100" i="4"/>
  <c r="AH108" i="4"/>
  <c r="AP113" i="4"/>
  <c r="AI105" i="4"/>
  <c r="AO109" i="4"/>
  <c r="AO103" i="4"/>
  <c r="AK106" i="4"/>
  <c r="AM110" i="4"/>
  <c r="AH117" i="4"/>
  <c r="AO111" i="4"/>
  <c r="AN111" i="4"/>
  <c r="AM120" i="4"/>
  <c r="AP112" i="4"/>
  <c r="AO101" i="4"/>
  <c r="AH109" i="4"/>
  <c r="BB71" i="4"/>
  <c r="BB90" i="4"/>
  <c r="BB63" i="4"/>
  <c r="AR103" i="4"/>
  <c r="BD90" i="4"/>
  <c r="BD14" i="4"/>
  <c r="AE94" i="4"/>
  <c r="AF94" i="4"/>
  <c r="AS98" i="4"/>
  <c r="BG104" i="4"/>
  <c r="BB78" i="4"/>
  <c r="BB38" i="4"/>
  <c r="AE93" i="4"/>
  <c r="BE107" i="4"/>
  <c r="BE50" i="4"/>
  <c r="BB86" i="4"/>
  <c r="BE105" i="4"/>
  <c r="AE97" i="4"/>
  <c r="AS96" i="4"/>
  <c r="BD34" i="4"/>
  <c r="BE6" i="4"/>
  <c r="BE21" i="4"/>
  <c r="BD41" i="4"/>
  <c r="AK109" i="4"/>
  <c r="AI104" i="4"/>
  <c r="AP103" i="4"/>
  <c r="AO113" i="4"/>
  <c r="BE35" i="4"/>
  <c r="BD56" i="4"/>
  <c r="AR100" i="4"/>
  <c r="AJ106" i="4"/>
  <c r="BD73" i="4"/>
  <c r="BE58" i="4"/>
  <c r="BB22" i="4"/>
  <c r="BD67" i="4"/>
  <c r="AI115" i="4"/>
  <c r="AH120" i="4"/>
  <c r="AP115" i="4"/>
  <c r="AP104" i="4"/>
  <c r="BB16" i="4"/>
  <c r="AI109" i="4"/>
  <c r="AP111" i="4"/>
  <c r="BD115" i="4"/>
  <c r="AP107" i="4"/>
  <c r="BC25" i="4"/>
  <c r="AJ103" i="4"/>
  <c r="AF93" i="4"/>
  <c r="BD16" i="4"/>
  <c r="BE11" i="4"/>
  <c r="BB31" i="4"/>
  <c r="AI111" i="4"/>
  <c r="AI113" i="4"/>
  <c r="AO115" i="4"/>
  <c r="AP114" i="4"/>
  <c r="AD101" i="4"/>
  <c r="BB87" i="4"/>
  <c r="AM111" i="4"/>
  <c r="BC110" i="4"/>
  <c r="AM112" i="4"/>
  <c r="BC36" i="4"/>
  <c r="BD85" i="4"/>
  <c r="BE36" i="4"/>
  <c r="BE112" i="4"/>
  <c r="BC59" i="4"/>
  <c r="AK110" i="4"/>
  <c r="AK102" i="4"/>
  <c r="AO116" i="4"/>
  <c r="AM119" i="4"/>
  <c r="BL106" i="4"/>
  <c r="AP101" i="4"/>
  <c r="BI94" i="4"/>
  <c r="AI112" i="4"/>
  <c r="BD33" i="4"/>
  <c r="AH112" i="4"/>
  <c r="AT96" i="4"/>
  <c r="BB28" i="4"/>
  <c r="BH102" i="4"/>
  <c r="BI92" i="4"/>
  <c r="AN117" i="4"/>
  <c r="AP105" i="4"/>
  <c r="AN107" i="4"/>
  <c r="AK115" i="4"/>
  <c r="BO97" i="4"/>
  <c r="BJ96" i="4"/>
  <c r="BD22" i="4"/>
  <c r="AK114" i="4"/>
  <c r="AK108" i="4"/>
  <c r="AK99" i="4"/>
  <c r="AK105" i="4"/>
  <c r="BD23" i="4"/>
  <c r="AN106" i="4"/>
  <c r="AN110" i="4"/>
  <c r="CM115" i="4" l="1"/>
  <c r="CN110" i="4"/>
  <c r="CM111" i="4"/>
  <c r="CK114" i="4"/>
  <c r="CM113" i="4"/>
  <c r="CN112" i="4"/>
  <c r="CK117" i="4"/>
  <c r="CM114" i="4"/>
  <c r="CM108" i="4"/>
  <c r="CN105" i="4"/>
  <c r="CN109" i="4"/>
  <c r="CK111" i="4"/>
  <c r="CL105" i="4"/>
  <c r="CM105" i="4"/>
  <c r="CN111" i="4"/>
  <c r="CN108" i="4"/>
  <c r="CN106" i="4"/>
  <c r="CM116" i="4"/>
  <c r="CL110" i="4"/>
  <c r="CL106" i="4"/>
  <c r="CK118" i="4"/>
  <c r="CL113" i="4"/>
  <c r="CN107" i="4"/>
  <c r="CL115" i="4"/>
  <c r="CK107" i="4"/>
  <c r="CM112" i="4"/>
  <c r="CL107" i="4"/>
  <c r="CM107" i="4"/>
  <c r="CK119" i="4"/>
  <c r="CN113" i="4"/>
  <c r="CL114" i="4"/>
  <c r="CL109" i="4"/>
  <c r="CK112" i="4"/>
  <c r="CL112" i="4"/>
  <c r="CN114" i="4"/>
  <c r="CK116" i="4"/>
  <c r="CK109" i="4"/>
  <c r="CL116" i="4"/>
  <c r="CL111" i="4"/>
  <c r="CL108" i="4"/>
  <c r="CM109" i="4"/>
  <c r="CK115" i="4"/>
  <c r="CK110" i="4"/>
  <c r="CM110" i="4"/>
  <c r="CK113" i="4"/>
  <c r="CL117" i="4"/>
  <c r="CK108" i="4"/>
  <c r="CM106" i="4"/>
  <c r="CD117" i="4"/>
  <c r="CK106" i="4"/>
  <c r="CD116" i="4"/>
  <c r="CD105" i="4"/>
  <c r="CD112" i="4"/>
  <c r="CD111" i="4"/>
  <c r="CD113" i="4"/>
  <c r="CD107" i="4"/>
  <c r="CD110" i="4"/>
  <c r="CD106" i="4"/>
  <c r="CD109" i="4"/>
  <c r="CD108" i="4"/>
  <c r="CD114" i="4"/>
  <c r="CD115" i="4"/>
  <c r="CC118" i="4"/>
  <c r="CC107" i="4"/>
  <c r="CC114" i="4"/>
  <c r="CC106" i="4"/>
  <c r="CC108" i="4"/>
  <c r="CC117" i="4"/>
  <c r="CC116" i="4"/>
  <c r="CC112" i="4"/>
  <c r="CC111" i="4"/>
  <c r="CC115" i="4"/>
  <c r="CC105" i="4"/>
  <c r="CC113" i="4"/>
  <c r="CC110" i="4"/>
  <c r="CC109" i="4"/>
  <c r="CB120" i="4"/>
  <c r="CB108" i="4"/>
  <c r="CB112" i="4"/>
  <c r="CB119" i="4"/>
  <c r="CB111" i="4"/>
  <c r="CB114" i="4"/>
  <c r="CB110" i="4"/>
  <c r="CB113" i="4"/>
  <c r="CB115" i="4"/>
  <c r="CB109" i="4"/>
  <c r="CB118" i="4"/>
  <c r="CB116" i="4"/>
  <c r="CB117" i="4"/>
  <c r="CE115" i="4"/>
  <c r="CE108" i="4"/>
  <c r="CE109" i="4"/>
  <c r="CE105" i="4"/>
  <c r="CE107" i="4"/>
  <c r="CE111" i="4"/>
  <c r="CE113" i="4"/>
  <c r="CE110" i="4"/>
  <c r="CE106" i="4"/>
  <c r="CE112" i="4"/>
  <c r="CE114" i="4"/>
  <c r="CK105" i="4"/>
  <c r="W100" i="4"/>
  <c r="V100" i="4"/>
  <c r="U100" i="4"/>
  <c r="X100" i="4"/>
  <c r="L68" i="4"/>
  <c r="L69" i="4"/>
  <c r="L67" i="4"/>
  <c r="BE93" i="4"/>
  <c r="BS8" i="4"/>
  <c r="BE95" i="4"/>
  <c r="BS9" i="4"/>
  <c r="BE94" i="4"/>
  <c r="BT10" i="4"/>
  <c r="BR11" i="4"/>
  <c r="BB100" i="4"/>
  <c r="BB107" i="4"/>
  <c r="BB102" i="4"/>
  <c r="AO98" i="4"/>
  <c r="AJ100" i="4"/>
  <c r="AH103" i="4"/>
  <c r="AM104" i="4"/>
  <c r="AK92" i="4"/>
  <c r="AI103" i="4"/>
  <c r="AN97" i="4"/>
  <c r="AP90" i="4"/>
  <c r="BB80" i="4"/>
  <c r="BC99" i="4"/>
  <c r="BR6" i="4"/>
  <c r="AK93" i="4"/>
  <c r="AI99" i="4"/>
  <c r="BE90" i="4"/>
  <c r="BQ10" i="4"/>
  <c r="BD99" i="4"/>
  <c r="AH101" i="4"/>
  <c r="AN99" i="4"/>
  <c r="BC78" i="4"/>
  <c r="BR10" i="4"/>
  <c r="BC101" i="4"/>
  <c r="BQ12" i="4"/>
  <c r="BC96" i="4"/>
  <c r="BB103" i="4"/>
  <c r="BQ8" i="4"/>
  <c r="BC98" i="4"/>
  <c r="BT12" i="4"/>
  <c r="AP93" i="4"/>
  <c r="AH102" i="4"/>
  <c r="AP94" i="4"/>
  <c r="AN103" i="4"/>
  <c r="AO99" i="4"/>
  <c r="AO97" i="4"/>
  <c r="AI102" i="4"/>
  <c r="AI98" i="4"/>
  <c r="AK90" i="4"/>
  <c r="BD94" i="4"/>
  <c r="BD95" i="4"/>
  <c r="BT8" i="4"/>
  <c r="BC97" i="4"/>
  <c r="BS6" i="4"/>
  <c r="BQ6" i="4"/>
  <c r="BR13" i="4"/>
  <c r="BD93" i="4"/>
  <c r="BD100" i="4"/>
  <c r="BR5" i="4"/>
  <c r="AM105" i="4"/>
  <c r="AN100" i="4"/>
  <c r="AJ94" i="4"/>
  <c r="AJ92" i="4"/>
  <c r="AN101" i="4"/>
  <c r="AJ96" i="4"/>
  <c r="AK96" i="4"/>
  <c r="BQ9" i="4"/>
  <c r="BS12" i="4"/>
  <c r="BE74" i="4"/>
  <c r="BS11" i="4"/>
  <c r="BS7" i="4"/>
  <c r="BD74" i="4"/>
  <c r="BE97" i="4"/>
  <c r="BT11" i="4"/>
  <c r="BE89" i="4"/>
  <c r="BR7" i="4"/>
  <c r="AP92" i="4"/>
  <c r="AK91" i="4"/>
  <c r="AJ95" i="4"/>
  <c r="AH105" i="4"/>
  <c r="AM107" i="4"/>
  <c r="AP97" i="4"/>
  <c r="AK89" i="4"/>
  <c r="AO100" i="4"/>
  <c r="AM106" i="4"/>
  <c r="BB105" i="4"/>
  <c r="BD98" i="4"/>
  <c r="BQ11" i="4"/>
  <c r="AH106" i="4"/>
  <c r="AK95" i="4"/>
  <c r="BC100" i="4"/>
  <c r="BC102" i="4"/>
  <c r="AO93" i="4"/>
  <c r="AI100" i="4"/>
  <c r="AN98" i="4"/>
  <c r="BT9" i="4"/>
  <c r="BB79" i="4"/>
  <c r="BE91" i="4"/>
  <c r="BC103" i="4"/>
  <c r="BS10" i="4"/>
  <c r="BE92" i="4"/>
  <c r="BD91" i="4"/>
  <c r="BQ7" i="4"/>
  <c r="BD75" i="4"/>
  <c r="BD96" i="4"/>
  <c r="AM102" i="4"/>
  <c r="AP98" i="4"/>
  <c r="AH100" i="4"/>
  <c r="AM100" i="4"/>
  <c r="AK94" i="4"/>
  <c r="AH107" i="4"/>
  <c r="AM103" i="4"/>
  <c r="AM101" i="4"/>
  <c r="AP95" i="4"/>
  <c r="BE96" i="4"/>
  <c r="BR9" i="4"/>
  <c r="BQ5" i="4"/>
  <c r="AJ98" i="4"/>
  <c r="AH104" i="4"/>
  <c r="BT7" i="4"/>
  <c r="BT5" i="4"/>
  <c r="BS5" i="4"/>
  <c r="AO94" i="4"/>
  <c r="AP91" i="4"/>
  <c r="BT6" i="4"/>
  <c r="BB99" i="4"/>
  <c r="BR12" i="4"/>
  <c r="BB106" i="4"/>
  <c r="BB101" i="4"/>
  <c r="BE73" i="4"/>
  <c r="BQ13" i="4"/>
  <c r="BC77" i="4"/>
  <c r="BD97" i="4"/>
  <c r="BD92" i="4"/>
  <c r="AJ99" i="4"/>
  <c r="AO92" i="4"/>
  <c r="AP89" i="4"/>
  <c r="AK98" i="4"/>
  <c r="AI97" i="4"/>
  <c r="AJ93" i="4"/>
  <c r="AK97" i="4"/>
  <c r="AO96" i="4"/>
  <c r="BB104" i="4"/>
  <c r="AO95" i="4"/>
  <c r="AI101" i="4"/>
  <c r="BE98" i="4"/>
  <c r="BR8" i="4"/>
  <c r="AN102" i="4"/>
  <c r="AJ97" i="4"/>
  <c r="AP96" i="4"/>
  <c r="CB107" i="4" l="1"/>
  <c r="CB105" i="4"/>
  <c r="CB106" i="4"/>
  <c r="D70" i="4"/>
  <c r="D98" i="4"/>
  <c r="D68" i="4"/>
  <c r="D72" i="4"/>
  <c r="D74" i="4"/>
  <c r="D71" i="4"/>
  <c r="D69" i="4"/>
  <c r="D73" i="4"/>
  <c r="D67" i="4"/>
  <c r="D96" i="4"/>
  <c r="D81" i="4"/>
  <c r="D94" i="4"/>
  <c r="D86" i="4"/>
  <c r="D92" i="4"/>
  <c r="D85" i="4"/>
  <c r="D79" i="4"/>
  <c r="D97" i="4"/>
  <c r="D77" i="4"/>
  <c r="D76" i="4"/>
  <c r="D87" i="4"/>
  <c r="D82" i="4"/>
  <c r="D80" i="4"/>
  <c r="D90" i="4"/>
  <c r="D88" i="4"/>
  <c r="D93" i="4"/>
  <c r="D95" i="4"/>
  <c r="D83" i="4"/>
  <c r="D91" i="4"/>
  <c r="D75" i="4"/>
  <c r="D84" i="4"/>
  <c r="D78" i="4"/>
  <c r="D89" i="4"/>
  <c r="AJ91" i="4"/>
  <c r="AI44" i="4"/>
  <c r="AI5" i="4"/>
  <c r="AJ18" i="4"/>
  <c r="AJ82" i="4"/>
  <c r="AJ14" i="4"/>
  <c r="AJ34" i="4"/>
  <c r="AG93" i="4"/>
  <c r="AH30" i="4"/>
  <c r="AH32" i="4"/>
  <c r="AI60" i="4"/>
  <c r="AG58" i="4"/>
  <c r="AH16" i="4"/>
  <c r="AJ65" i="4"/>
  <c r="AI79" i="4"/>
  <c r="AJ60" i="4"/>
  <c r="AK56" i="4"/>
  <c r="AJ6" i="4"/>
  <c r="AG46" i="4"/>
  <c r="AK65" i="4"/>
  <c r="AH69" i="4"/>
  <c r="AG62" i="4"/>
  <c r="AK63" i="4"/>
  <c r="AH60" i="4"/>
  <c r="AJ85" i="4"/>
  <c r="AJ33" i="4"/>
  <c r="AG37" i="4"/>
  <c r="AJ21" i="4"/>
  <c r="AK73" i="4"/>
  <c r="AG60" i="4"/>
  <c r="AK31" i="4"/>
  <c r="AG35" i="4"/>
  <c r="AJ81" i="4"/>
  <c r="AG71" i="4"/>
  <c r="AJ11" i="4"/>
  <c r="AH78" i="4"/>
  <c r="AI7" i="4"/>
  <c r="AH53" i="4"/>
  <c r="AJ89" i="4"/>
  <c r="AH28" i="4"/>
  <c r="AH87" i="4"/>
  <c r="AG90" i="4"/>
  <c r="AK71" i="4"/>
  <c r="AI22" i="4"/>
  <c r="AK16" i="4"/>
  <c r="AG85" i="4"/>
  <c r="AK18" i="4"/>
  <c r="AK72" i="4"/>
  <c r="AK41" i="4"/>
  <c r="AH73" i="4"/>
  <c r="AK55" i="4"/>
  <c r="AG79" i="4"/>
  <c r="AH14" i="4"/>
  <c r="AJ79" i="4"/>
  <c r="AG7" i="4"/>
  <c r="AH95" i="4"/>
  <c r="AK61" i="4"/>
  <c r="AH6" i="4"/>
  <c r="AK68" i="4"/>
  <c r="AJ50" i="4"/>
  <c r="AI16" i="4"/>
  <c r="AI59" i="4"/>
  <c r="AK48" i="4"/>
  <c r="AJ52" i="4"/>
  <c r="AK51" i="4"/>
  <c r="AJ63" i="4"/>
  <c r="AH90" i="4"/>
  <c r="AK6" i="4"/>
  <c r="AI54" i="4"/>
  <c r="AK82" i="4"/>
  <c r="AI81" i="4"/>
  <c r="AG92" i="4"/>
  <c r="AG18" i="4"/>
  <c r="AK75" i="4"/>
  <c r="AK77" i="4"/>
  <c r="AK39" i="4"/>
  <c r="AH8" i="4"/>
  <c r="AK60" i="4"/>
  <c r="AJ26" i="4"/>
  <c r="AJ12" i="4"/>
  <c r="AH70" i="4"/>
  <c r="AG101" i="4"/>
  <c r="AJ74" i="4"/>
  <c r="AG88" i="4"/>
  <c r="AG52" i="4"/>
  <c r="AH74" i="4"/>
  <c r="AK74" i="4"/>
  <c r="AG98" i="4"/>
  <c r="AJ64" i="4"/>
  <c r="AG55" i="4"/>
  <c r="AH97" i="4"/>
  <c r="AK59" i="4"/>
  <c r="AG84" i="4"/>
  <c r="AH13" i="4"/>
  <c r="AK81" i="4"/>
  <c r="AK62" i="4"/>
  <c r="AG95" i="4"/>
  <c r="AI51" i="4"/>
  <c r="AK27" i="4"/>
  <c r="AI34" i="4"/>
  <c r="AG87" i="4"/>
  <c r="AH9" i="4"/>
  <c r="AH54" i="4"/>
  <c r="AK11" i="4"/>
  <c r="AI19" i="4"/>
  <c r="AK38" i="4"/>
  <c r="AI90" i="4"/>
  <c r="AH98" i="4"/>
  <c r="AG70" i="4"/>
  <c r="AK86" i="4"/>
  <c r="AG96" i="4"/>
  <c r="AH7" i="4"/>
  <c r="AK20" i="4"/>
  <c r="AK34" i="4"/>
  <c r="AG69" i="4"/>
  <c r="AI35" i="4"/>
  <c r="AG42" i="4"/>
  <c r="AG51" i="4"/>
  <c r="AG26" i="4"/>
  <c r="AI80" i="4"/>
  <c r="AH58" i="4"/>
  <c r="AH15" i="4"/>
  <c r="AH20" i="4"/>
  <c r="AG54" i="4"/>
  <c r="AI92" i="4"/>
  <c r="AG73" i="4"/>
  <c r="AG8" i="4"/>
  <c r="AH77" i="4"/>
  <c r="AG77" i="4"/>
  <c r="AK78" i="4"/>
  <c r="AG23" i="4"/>
  <c r="AH27" i="4"/>
  <c r="AH80" i="4"/>
  <c r="AJ90" i="4"/>
  <c r="AG16" i="4"/>
  <c r="AI77" i="4"/>
  <c r="AG32" i="4"/>
  <c r="AJ10" i="4"/>
  <c r="AJ62" i="4"/>
  <c r="AJ16" i="4"/>
  <c r="AK35" i="4"/>
  <c r="AI15" i="4"/>
  <c r="AH81" i="4"/>
  <c r="AK32" i="4"/>
  <c r="AG28" i="4"/>
  <c r="AG48" i="4"/>
  <c r="AH84" i="4"/>
  <c r="AH83" i="4"/>
  <c r="AH12" i="4"/>
  <c r="AI96" i="4"/>
  <c r="AG25" i="4"/>
  <c r="AI28" i="4"/>
  <c r="AG19" i="4"/>
  <c r="AK87" i="4"/>
  <c r="AK53" i="4"/>
  <c r="AK19" i="4"/>
  <c r="AI70" i="4"/>
  <c r="AI74" i="4"/>
  <c r="AH35" i="4"/>
  <c r="AG6" i="4"/>
  <c r="AK22" i="4"/>
  <c r="AI95" i="4"/>
  <c r="AH42" i="4"/>
  <c r="AG99" i="4"/>
  <c r="AH26" i="4"/>
  <c r="AI53" i="4"/>
  <c r="AG41" i="4"/>
  <c r="AG68" i="4"/>
  <c r="AH71" i="4"/>
  <c r="AG83" i="4"/>
  <c r="AJ55" i="4"/>
  <c r="AG40" i="4"/>
  <c r="AJ25" i="4"/>
  <c r="AK36" i="4"/>
  <c r="AJ41" i="4"/>
  <c r="AG86" i="4"/>
  <c r="AH33" i="4"/>
  <c r="AJ40" i="4"/>
  <c r="AK14" i="4"/>
  <c r="AJ37" i="4"/>
  <c r="AI31" i="4"/>
  <c r="AK57" i="4"/>
  <c r="AJ43" i="4"/>
  <c r="AJ22" i="4"/>
  <c r="AG15" i="4"/>
  <c r="AK66" i="4"/>
  <c r="AJ71" i="4"/>
  <c r="AI88" i="4"/>
  <c r="AH49" i="4"/>
  <c r="AH18" i="4"/>
  <c r="AI93" i="4"/>
  <c r="AG64" i="4"/>
  <c r="AK58" i="4"/>
  <c r="AI71" i="4"/>
  <c r="AH31" i="4"/>
  <c r="AG97" i="4"/>
  <c r="AJ53" i="4"/>
  <c r="AJ28" i="4"/>
  <c r="AH43" i="4"/>
  <c r="AH57" i="4"/>
  <c r="AG56" i="4"/>
  <c r="AG47" i="4"/>
  <c r="AH91" i="4"/>
  <c r="AK30" i="4"/>
  <c r="AG22" i="4"/>
  <c r="AH93" i="4"/>
  <c r="AK83" i="4"/>
  <c r="AK9" i="4"/>
  <c r="AG80" i="4"/>
  <c r="AG39" i="4"/>
  <c r="AH66" i="4"/>
  <c r="AK23" i="4"/>
  <c r="AI47" i="4"/>
  <c r="AH63" i="4"/>
  <c r="AJ57" i="4"/>
  <c r="AH89" i="4"/>
  <c r="AI58" i="4"/>
  <c r="AH86" i="4"/>
  <c r="AH45" i="4"/>
  <c r="AJ84" i="4"/>
  <c r="AI27" i="4"/>
  <c r="AJ7" i="4"/>
  <c r="AI46" i="4"/>
  <c r="AI8" i="4"/>
  <c r="AJ77" i="4"/>
  <c r="AK84" i="4"/>
  <c r="AK10" i="4"/>
  <c r="AG21" i="4"/>
  <c r="AH99" i="4"/>
  <c r="AG9" i="4"/>
  <c r="AJ70" i="4"/>
  <c r="AK43" i="4"/>
  <c r="AG10" i="4"/>
  <c r="AK15" i="4"/>
  <c r="AI61" i="4"/>
  <c r="AI40" i="4"/>
  <c r="AJ86" i="4"/>
  <c r="AJ72" i="4"/>
  <c r="AH11" i="4"/>
  <c r="AK70" i="4"/>
  <c r="AG76" i="4"/>
  <c r="AG66" i="4"/>
  <c r="AK7" i="4"/>
  <c r="AG29" i="4"/>
  <c r="AG53" i="4"/>
  <c r="AI76" i="4"/>
  <c r="AJ38" i="4"/>
  <c r="AH17" i="4"/>
  <c r="AK25" i="4"/>
  <c r="AI56" i="4"/>
  <c r="AJ48" i="4"/>
  <c r="AI48" i="4"/>
  <c r="AH37" i="4"/>
  <c r="AH44" i="4"/>
  <c r="AK50" i="4"/>
  <c r="AG94" i="4"/>
  <c r="AI91" i="4"/>
  <c r="AJ66" i="4"/>
  <c r="AH61" i="4"/>
  <c r="AJ46" i="4"/>
  <c r="AK54" i="4"/>
  <c r="AG44" i="4"/>
  <c r="AH34" i="4"/>
  <c r="AI78" i="4"/>
  <c r="AJ5" i="4"/>
  <c r="AH29" i="4"/>
  <c r="AG12" i="4"/>
  <c r="AJ8" i="4"/>
  <c r="AI14" i="4"/>
  <c r="AG31" i="4"/>
  <c r="AI24" i="4"/>
  <c r="AJ61" i="4"/>
  <c r="AK79" i="4"/>
  <c r="AG33" i="4"/>
  <c r="AG20" i="4"/>
  <c r="AK49" i="4"/>
  <c r="AH36" i="4"/>
  <c r="AI52" i="4"/>
  <c r="AJ15" i="4"/>
  <c r="AI73" i="4"/>
  <c r="AJ68" i="4"/>
  <c r="AI75" i="4"/>
  <c r="AH23" i="4"/>
  <c r="AH39" i="4"/>
  <c r="AH56" i="4"/>
  <c r="AJ83" i="4"/>
  <c r="AI26" i="4"/>
  <c r="AI66" i="4"/>
  <c r="AK80" i="4"/>
  <c r="AI89" i="4"/>
  <c r="AG57" i="4"/>
  <c r="AJ42" i="4"/>
  <c r="AG14" i="4"/>
  <c r="AI33" i="4"/>
  <c r="AH55" i="4"/>
  <c r="AH47" i="4"/>
  <c r="AI50" i="4"/>
  <c r="AG30" i="4"/>
  <c r="AK69" i="4"/>
  <c r="AJ69" i="4"/>
  <c r="AJ51" i="4"/>
  <c r="AH51" i="4"/>
  <c r="AI25" i="4"/>
  <c r="AI9" i="4"/>
  <c r="AK5" i="4"/>
  <c r="AH64" i="4"/>
  <c r="AI49" i="4"/>
  <c r="AG17" i="4"/>
  <c r="AI55" i="4"/>
  <c r="AK67" i="4"/>
  <c r="AJ59" i="4"/>
  <c r="AJ67" i="4"/>
  <c r="AI94" i="4"/>
  <c r="AI36" i="4"/>
  <c r="AI64" i="4"/>
  <c r="AG67" i="4"/>
  <c r="AI63" i="4"/>
  <c r="AG43" i="4"/>
  <c r="AI38" i="4"/>
  <c r="AH22" i="4"/>
  <c r="AH94" i="4"/>
  <c r="AG59" i="4"/>
  <c r="AI67" i="4"/>
  <c r="AJ31" i="4"/>
  <c r="AI82" i="4"/>
  <c r="AI32" i="4"/>
  <c r="AI45" i="4"/>
  <c r="AI11" i="4"/>
  <c r="AI43" i="4"/>
  <c r="AG102" i="4"/>
  <c r="AH24" i="4"/>
  <c r="AG100" i="4"/>
  <c r="AK21" i="4"/>
  <c r="AK28" i="4"/>
  <c r="AJ75" i="4"/>
  <c r="AG49" i="4"/>
  <c r="AI18" i="4"/>
  <c r="AJ54" i="4"/>
  <c r="AI17" i="4"/>
  <c r="AH82" i="4"/>
  <c r="AK64" i="4"/>
  <c r="AI65" i="4"/>
  <c r="AI23" i="4"/>
  <c r="AJ19" i="4"/>
  <c r="AI42" i="4"/>
  <c r="AG36" i="4"/>
  <c r="AG75" i="4"/>
  <c r="AK37" i="4"/>
  <c r="AH85" i="4"/>
  <c r="AK47" i="4"/>
  <c r="AG38" i="4"/>
  <c r="AH72" i="4"/>
  <c r="AI39" i="4"/>
  <c r="AJ56" i="4"/>
  <c r="AG74" i="4"/>
  <c r="AH92" i="4"/>
  <c r="AH68" i="4"/>
  <c r="AK17" i="4"/>
  <c r="AH19" i="4"/>
  <c r="AG91" i="4"/>
  <c r="AH62" i="4"/>
  <c r="AH46" i="4"/>
  <c r="AI12" i="4"/>
  <c r="AI57" i="4"/>
  <c r="AK46" i="4"/>
  <c r="AI68" i="4"/>
  <c r="AI86" i="4"/>
  <c r="AG63" i="4"/>
  <c r="AJ80" i="4"/>
  <c r="AG24" i="4"/>
  <c r="AK42" i="4"/>
  <c r="AJ30" i="4"/>
  <c r="AJ78" i="4"/>
  <c r="AG50" i="4"/>
  <c r="AH50" i="4"/>
  <c r="AG34" i="4"/>
  <c r="AI29" i="4"/>
  <c r="AI20" i="4"/>
  <c r="AK88" i="4"/>
  <c r="AH88" i="4"/>
  <c r="AG5" i="4"/>
  <c r="AJ29" i="4"/>
  <c r="AJ73" i="4"/>
  <c r="AJ23" i="4"/>
  <c r="AH65" i="4"/>
  <c r="AK29" i="4"/>
  <c r="AH48" i="4"/>
  <c r="AJ27" i="4"/>
  <c r="AJ76" i="4"/>
  <c r="AJ9" i="4"/>
  <c r="AJ32" i="4"/>
  <c r="AG65" i="4"/>
  <c r="AG11" i="4"/>
  <c r="AK85" i="4"/>
  <c r="AK12" i="4"/>
  <c r="AI30" i="4"/>
  <c r="AG78" i="4"/>
  <c r="AK13" i="4"/>
  <c r="AH79" i="4"/>
  <c r="AH96" i="4"/>
  <c r="AH38" i="4"/>
  <c r="AK45" i="4"/>
  <c r="AJ17" i="4"/>
  <c r="AG72" i="4"/>
  <c r="AG89" i="4"/>
  <c r="AH5" i="4"/>
  <c r="AK33" i="4"/>
  <c r="AH40" i="4"/>
  <c r="AI84" i="4"/>
  <c r="AI69" i="4"/>
  <c r="AG61" i="4"/>
  <c r="AH76" i="4"/>
  <c r="AH41" i="4"/>
  <c r="AK52" i="4"/>
  <c r="AG82" i="4"/>
  <c r="AH52" i="4"/>
  <c r="AJ58" i="4"/>
  <c r="AH67" i="4"/>
  <c r="AJ36" i="4"/>
  <c r="AG81" i="4"/>
  <c r="AK26" i="4"/>
  <c r="AH25" i="4"/>
  <c r="AI10" i="4"/>
  <c r="AG45" i="4"/>
  <c r="AI6" i="4"/>
  <c r="AJ88" i="4"/>
  <c r="AK40" i="4"/>
  <c r="AJ13" i="4"/>
  <c r="AI37" i="4"/>
  <c r="AG27" i="4"/>
  <c r="AK76" i="4"/>
  <c r="AH59" i="4"/>
  <c r="AJ20" i="4"/>
  <c r="AI72" i="4"/>
  <c r="AJ35" i="4"/>
  <c r="AJ47" i="4"/>
  <c r="AJ49" i="4"/>
  <c r="AI83" i="4"/>
  <c r="AG13" i="4"/>
  <c r="AJ24" i="4"/>
  <c r="AI21" i="4"/>
  <c r="AK8" i="4"/>
  <c r="AK44" i="4"/>
  <c r="AH21" i="4"/>
  <c r="AJ44" i="4"/>
  <c r="AJ45" i="4"/>
  <c r="AI41" i="4"/>
  <c r="AI62" i="4"/>
  <c r="AH75" i="4"/>
  <c r="AI87" i="4"/>
  <c r="AI85" i="4"/>
  <c r="AJ87" i="4"/>
  <c r="AK24" i="4"/>
  <c r="AI13" i="4"/>
  <c r="AH10" i="4"/>
  <c r="AJ39" i="4"/>
  <c r="H70" i="4" l="1"/>
  <c r="H67" i="4"/>
  <c r="H69" i="4"/>
  <c r="H68" i="4"/>
  <c r="H71" i="4"/>
  <c r="H75" i="4"/>
  <c r="H74" i="4"/>
  <c r="H86" i="4"/>
  <c r="H83" i="4"/>
  <c r="H82" i="4"/>
  <c r="H96" i="4"/>
  <c r="H92" i="4"/>
  <c r="H95" i="4"/>
  <c r="H88" i="4"/>
  <c r="H94" i="4"/>
  <c r="H90" i="4"/>
  <c r="H98" i="4"/>
  <c r="H77" i="4"/>
  <c r="H79" i="4"/>
  <c r="H87" i="4"/>
  <c r="H89" i="4"/>
  <c r="H97" i="4"/>
  <c r="H84" i="4"/>
  <c r="H93" i="4"/>
  <c r="H85" i="4"/>
  <c r="H81" i="4"/>
  <c r="H76" i="4"/>
  <c r="H72" i="4"/>
  <c r="H80" i="4"/>
  <c r="H73" i="4"/>
  <c r="H91" i="4"/>
  <c r="H78" i="4"/>
  <c r="AS17" i="4"/>
  <c r="AU6" i="4"/>
  <c r="AU7" i="4"/>
  <c r="AR98" i="4"/>
  <c r="AS94" i="4"/>
  <c r="AU16" i="4"/>
  <c r="AS7" i="4"/>
  <c r="AU5" i="4"/>
  <c r="AQ102" i="4"/>
  <c r="AR16" i="4"/>
  <c r="AR17" i="4"/>
  <c r="AS5" i="4"/>
  <c r="AQ18" i="4"/>
  <c r="AT17" i="4"/>
  <c r="AS95" i="4"/>
  <c r="AQ5" i="4"/>
  <c r="AS9" i="4"/>
  <c r="AT8" i="4"/>
  <c r="AU88" i="4"/>
  <c r="AR9" i="4"/>
  <c r="AR95" i="4"/>
  <c r="AQ101" i="4"/>
  <c r="AT88" i="4"/>
  <c r="AS6" i="4"/>
  <c r="AS8" i="4"/>
  <c r="AS16" i="4"/>
  <c r="AT7" i="4"/>
  <c r="AT9" i="4"/>
  <c r="AR8" i="4"/>
  <c r="AS93" i="4"/>
  <c r="AT89" i="4"/>
  <c r="AR96" i="4"/>
  <c r="AT15" i="4"/>
  <c r="AQ16" i="4"/>
  <c r="AR7" i="4"/>
  <c r="AR5" i="4"/>
  <c r="AT5" i="4"/>
  <c r="AR97" i="4"/>
  <c r="AS18" i="4"/>
  <c r="AU87" i="4"/>
  <c r="AR18" i="4"/>
  <c r="AQ100" i="4"/>
  <c r="AU8" i="4"/>
  <c r="AT90" i="4"/>
  <c r="AT6" i="4"/>
  <c r="AU15" i="4"/>
  <c r="AQ17" i="4"/>
  <c r="AU9" i="4"/>
  <c r="AT16" i="4"/>
  <c r="AU86" i="4"/>
  <c r="AR6" i="4"/>
  <c r="F96" i="4" l="1"/>
  <c r="F97" i="4"/>
  <c r="F98" i="4"/>
  <c r="F72" i="4"/>
  <c r="F86" i="4"/>
  <c r="F92" i="4"/>
  <c r="F69" i="4"/>
  <c r="F71" i="4"/>
  <c r="F73" i="4"/>
  <c r="F75" i="4"/>
  <c r="F77" i="4"/>
  <c r="F79" i="4"/>
  <c r="F81" i="4"/>
  <c r="F83" i="4"/>
  <c r="F85" i="4"/>
  <c r="F87" i="4"/>
  <c r="F89" i="4"/>
  <c r="F91" i="4"/>
  <c r="F93" i="4"/>
  <c r="F95" i="4"/>
  <c r="F68" i="4"/>
  <c r="F70" i="4"/>
  <c r="F76" i="4"/>
  <c r="F78" i="4"/>
  <c r="F84" i="4"/>
  <c r="F90" i="4"/>
  <c r="F74" i="4"/>
  <c r="F80" i="4"/>
  <c r="F82" i="4"/>
  <c r="F88" i="4"/>
  <c r="F94" i="4"/>
  <c r="F67" i="4"/>
  <c r="J97" i="4"/>
  <c r="J96" i="4"/>
  <c r="J68" i="4"/>
  <c r="J70" i="4"/>
  <c r="J72" i="4"/>
  <c r="J74" i="4"/>
  <c r="J76" i="4"/>
  <c r="J78" i="4"/>
  <c r="J80" i="4"/>
  <c r="J82" i="4"/>
  <c r="J84" i="4"/>
  <c r="J86" i="4"/>
  <c r="J88" i="4"/>
  <c r="J90" i="4"/>
  <c r="J92" i="4"/>
  <c r="J94" i="4"/>
  <c r="J73" i="4"/>
  <c r="J75" i="4"/>
  <c r="J79" i="4"/>
  <c r="J83" i="4"/>
  <c r="J87" i="4"/>
  <c r="J91" i="4"/>
  <c r="J93" i="4"/>
  <c r="J69" i="4"/>
  <c r="J71" i="4"/>
  <c r="J77" i="4"/>
  <c r="J81" i="4"/>
  <c r="J85" i="4"/>
  <c r="J89" i="4"/>
  <c r="J95" i="4"/>
  <c r="J98" i="4"/>
  <c r="J67" i="4"/>
  <c r="AS41" i="4"/>
  <c r="AU71" i="4"/>
  <c r="AU56" i="4"/>
  <c r="AT40" i="4"/>
  <c r="AT28" i="4"/>
  <c r="AU19" i="4"/>
  <c r="AR51" i="4"/>
  <c r="AS73" i="4"/>
  <c r="AS19" i="4"/>
  <c r="AR43" i="4"/>
  <c r="AR40" i="4"/>
  <c r="AR13" i="4"/>
  <c r="AS71" i="4"/>
  <c r="AR58" i="4"/>
  <c r="AU65" i="4"/>
  <c r="AU35" i="4"/>
  <c r="AS78" i="4"/>
  <c r="AR74" i="4"/>
  <c r="AU49" i="4"/>
  <c r="AT42" i="4"/>
  <c r="AR75" i="4"/>
  <c r="AR59" i="4"/>
  <c r="AT69" i="4"/>
  <c r="AR29" i="4"/>
  <c r="AT72" i="4"/>
  <c r="AS91" i="4"/>
  <c r="AS22" i="4"/>
  <c r="AT64" i="4"/>
  <c r="AS53" i="4"/>
  <c r="AS65" i="4"/>
  <c r="AS39" i="4"/>
  <c r="AT11" i="4"/>
  <c r="AU47" i="4"/>
  <c r="AS84" i="4"/>
  <c r="AS75" i="4"/>
  <c r="AR78" i="4"/>
  <c r="AT10" i="4"/>
  <c r="AR48" i="4"/>
  <c r="AR80" i="4"/>
  <c r="AQ6" i="4"/>
  <c r="AQ63" i="4"/>
  <c r="AQ8" i="4"/>
  <c r="AQ81" i="4"/>
  <c r="AQ72" i="4"/>
  <c r="AQ94" i="4"/>
  <c r="AQ42" i="4"/>
  <c r="AQ31" i="4"/>
  <c r="AQ13" i="4"/>
  <c r="AQ58" i="4"/>
  <c r="AQ9" i="4"/>
  <c r="AQ80" i="4"/>
  <c r="AO85" i="4"/>
  <c r="AL42" i="4"/>
  <c r="AO86" i="4"/>
  <c r="AL41" i="4"/>
  <c r="AN90" i="4"/>
  <c r="AP75" i="4"/>
  <c r="AN66" i="4"/>
  <c r="AP33" i="4"/>
  <c r="AN86" i="4"/>
  <c r="AN9" i="4"/>
  <c r="AM40" i="4"/>
  <c r="AM29" i="4"/>
  <c r="AN53" i="4"/>
  <c r="AM32" i="4"/>
  <c r="AP25" i="4"/>
  <c r="AN93" i="4"/>
  <c r="AL72" i="4"/>
  <c r="AL34" i="4"/>
  <c r="AO26" i="4"/>
  <c r="AL6" i="4"/>
  <c r="AO49" i="4"/>
  <c r="AP28" i="4"/>
  <c r="AL60" i="4"/>
  <c r="AO51" i="4"/>
  <c r="AN74" i="4"/>
  <c r="AM80" i="4"/>
  <c r="AL52" i="4"/>
  <c r="AL16" i="4"/>
  <c r="AL54" i="4"/>
  <c r="AL18" i="4"/>
  <c r="AM92" i="4"/>
  <c r="AM30" i="4"/>
  <c r="AN46" i="4"/>
  <c r="AM84" i="4"/>
  <c r="AO71" i="4"/>
  <c r="AP13" i="4"/>
  <c r="AL33" i="4"/>
  <c r="AM58" i="4"/>
  <c r="AO63" i="4"/>
  <c r="AM27" i="4"/>
  <c r="AN49" i="4"/>
  <c r="AN72" i="4"/>
  <c r="AO75" i="4"/>
  <c r="AP60" i="4"/>
  <c r="AN59" i="4"/>
  <c r="AL93" i="4"/>
  <c r="AP38" i="4"/>
  <c r="AL74" i="4"/>
  <c r="AP29" i="4"/>
  <c r="AL75" i="4"/>
  <c r="AL31" i="4"/>
  <c r="AO13" i="4"/>
  <c r="AL97" i="4"/>
  <c r="AN71" i="4"/>
  <c r="AP18" i="4"/>
  <c r="AM71" i="4"/>
  <c r="AP39" i="4"/>
  <c r="AN61" i="4"/>
  <c r="AM74" i="4"/>
  <c r="AL23" i="4"/>
  <c r="AN83" i="4"/>
  <c r="AP44" i="4"/>
  <c r="AN25" i="4"/>
  <c r="AP15" i="4"/>
  <c r="AL28" i="4"/>
  <c r="AM21" i="4"/>
  <c r="AM43" i="4"/>
  <c r="AO14" i="4"/>
  <c r="AP24" i="4"/>
  <c r="AP68" i="4"/>
  <c r="AO28" i="4"/>
  <c r="AR64" i="4"/>
  <c r="AU22" i="4"/>
  <c r="AS47" i="4"/>
  <c r="AT24" i="4"/>
  <c r="AR92" i="4"/>
  <c r="AU10" i="4"/>
  <c r="AU18" i="4"/>
  <c r="AS36" i="4"/>
  <c r="AT13" i="4"/>
  <c r="AU24" i="4"/>
  <c r="AT30" i="4"/>
  <c r="AR61" i="4"/>
  <c r="AR22" i="4"/>
  <c r="AR53" i="4"/>
  <c r="AS92" i="4"/>
  <c r="AT77" i="4"/>
  <c r="AU59" i="4"/>
  <c r="AR62" i="4"/>
  <c r="AR54" i="4"/>
  <c r="AU41" i="4"/>
  <c r="AS12" i="4"/>
  <c r="AS62" i="4"/>
  <c r="AT54" i="4"/>
  <c r="AS15" i="4"/>
  <c r="AU12" i="4"/>
  <c r="AR35" i="4"/>
  <c r="AT46" i="4"/>
  <c r="AT85" i="4"/>
  <c r="AT19" i="4"/>
  <c r="AT55" i="4"/>
  <c r="AS33" i="4"/>
  <c r="AR63" i="4"/>
  <c r="AU60" i="4"/>
  <c r="AS55" i="4"/>
  <c r="AR46" i="4"/>
  <c r="AT65" i="4"/>
  <c r="AU54" i="4"/>
  <c r="AR66" i="4"/>
  <c r="AT31" i="4"/>
  <c r="AQ52" i="4"/>
  <c r="AQ96" i="4"/>
  <c r="AQ29" i="4"/>
  <c r="AQ90" i="4"/>
  <c r="AQ7" i="4"/>
  <c r="AQ25" i="4"/>
  <c r="AQ48" i="4"/>
  <c r="AQ19" i="4"/>
  <c r="AQ10" i="4"/>
  <c r="AQ50" i="4"/>
  <c r="AQ56" i="4"/>
  <c r="AQ61" i="4"/>
  <c r="AL5" i="4"/>
  <c r="AP79" i="4"/>
  <c r="AO64" i="4"/>
  <c r="AN79" i="4"/>
  <c r="AL64" i="4"/>
  <c r="AL55" i="4"/>
  <c r="AL9" i="4"/>
  <c r="AN6" i="4"/>
  <c r="AN29" i="4"/>
  <c r="AP81" i="4"/>
  <c r="AM59" i="4"/>
  <c r="AP78" i="4"/>
  <c r="AN51" i="4"/>
  <c r="AP12" i="4"/>
  <c r="AL40" i="4"/>
  <c r="AM81" i="4"/>
  <c r="AN78" i="4"/>
  <c r="AM45" i="4"/>
  <c r="AM83" i="4"/>
  <c r="AO19" i="4"/>
  <c r="AP10" i="4"/>
  <c r="AN41" i="4"/>
  <c r="AM15" i="4"/>
  <c r="AO34" i="4"/>
  <c r="AP30" i="4"/>
  <c r="AP37" i="4"/>
  <c r="AO43" i="4"/>
  <c r="AO44" i="4"/>
  <c r="AL76" i="4"/>
  <c r="AP77" i="4"/>
  <c r="AN33" i="4"/>
  <c r="AN82" i="4"/>
  <c r="AN39" i="4"/>
  <c r="AL57" i="4"/>
  <c r="AP74" i="4"/>
  <c r="AS51" i="4"/>
  <c r="AT29" i="4"/>
  <c r="AS67" i="4"/>
  <c r="AT84" i="4"/>
  <c r="AU80" i="4"/>
  <c r="AR32" i="4"/>
  <c r="AR28" i="4"/>
  <c r="AS58" i="4"/>
  <c r="AS13" i="4"/>
  <c r="AU30" i="4"/>
  <c r="AT49" i="4"/>
  <c r="AR93" i="4"/>
  <c r="AR71" i="4"/>
  <c r="AS74" i="4"/>
  <c r="AR26" i="4"/>
  <c r="AR69" i="4"/>
  <c r="AS70" i="4"/>
  <c r="AU46" i="4"/>
  <c r="AU37" i="4"/>
  <c r="AR41" i="4"/>
  <c r="AT41" i="4"/>
  <c r="AT52" i="4"/>
  <c r="AU25" i="4"/>
  <c r="AS77" i="4"/>
  <c r="AS31" i="4"/>
  <c r="AT78" i="4"/>
  <c r="AS46" i="4"/>
  <c r="AT14" i="4"/>
  <c r="AU13" i="4"/>
  <c r="AS87" i="4"/>
  <c r="AS10" i="4"/>
  <c r="AT25" i="4"/>
  <c r="AR19" i="4"/>
  <c r="AR79" i="4"/>
  <c r="AU55" i="4"/>
  <c r="AT66" i="4"/>
  <c r="AR38" i="4"/>
  <c r="AT59" i="4"/>
  <c r="AT63" i="4"/>
  <c r="AQ38" i="4"/>
  <c r="AQ85" i="4"/>
  <c r="AQ14" i="4"/>
  <c r="AQ43" i="4"/>
  <c r="AQ92" i="4"/>
  <c r="AQ26" i="4"/>
  <c r="AQ30" i="4"/>
  <c r="AQ33" i="4"/>
  <c r="AQ75" i="4"/>
  <c r="AQ49" i="4"/>
  <c r="AQ86" i="4"/>
  <c r="AO70" i="4"/>
  <c r="AM97" i="4"/>
  <c r="AN30" i="4"/>
  <c r="AN22" i="4"/>
  <c r="AP5" i="4"/>
  <c r="AP16" i="4"/>
  <c r="AM70" i="4"/>
  <c r="AM56" i="4"/>
  <c r="AP64" i="4"/>
  <c r="AN26" i="4"/>
  <c r="AL91" i="4"/>
  <c r="AO58" i="4"/>
  <c r="AN95" i="4"/>
  <c r="AO36" i="4"/>
  <c r="AO10" i="4"/>
  <c r="AM48" i="4"/>
  <c r="AP65" i="4"/>
  <c r="AP87" i="4"/>
  <c r="AM72" i="4"/>
  <c r="AO77" i="4"/>
  <c r="AM85" i="4"/>
  <c r="AM46" i="4"/>
  <c r="AL39" i="4"/>
  <c r="AO40" i="4"/>
  <c r="AN92" i="4"/>
  <c r="AN28" i="4"/>
  <c r="AL96" i="4"/>
  <c r="AN7" i="4"/>
  <c r="AN96" i="4"/>
  <c r="AM9" i="4"/>
  <c r="AO66" i="4"/>
  <c r="AM95" i="4"/>
  <c r="AO33" i="4"/>
  <c r="AN64" i="4"/>
  <c r="AM47" i="4"/>
  <c r="AP43" i="4"/>
  <c r="AO47" i="4"/>
  <c r="AO39" i="4"/>
  <c r="AM11" i="4"/>
  <c r="AP49" i="4"/>
  <c r="AL87" i="4"/>
  <c r="AO15" i="4"/>
  <c r="AM68" i="4"/>
  <c r="AN54" i="4"/>
  <c r="AU84" i="4"/>
  <c r="AU81" i="4"/>
  <c r="AU38" i="4"/>
  <c r="AU17" i="4"/>
  <c r="AU31" i="4"/>
  <c r="AS76" i="4"/>
  <c r="AU23" i="4"/>
  <c r="AU40" i="4"/>
  <c r="AU82" i="4"/>
  <c r="AS86" i="4"/>
  <c r="AR20" i="4"/>
  <c r="AS49" i="4"/>
  <c r="AR72" i="4"/>
  <c r="AS80" i="4"/>
  <c r="AU50" i="4"/>
  <c r="AT47" i="4"/>
  <c r="AR36" i="4"/>
  <c r="AU44" i="4"/>
  <c r="AU66" i="4"/>
  <c r="AU62" i="4"/>
  <c r="AU70" i="4"/>
  <c r="AR56" i="4"/>
  <c r="AU48" i="4"/>
  <c r="AR39" i="4"/>
  <c r="AR94" i="4"/>
  <c r="AR25" i="4"/>
  <c r="AT44" i="4"/>
  <c r="AR68" i="4"/>
  <c r="AU69" i="4"/>
  <c r="AT58" i="4"/>
  <c r="AR47" i="4"/>
  <c r="AS48" i="4"/>
  <c r="AS82" i="4"/>
  <c r="AS63" i="4"/>
  <c r="AR73" i="4"/>
  <c r="AS43" i="4"/>
  <c r="AU58" i="4"/>
  <c r="AU14" i="4"/>
  <c r="AS44" i="4"/>
  <c r="AQ95" i="4"/>
  <c r="AQ84" i="4"/>
  <c r="AQ65" i="4"/>
  <c r="AQ60" i="4"/>
  <c r="AQ93" i="4"/>
  <c r="AQ24" i="4"/>
  <c r="AQ28" i="4"/>
  <c r="AQ88" i="4"/>
  <c r="AQ74" i="4"/>
  <c r="AQ11" i="4"/>
  <c r="AQ99" i="4"/>
  <c r="AN42" i="4"/>
  <c r="AP45" i="4"/>
  <c r="AM63" i="4"/>
  <c r="AM5" i="4"/>
  <c r="AN15" i="4"/>
  <c r="AL7" i="4"/>
  <c r="AN34" i="4"/>
  <c r="AP69" i="4"/>
  <c r="AM50" i="4"/>
  <c r="AP55" i="4"/>
  <c r="AP57" i="4"/>
  <c r="AP54" i="4"/>
  <c r="AO11" i="4"/>
  <c r="AO7" i="4"/>
  <c r="AM67" i="4"/>
  <c r="AL24" i="4"/>
  <c r="AP34" i="4"/>
  <c r="AP41" i="4"/>
  <c r="AL49" i="4"/>
  <c r="AN12" i="4"/>
  <c r="AO37" i="4"/>
  <c r="AL80" i="4"/>
  <c r="AL37" i="4"/>
  <c r="AO72" i="4"/>
  <c r="AM44" i="4"/>
  <c r="AM55" i="4"/>
  <c r="AN89" i="4"/>
  <c r="AN88" i="4"/>
  <c r="AN38" i="4"/>
  <c r="AN80" i="4"/>
  <c r="AL51" i="4"/>
  <c r="AL58" i="4"/>
  <c r="AP56" i="4"/>
  <c r="AN18" i="4"/>
  <c r="AL67" i="4"/>
  <c r="AM14" i="4"/>
  <c r="AN68" i="4"/>
  <c r="AM18" i="4"/>
  <c r="AP66" i="4"/>
  <c r="AL22" i="4"/>
  <c r="AN56" i="4"/>
  <c r="AO53" i="4"/>
  <c r="AL66" i="4"/>
  <c r="AO42" i="4"/>
  <c r="AL56" i="4"/>
  <c r="AM26" i="4"/>
  <c r="AM12" i="4"/>
  <c r="AM34" i="4"/>
  <c r="AN77" i="4"/>
  <c r="AO35" i="4"/>
  <c r="AN45" i="4"/>
  <c r="AO20" i="4"/>
  <c r="AL100" i="4"/>
  <c r="AT35" i="4"/>
  <c r="AS45" i="4"/>
  <c r="AT53" i="4"/>
  <c r="AS66" i="4"/>
  <c r="AR49" i="4"/>
  <c r="AU32" i="4"/>
  <c r="AT61" i="4"/>
  <c r="AS35" i="4"/>
  <c r="AT81" i="4"/>
  <c r="AT27" i="4"/>
  <c r="AT76" i="4"/>
  <c r="AR10" i="4"/>
  <c r="AT45" i="4"/>
  <c r="AT83" i="4"/>
  <c r="AR21" i="4"/>
  <c r="AR77" i="4"/>
  <c r="AT39" i="4"/>
  <c r="AS11" i="4"/>
  <c r="AS83" i="4"/>
  <c r="AU68" i="4"/>
  <c r="AR24" i="4"/>
  <c r="AR60" i="4"/>
  <c r="AR31" i="4"/>
  <c r="AR82" i="4"/>
  <c r="AT34" i="4"/>
  <c r="AT79" i="4"/>
  <c r="AU79" i="4"/>
  <c r="AR34" i="4"/>
  <c r="AT20" i="4"/>
  <c r="AR87" i="4"/>
  <c r="AT62" i="4"/>
  <c r="AU27" i="4"/>
  <c r="AS56" i="4"/>
  <c r="AS32" i="4"/>
  <c r="AS72" i="4"/>
  <c r="AT32" i="4"/>
  <c r="AS52" i="4"/>
  <c r="AR65" i="4"/>
  <c r="AT87" i="4"/>
  <c r="AQ83" i="4"/>
  <c r="AQ44" i="4"/>
  <c r="AQ82" i="4"/>
  <c r="AQ51" i="4"/>
  <c r="AQ91" i="4"/>
  <c r="AQ21" i="4"/>
  <c r="AQ27" i="4"/>
  <c r="AQ89" i="4"/>
  <c r="AQ36" i="4"/>
  <c r="AQ73" i="4"/>
  <c r="AQ37" i="4"/>
  <c r="AL84" i="4"/>
  <c r="AL79" i="4"/>
  <c r="AN73" i="4"/>
  <c r="AM87" i="4"/>
  <c r="AN13" i="4"/>
  <c r="AO87" i="4"/>
  <c r="AN21" i="4"/>
  <c r="AL38" i="4"/>
  <c r="AM19" i="4"/>
  <c r="AL90" i="4"/>
  <c r="AL29" i="4"/>
  <c r="AL15" i="4"/>
  <c r="AL71" i="4"/>
  <c r="AO76" i="4"/>
  <c r="AP23" i="4"/>
  <c r="AM65" i="4"/>
  <c r="AP42" i="4"/>
  <c r="AN75" i="4"/>
  <c r="AL12" i="4"/>
  <c r="AM60" i="4"/>
  <c r="AO21" i="4"/>
  <c r="AN84" i="4"/>
  <c r="AO30" i="4"/>
  <c r="AO74" i="4"/>
  <c r="AN94" i="4"/>
  <c r="AN37" i="4"/>
  <c r="AP85" i="4"/>
  <c r="AN81" i="4"/>
  <c r="AL94" i="4"/>
  <c r="AL25" i="4"/>
  <c r="AO82" i="4"/>
  <c r="AM61" i="4"/>
  <c r="AP67" i="4"/>
  <c r="AL47" i="4"/>
  <c r="AO65" i="4"/>
  <c r="AL63" i="4"/>
  <c r="AL82" i="4"/>
  <c r="AP88" i="4"/>
  <c r="AL32" i="4"/>
  <c r="AN5" i="4"/>
  <c r="AM88" i="4"/>
  <c r="AM42" i="4"/>
  <c r="AP63" i="4"/>
  <c r="AN69" i="4"/>
  <c r="AL88" i="4"/>
  <c r="AM35" i="4"/>
  <c r="AL26" i="4"/>
  <c r="AN67" i="4"/>
  <c r="AN14" i="4"/>
  <c r="AM28" i="4"/>
  <c r="AL11" i="4"/>
  <c r="AP19" i="4"/>
  <c r="AM16" i="4"/>
  <c r="AN23" i="4"/>
  <c r="AP7" i="4"/>
  <c r="AM25" i="4"/>
  <c r="AM73" i="4"/>
  <c r="AM96" i="4"/>
  <c r="AL78" i="4"/>
  <c r="AO78" i="4"/>
  <c r="AL46" i="4"/>
  <c r="AP52" i="4"/>
  <c r="AM69" i="4"/>
  <c r="AM90" i="4"/>
  <c r="AN47" i="4"/>
  <c r="AP59" i="4"/>
  <c r="AM66" i="4"/>
  <c r="AN40" i="4"/>
  <c r="AO45" i="4"/>
  <c r="AM76" i="4"/>
  <c r="AP46" i="4"/>
  <c r="AO88" i="4"/>
  <c r="AL8" i="4"/>
  <c r="AO79" i="4"/>
  <c r="AU28" i="4"/>
  <c r="AT50" i="4"/>
  <c r="AS40" i="4"/>
  <c r="AS27" i="4"/>
  <c r="AR90" i="4"/>
  <c r="AS23" i="4"/>
  <c r="AR33" i="4"/>
  <c r="AT75" i="4"/>
  <c r="AU85" i="4"/>
  <c r="AS38" i="4"/>
  <c r="AS90" i="4"/>
  <c r="AU74" i="4"/>
  <c r="AS64" i="4"/>
  <c r="AU61" i="4"/>
  <c r="AR67" i="4"/>
  <c r="AS60" i="4"/>
  <c r="AS54" i="4"/>
  <c r="AT26" i="4"/>
  <c r="AR85" i="4"/>
  <c r="AR27" i="4"/>
  <c r="AT18" i="4"/>
  <c r="AR57" i="4"/>
  <c r="AR76" i="4"/>
  <c r="AU34" i="4"/>
  <c r="AU63" i="4"/>
  <c r="AU72" i="4"/>
  <c r="AT43" i="4"/>
  <c r="AR11" i="4"/>
  <c r="AS68" i="4"/>
  <c r="AT74" i="4"/>
  <c r="AR81" i="4"/>
  <c r="AU52" i="4"/>
  <c r="AT86" i="4"/>
  <c r="AR55" i="4"/>
  <c r="AS24" i="4"/>
  <c r="AR83" i="4"/>
  <c r="AU51" i="4"/>
  <c r="AS20" i="4"/>
  <c r="AR88" i="4"/>
  <c r="AQ66" i="4"/>
  <c r="AQ77" i="4"/>
  <c r="AQ98" i="4"/>
  <c r="AQ22" i="4"/>
  <c r="AQ57" i="4"/>
  <c r="AQ64" i="4"/>
  <c r="AQ15" i="4"/>
  <c r="AQ45" i="4"/>
  <c r="AQ32" i="4"/>
  <c r="AQ87" i="4"/>
  <c r="AQ46" i="4"/>
  <c r="AO90" i="4"/>
  <c r="AN70" i="4"/>
  <c r="AL30" i="4"/>
  <c r="AL14" i="4"/>
  <c r="AL98" i="4"/>
  <c r="AL62" i="4"/>
  <c r="AP50" i="4"/>
  <c r="AN85" i="4"/>
  <c r="AO9" i="4"/>
  <c r="AP9" i="4"/>
  <c r="AN52" i="4"/>
  <c r="AO16" i="4"/>
  <c r="AL81" i="4"/>
  <c r="AO69" i="4"/>
  <c r="AL101" i="4"/>
  <c r="AL35" i="4"/>
  <c r="AO18" i="4"/>
  <c r="AO31" i="4"/>
  <c r="AN11" i="4"/>
  <c r="AP84" i="4"/>
  <c r="AO73" i="4"/>
  <c r="AM82" i="4"/>
  <c r="AO6" i="4"/>
  <c r="AL92" i="4"/>
  <c r="AL20" i="4"/>
  <c r="AL13" i="4"/>
  <c r="AL85" i="4"/>
  <c r="AL19" i="4"/>
  <c r="AP48" i="4"/>
  <c r="AN32" i="4"/>
  <c r="AM52" i="4"/>
  <c r="AM53" i="4"/>
  <c r="AN48" i="4"/>
  <c r="AN36" i="4"/>
  <c r="AL102" i="4"/>
  <c r="AL65" i="4"/>
  <c r="AM86" i="4"/>
  <c r="AP80" i="4"/>
  <c r="AO84" i="4"/>
  <c r="AM75" i="4"/>
  <c r="AU39" i="4"/>
  <c r="AS89" i="4"/>
  <c r="AS81" i="4"/>
  <c r="AU33" i="4"/>
  <c r="AR44" i="4"/>
  <c r="AR91" i="4"/>
  <c r="AR84" i="4"/>
  <c r="AR89" i="4"/>
  <c r="AR14" i="4"/>
  <c r="AT37" i="4"/>
  <c r="AU83" i="4"/>
  <c r="AS37" i="4"/>
  <c r="AU57" i="4"/>
  <c r="AU26" i="4"/>
  <c r="AS21" i="4"/>
  <c r="AS25" i="4"/>
  <c r="AT73" i="4"/>
  <c r="AR30" i="4"/>
  <c r="AR23" i="4"/>
  <c r="AT57" i="4"/>
  <c r="AT82" i="4"/>
  <c r="AS85" i="4"/>
  <c r="AU21" i="4"/>
  <c r="AT33" i="4"/>
  <c r="AU36" i="4"/>
  <c r="AT51" i="4"/>
  <c r="AU42" i="4"/>
  <c r="AR37" i="4"/>
  <c r="AU76" i="4"/>
  <c r="AR86" i="4"/>
  <c r="AR50" i="4"/>
  <c r="AU64" i="4"/>
  <c r="AU75" i="4"/>
  <c r="AT12" i="4"/>
  <c r="AR15" i="4"/>
  <c r="AS57" i="4"/>
  <c r="AU77" i="4"/>
  <c r="AT80" i="4"/>
  <c r="AS26" i="4"/>
  <c r="AQ47" i="4"/>
  <c r="AQ39" i="4"/>
  <c r="AQ20" i="4"/>
  <c r="AQ23" i="4"/>
  <c r="AQ59" i="4"/>
  <c r="AQ40" i="4"/>
  <c r="AQ12" i="4"/>
  <c r="AQ53" i="4"/>
  <c r="AQ78" i="4"/>
  <c r="AQ35" i="4"/>
  <c r="AQ71" i="4"/>
  <c r="AO41" i="4"/>
  <c r="AN8" i="4"/>
  <c r="AO23" i="4"/>
  <c r="AO60" i="4"/>
  <c r="AO25" i="4"/>
  <c r="AO83" i="4"/>
  <c r="AP58" i="4"/>
  <c r="AM62" i="4"/>
  <c r="AL36" i="4"/>
  <c r="AL21" i="4"/>
  <c r="AO57" i="4"/>
  <c r="AM24" i="4"/>
  <c r="AP11" i="4"/>
  <c r="AP36" i="4"/>
  <c r="AL10" i="4"/>
  <c r="AM98" i="4"/>
  <c r="AM8" i="4"/>
  <c r="AL68" i="4"/>
  <c r="AP86" i="4"/>
  <c r="AO52" i="4"/>
  <c r="AP20" i="4"/>
  <c r="AP83" i="4"/>
  <c r="AL17" i="4"/>
  <c r="AM37" i="4"/>
  <c r="AP6" i="4"/>
  <c r="AP21" i="4"/>
  <c r="AM89" i="4"/>
  <c r="AP17" i="4"/>
  <c r="AO5" i="4"/>
  <c r="AP40" i="4"/>
  <c r="AN19" i="4"/>
  <c r="AM6" i="4"/>
  <c r="AN24" i="4"/>
  <c r="AM49" i="4"/>
  <c r="AM64" i="4"/>
  <c r="AO8" i="4"/>
  <c r="AL44" i="4"/>
  <c r="AO46" i="4"/>
  <c r="AN60" i="4"/>
  <c r="AP8" i="4"/>
  <c r="AN65" i="4"/>
  <c r="AM7" i="4"/>
  <c r="AL86" i="4"/>
  <c r="AL43" i="4"/>
  <c r="AL70" i="4"/>
  <c r="AO48" i="4"/>
  <c r="AN17" i="4"/>
  <c r="AM91" i="4"/>
  <c r="AM54" i="4"/>
  <c r="AL59" i="4"/>
  <c r="AN16" i="4"/>
  <c r="AO67" i="4"/>
  <c r="AO27" i="4"/>
  <c r="AN50" i="4"/>
  <c r="AP22" i="4"/>
  <c r="AL50" i="4"/>
  <c r="AP53" i="4"/>
  <c r="AN55" i="4"/>
  <c r="AM31" i="4"/>
  <c r="AM41" i="4"/>
  <c r="AM99" i="4"/>
  <c r="AO17" i="4"/>
  <c r="AO81" i="4"/>
  <c r="AP14" i="4"/>
  <c r="AM93" i="4"/>
  <c r="AO12" i="4"/>
  <c r="AN10" i="4"/>
  <c r="AP26" i="4"/>
  <c r="AO89" i="4"/>
  <c r="AU45" i="4"/>
  <c r="AT56" i="4"/>
  <c r="AR70" i="4"/>
  <c r="AS61" i="4"/>
  <c r="AS50" i="4"/>
  <c r="AU67" i="4"/>
  <c r="AU11" i="4"/>
  <c r="AT67" i="4"/>
  <c r="AS42" i="4"/>
  <c r="AR42" i="4"/>
  <c r="AU53" i="4"/>
  <c r="AS34" i="4"/>
  <c r="AS29" i="4"/>
  <c r="AU78" i="4"/>
  <c r="AT60" i="4"/>
  <c r="AS14" i="4"/>
  <c r="AT38" i="4"/>
  <c r="AS88" i="4"/>
  <c r="AU73" i="4"/>
  <c r="AS30" i="4"/>
  <c r="AT36" i="4"/>
  <c r="AR12" i="4"/>
  <c r="AT23" i="4"/>
  <c r="AT68" i="4"/>
  <c r="AU29" i="4"/>
  <c r="AR52" i="4"/>
  <c r="AU20" i="4"/>
  <c r="AT21" i="4"/>
  <c r="AR45" i="4"/>
  <c r="AT70" i="4"/>
  <c r="AT22" i="4"/>
  <c r="AS28" i="4"/>
  <c r="AS69" i="4"/>
  <c r="AT71" i="4"/>
  <c r="AS79" i="4"/>
  <c r="AU43" i="4"/>
  <c r="AS59" i="4"/>
  <c r="AT48" i="4"/>
  <c r="AQ69" i="4"/>
  <c r="AQ68" i="4"/>
  <c r="AQ55" i="4"/>
  <c r="AQ79" i="4"/>
  <c r="AQ62" i="4"/>
  <c r="AQ67" i="4"/>
  <c r="AQ41" i="4"/>
  <c r="AQ70" i="4"/>
  <c r="AQ54" i="4"/>
  <c r="AQ76" i="4"/>
  <c r="AQ34" i="4"/>
  <c r="AQ97" i="4"/>
  <c r="AP72" i="4"/>
  <c r="AO68" i="4"/>
  <c r="AM23" i="4"/>
  <c r="AO29" i="4"/>
  <c r="AO54" i="4"/>
  <c r="AP82" i="4"/>
  <c r="AP47" i="4"/>
  <c r="AO22" i="4"/>
  <c r="AN43" i="4"/>
  <c r="AM77" i="4"/>
  <c r="AN76" i="4"/>
  <c r="AL27" i="4"/>
  <c r="AO91" i="4"/>
  <c r="AL99" i="4"/>
  <c r="AO55" i="4"/>
  <c r="AL69" i="4"/>
  <c r="AN57" i="4"/>
  <c r="AN63" i="4"/>
  <c r="AN58" i="4"/>
  <c r="AO62" i="4"/>
  <c r="AO24" i="4"/>
  <c r="AM36" i="4"/>
  <c r="AN62" i="4"/>
  <c r="AO32" i="4"/>
  <c r="AO80" i="4"/>
  <c r="AN31" i="4"/>
  <c r="AP32" i="4"/>
  <c r="AP73" i="4"/>
  <c r="AP71" i="4"/>
  <c r="AM39" i="4"/>
  <c r="AM51" i="4"/>
  <c r="AM13" i="4"/>
  <c r="AL61" i="4"/>
  <c r="AM10" i="4"/>
  <c r="AP61" i="4"/>
  <c r="AL77" i="4"/>
  <c r="AP27" i="4"/>
  <c r="AN44" i="4"/>
  <c r="AM17" i="4"/>
  <c r="AM79" i="4"/>
  <c r="AO59" i="4"/>
  <c r="AL83" i="4"/>
  <c r="AM33" i="4"/>
  <c r="AL73" i="4"/>
  <c r="AN35" i="4"/>
  <c r="AM57" i="4"/>
  <c r="AM78" i="4"/>
  <c r="AM38" i="4"/>
  <c r="AP31" i="4"/>
  <c r="AP70" i="4"/>
  <c r="AN27" i="4"/>
  <c r="AN91" i="4"/>
  <c r="AO56" i="4"/>
  <c r="AP35" i="4"/>
  <c r="AO61" i="4"/>
  <c r="AM20" i="4"/>
  <c r="AN87" i="4"/>
  <c r="AO38" i="4"/>
  <c r="AL95" i="4"/>
  <c r="AP51" i="4"/>
  <c r="AL89" i="4"/>
  <c r="AP62" i="4"/>
  <c r="AL53" i="4"/>
  <c r="AP76" i="4"/>
  <c r="AL48" i="4"/>
  <c r="AL45" i="4"/>
  <c r="AN20" i="4"/>
  <c r="AM22" i="4"/>
  <c r="AO50" i="4"/>
  <c r="AM94" i="4"/>
  <c r="T5" i="1" l="1"/>
  <c r="R6" i="1"/>
  <c r="R10" i="1"/>
  <c r="T63" i="1"/>
  <c r="S51" i="1"/>
  <c r="R85" i="1"/>
  <c r="R84" i="1"/>
  <c r="S45" i="1"/>
  <c r="R21" i="1"/>
  <c r="T77" i="1"/>
  <c r="S91" i="1"/>
  <c r="T24" i="1"/>
  <c r="Q76" i="1"/>
  <c r="T38" i="1"/>
  <c r="T60" i="1"/>
  <c r="R100" i="1"/>
  <c r="S31" i="1"/>
  <c r="T48" i="1"/>
  <c r="S62" i="1"/>
  <c r="T61" i="1"/>
  <c r="Q18" i="1"/>
  <c r="T40" i="1"/>
  <c r="Q102" i="1"/>
  <c r="Q101" i="1"/>
  <c r="S12" i="1"/>
  <c r="R87" i="1"/>
  <c r="Q43" i="1"/>
  <c r="T68" i="1"/>
  <c r="Q22" i="1"/>
  <c r="R60" i="1"/>
  <c r="R69" i="1"/>
  <c r="S41" i="1"/>
  <c r="Q34" i="1"/>
  <c r="Q55" i="1"/>
  <c r="S50" i="1"/>
  <c r="T18" i="1"/>
  <c r="Q72" i="1"/>
  <c r="Q24" i="1"/>
  <c r="S33" i="1"/>
  <c r="R33" i="1"/>
  <c r="R43" i="1"/>
  <c r="Q26" i="1"/>
  <c r="Q40" i="1"/>
  <c r="T42" i="1"/>
  <c r="Q20" i="1"/>
  <c r="Q13" i="1"/>
  <c r="T73" i="1"/>
  <c r="R68" i="1"/>
  <c r="R95" i="1"/>
  <c r="T21" i="1"/>
  <c r="T20" i="1"/>
  <c r="S71" i="1"/>
  <c r="T93" i="1"/>
  <c r="T34" i="1"/>
  <c r="T57" i="1"/>
  <c r="T10" i="1"/>
  <c r="R72" i="1"/>
  <c r="S21" i="1"/>
  <c r="S73" i="1"/>
  <c r="S13" i="1"/>
  <c r="S86" i="1"/>
  <c r="S34" i="1"/>
  <c r="S48" i="1"/>
  <c r="S53" i="1"/>
  <c r="S78" i="1"/>
  <c r="S42" i="1"/>
  <c r="S26" i="1"/>
  <c r="S25" i="1"/>
  <c r="S102" i="1"/>
  <c r="S69" i="1"/>
  <c r="S96" i="1"/>
  <c r="S99" i="1"/>
  <c r="S98" i="1"/>
  <c r="S59" i="1"/>
  <c r="S16" i="1"/>
  <c r="S97" i="1"/>
  <c r="S64" i="1"/>
  <c r="S63" i="1"/>
  <c r="S18" i="1"/>
  <c r="S88" i="1"/>
  <c r="S24" i="1"/>
  <c r="S44" i="1"/>
  <c r="S10" i="1"/>
  <c r="S22" i="1"/>
  <c r="T106" i="1"/>
  <c r="S108" i="1"/>
  <c r="T112" i="1"/>
  <c r="S112" i="1"/>
  <c r="T107" i="1"/>
  <c r="S106" i="1"/>
  <c r="AA21" i="1"/>
  <c r="AA57" i="1"/>
  <c r="AA61" i="1"/>
  <c r="Z99" i="1"/>
  <c r="Z63" i="1"/>
  <c r="Z25" i="1"/>
  <c r="Z64" i="1"/>
  <c r="Z97" i="1"/>
  <c r="Z16" i="1"/>
  <c r="Z98" i="1"/>
  <c r="Z34" i="1"/>
  <c r="Q113" i="1"/>
  <c r="Q105" i="1"/>
  <c r="Q106" i="1"/>
  <c r="R105" i="1"/>
  <c r="R104" i="1"/>
  <c r="R110" i="1"/>
  <c r="R106" i="1"/>
  <c r="T111" i="1"/>
  <c r="S111" i="1"/>
  <c r="T105" i="1"/>
  <c r="S105" i="1"/>
  <c r="S109" i="1"/>
  <c r="T27" i="1"/>
  <c r="T82" i="1"/>
  <c r="R82" i="1"/>
  <c r="Q82" i="1"/>
  <c r="T55" i="1"/>
  <c r="S55" i="1"/>
  <c r="R55" i="1"/>
  <c r="T39" i="1"/>
  <c r="R39" i="1"/>
  <c r="Q39" i="1"/>
  <c r="T15" i="1"/>
  <c r="R15" i="1"/>
  <c r="R23" i="1"/>
  <c r="T23" i="1"/>
  <c r="Q23" i="1"/>
  <c r="Q37" i="1"/>
  <c r="T37" i="1"/>
  <c r="S37" i="1"/>
  <c r="Q71" i="1"/>
  <c r="R71" i="1"/>
  <c r="Q12" i="1"/>
  <c r="T12" i="1"/>
  <c r="T62" i="1"/>
  <c r="T84" i="1"/>
  <c r="Q65" i="1"/>
  <c r="T65" i="1"/>
  <c r="T80" i="1"/>
  <c r="Q45" i="1"/>
  <c r="T45" i="1"/>
  <c r="R45" i="1"/>
  <c r="S6" i="1"/>
  <c r="Q14" i="1"/>
  <c r="Q67" i="1"/>
  <c r="R25" i="1"/>
  <c r="S7" i="1"/>
  <c r="Q74" i="1"/>
  <c r="T33" i="1"/>
  <c r="Q98" i="1"/>
  <c r="T72" i="1"/>
  <c r="Q77" i="1"/>
  <c r="T95" i="1"/>
  <c r="Q96" i="1"/>
  <c r="R40" i="1"/>
  <c r="R98" i="1"/>
  <c r="R32" i="1"/>
  <c r="R17" i="1"/>
  <c r="T96" i="1"/>
  <c r="T51" i="1"/>
  <c r="Q19" i="1"/>
  <c r="T17" i="1"/>
  <c r="T7" i="1"/>
  <c r="Q33" i="1"/>
  <c r="R67" i="1"/>
  <c r="R49" i="1"/>
  <c r="Q66" i="1"/>
  <c r="S5" i="1"/>
  <c r="S4" i="1"/>
  <c r="X111" i="1"/>
  <c r="Y105" i="1"/>
  <c r="S110" i="1"/>
  <c r="T110" i="1"/>
  <c r="AA107" i="1"/>
  <c r="T50" i="1"/>
  <c r="Q50" i="1"/>
  <c r="T88" i="1"/>
  <c r="R63" i="1"/>
  <c r="Q44" i="1"/>
  <c r="R13" i="1"/>
  <c r="R93" i="1"/>
  <c r="R91" i="1"/>
  <c r="T91" i="1"/>
  <c r="Q91" i="1"/>
  <c r="T54" i="1"/>
  <c r="T87" i="1"/>
  <c r="Q48" i="1"/>
  <c r="R48" i="1"/>
  <c r="T49" i="1"/>
  <c r="Q59" i="1"/>
  <c r="T43" i="1"/>
  <c r="R62" i="1"/>
  <c r="T6" i="1"/>
  <c r="Q6" i="1"/>
  <c r="R81" i="1"/>
  <c r="Z4" i="1"/>
  <c r="X23" i="1"/>
  <c r="X24" i="1"/>
  <c r="AA16" i="1"/>
  <c r="AA106" i="1"/>
  <c r="Z5" i="1"/>
  <c r="AA20" i="1"/>
  <c r="Z7" i="1"/>
  <c r="X65" i="1"/>
  <c r="AA24" i="1"/>
  <c r="Y68" i="1"/>
  <c r="Y33" i="1"/>
  <c r="AA73" i="1"/>
  <c r="Z6" i="1"/>
  <c r="Y72" i="1"/>
  <c r="X40" i="1"/>
  <c r="Z112" i="1"/>
  <c r="AA96" i="1"/>
  <c r="Y5" i="1"/>
  <c r="X72" i="1"/>
  <c r="AA38" i="1"/>
  <c r="AA112" i="1"/>
  <c r="X66" i="1"/>
  <c r="X34" i="1"/>
  <c r="AA17" i="1"/>
  <c r="AA18" i="1"/>
  <c r="X98" i="1"/>
  <c r="X68" i="1"/>
  <c r="AA28" i="1"/>
  <c r="X20" i="1"/>
  <c r="X19" i="1"/>
  <c r="Y40" i="1"/>
  <c r="X77" i="1"/>
  <c r="AA34" i="1"/>
  <c r="AA62" i="1"/>
  <c r="X15" i="1"/>
  <c r="AA39" i="1"/>
  <c r="AA56" i="1"/>
  <c r="X27" i="1"/>
  <c r="Z106" i="1"/>
  <c r="Y50" i="1"/>
  <c r="AA54" i="1"/>
  <c r="X49" i="1"/>
  <c r="AA49" i="1"/>
  <c r="X45" i="1"/>
  <c r="X44" i="1"/>
  <c r="X64" i="1"/>
  <c r="X63" i="1"/>
  <c r="AA45" i="1"/>
  <c r="AA44" i="1"/>
  <c r="AA111" i="1"/>
  <c r="Y88" i="1"/>
  <c r="Y81" i="1"/>
  <c r="AA88" i="1"/>
  <c r="CM68" i="4" l="1"/>
  <c r="CN93" i="4"/>
  <c r="CM42" i="4"/>
  <c r="CK83" i="4"/>
  <c r="CE102" i="4"/>
  <c r="CB104" i="4"/>
  <c r="CE39" i="4"/>
  <c r="CE29" i="4"/>
  <c r="CB17" i="4"/>
  <c r="CD56" i="4"/>
  <c r="CK28" i="4"/>
  <c r="CL32" i="4"/>
  <c r="CK10" i="4"/>
  <c r="CN84" i="4"/>
  <c r="CE69" i="4"/>
  <c r="CB15" i="4"/>
  <c r="CK26" i="4"/>
  <c r="CL6" i="4"/>
  <c r="CK23" i="4"/>
  <c r="CK91" i="4"/>
  <c r="CE95" i="4"/>
  <c r="CB54" i="4"/>
  <c r="CD6" i="4"/>
  <c r="CN74" i="4"/>
  <c r="CB82" i="4"/>
  <c r="CB69" i="4"/>
  <c r="CE9" i="4"/>
  <c r="CD90" i="4"/>
  <c r="CK38" i="4"/>
  <c r="CC65" i="4"/>
  <c r="CN45" i="4"/>
  <c r="CK6" i="4"/>
  <c r="CK39" i="4"/>
  <c r="CC71" i="4"/>
  <c r="CN59" i="4"/>
  <c r="CC94" i="4"/>
  <c r="CD97" i="4"/>
  <c r="CK97" i="4"/>
  <c r="CB90" i="4"/>
  <c r="CC100" i="4"/>
  <c r="CE54" i="4"/>
  <c r="CM64" i="4"/>
  <c r="CN53" i="4"/>
  <c r="CM100" i="4"/>
  <c r="CL79" i="4"/>
  <c r="CM32" i="4"/>
  <c r="CK15" i="4"/>
  <c r="CK52" i="4"/>
  <c r="CE34" i="4"/>
  <c r="CB31" i="4"/>
  <c r="CL53" i="4"/>
  <c r="CC95" i="4"/>
  <c r="CM82" i="4"/>
  <c r="CK56" i="4"/>
  <c r="CE46" i="4"/>
  <c r="CL81" i="4"/>
  <c r="CN10" i="4"/>
  <c r="CN103" i="4"/>
  <c r="CD13" i="4"/>
  <c r="CK22" i="4"/>
  <c r="CN66" i="4"/>
  <c r="CB66" i="4"/>
  <c r="CN71" i="4"/>
  <c r="CM37" i="4"/>
  <c r="CB32" i="4"/>
  <c r="CM53" i="4"/>
  <c r="CL51" i="4"/>
  <c r="CL41" i="4"/>
  <c r="CB99" i="4"/>
  <c r="CC58" i="4"/>
  <c r="CM43" i="4"/>
  <c r="CL78" i="4"/>
  <c r="CN79" i="4"/>
  <c r="CM76" i="4"/>
  <c r="CM18" i="4"/>
  <c r="CB39" i="4"/>
  <c r="CM27" i="4"/>
  <c r="CM31" i="4"/>
  <c r="CD14" i="4"/>
  <c r="CK44" i="4"/>
  <c r="CC12" i="4"/>
  <c r="CL85" i="4"/>
  <c r="CK73" i="4"/>
  <c r="CN8" i="4"/>
  <c r="CL35" i="4"/>
  <c r="CL13" i="4"/>
  <c r="CM96" i="4"/>
  <c r="CD93" i="4"/>
  <c r="CK27" i="4"/>
  <c r="CN100" i="4"/>
  <c r="CN67" i="4"/>
  <c r="CN64" i="4"/>
  <c r="CK5" i="4"/>
  <c r="CM104" i="4"/>
  <c r="CM84" i="4"/>
  <c r="CB34" i="4"/>
  <c r="CE81" i="4"/>
  <c r="CM20" i="4"/>
  <c r="CM51" i="4"/>
  <c r="CL76" i="4"/>
  <c r="CM101" i="4"/>
  <c r="CB33" i="4"/>
  <c r="CD94" i="4"/>
  <c r="CN86" i="4"/>
  <c r="CC33" i="4"/>
  <c r="CC41" i="4"/>
  <c r="CM10" i="4"/>
  <c r="CD74" i="4"/>
  <c r="CB9" i="4"/>
  <c r="CN63" i="4"/>
  <c r="CN89" i="4"/>
  <c r="CK45" i="4"/>
  <c r="CM7" i="4"/>
  <c r="CE37" i="4"/>
  <c r="CE30" i="4"/>
  <c r="CC85" i="4"/>
  <c r="CL12" i="4"/>
  <c r="CC69" i="4"/>
  <c r="CC15" i="4"/>
  <c r="CC103" i="4"/>
  <c r="CL54" i="4"/>
  <c r="CK66" i="4"/>
  <c r="CE98" i="4"/>
  <c r="CN94" i="4"/>
  <c r="CM93" i="4"/>
  <c r="CD44" i="4"/>
  <c r="CK16" i="4"/>
  <c r="CD64" i="4"/>
  <c r="CM90" i="4"/>
  <c r="CL66" i="4"/>
  <c r="CC37" i="4"/>
  <c r="CB79" i="4"/>
  <c r="CM48" i="4"/>
  <c r="CM36" i="4"/>
  <c r="CC35" i="4"/>
  <c r="CN29" i="4"/>
  <c r="CE5" i="4"/>
  <c r="CM41" i="4"/>
  <c r="CD81" i="4"/>
  <c r="CE60" i="4"/>
  <c r="CK13" i="4"/>
  <c r="CE40" i="4"/>
  <c r="CN49" i="4"/>
  <c r="CD104" i="4"/>
  <c r="CN57" i="4"/>
  <c r="CB80" i="4"/>
  <c r="CC43" i="4"/>
  <c r="CD23" i="4"/>
  <c r="CL69" i="4"/>
  <c r="CC86" i="4"/>
  <c r="CN76" i="4"/>
  <c r="CL57" i="4"/>
  <c r="CD35" i="4"/>
  <c r="CK98" i="4"/>
  <c r="CM29" i="4"/>
  <c r="CC8" i="4"/>
  <c r="CN35" i="4"/>
  <c r="CK12" i="4"/>
  <c r="CL49" i="4"/>
  <c r="CN85" i="4"/>
  <c r="CM91" i="4"/>
  <c r="CL73" i="4"/>
  <c r="CE72" i="4"/>
  <c r="CN23" i="4"/>
  <c r="CN16" i="4"/>
  <c r="CN14" i="4"/>
  <c r="CE68" i="4"/>
  <c r="CB10" i="4"/>
  <c r="CL62" i="4"/>
  <c r="CE31" i="4"/>
  <c r="CB89" i="4"/>
  <c r="CD95" i="4"/>
  <c r="CC78" i="4"/>
  <c r="CD25" i="4"/>
  <c r="CM40" i="4"/>
  <c r="CD59" i="4"/>
  <c r="CL71" i="4"/>
  <c r="CB46" i="4"/>
  <c r="CL16" i="4"/>
  <c r="CB71" i="4"/>
  <c r="CN87" i="4"/>
  <c r="CB76" i="4"/>
  <c r="CB101" i="4"/>
  <c r="CC19" i="4"/>
  <c r="CK93" i="4"/>
  <c r="CD60" i="4"/>
  <c r="CC87" i="4"/>
  <c r="CE27" i="4"/>
  <c r="CM5" i="4"/>
  <c r="CK87" i="4"/>
  <c r="CD55" i="4"/>
  <c r="CB81" i="4"/>
  <c r="CM23" i="4"/>
  <c r="CK58" i="4"/>
  <c r="CB59" i="4"/>
  <c r="CN75" i="4"/>
  <c r="CD19" i="4"/>
  <c r="CN41" i="4"/>
  <c r="CE16" i="4"/>
  <c r="CN5" i="4"/>
  <c r="CK53" i="4"/>
  <c r="CK49" i="4"/>
  <c r="CB91" i="4"/>
  <c r="CL40" i="4"/>
  <c r="CB60" i="4"/>
  <c r="CL95" i="4"/>
  <c r="CC20" i="4"/>
  <c r="CK40" i="4"/>
  <c r="CC91" i="4"/>
  <c r="CC104" i="4"/>
  <c r="CL97" i="4"/>
  <c r="CB100" i="4"/>
  <c r="CE18" i="4"/>
  <c r="CM60" i="4"/>
  <c r="CE62" i="4"/>
  <c r="CB50" i="4"/>
  <c r="CD65" i="4"/>
  <c r="CM16" i="4"/>
  <c r="CC63" i="4"/>
  <c r="CD11" i="4"/>
  <c r="CN24" i="4"/>
  <c r="CC88" i="4"/>
  <c r="CK32" i="4"/>
  <c r="CL21" i="4"/>
  <c r="CB103" i="4"/>
  <c r="CE41" i="4"/>
  <c r="CN68" i="4"/>
  <c r="CD50" i="4"/>
  <c r="CK24" i="4"/>
  <c r="CB70" i="4"/>
  <c r="CD82" i="4"/>
  <c r="CB65" i="4"/>
  <c r="CB26" i="4"/>
  <c r="CN9" i="4"/>
  <c r="CN46" i="4"/>
  <c r="CE8" i="4"/>
  <c r="CN91" i="4"/>
  <c r="CM46" i="4"/>
  <c r="CE65" i="4"/>
  <c r="CC24" i="4"/>
  <c r="CM87" i="4"/>
  <c r="CC26" i="4"/>
  <c r="CE35" i="4"/>
  <c r="CK69" i="4"/>
  <c r="CE32" i="4"/>
  <c r="CE7" i="4"/>
  <c r="CB25" i="4"/>
  <c r="CM8" i="4"/>
  <c r="CN77" i="4"/>
  <c r="CB41" i="4"/>
  <c r="CD37" i="4"/>
  <c r="CK31" i="4"/>
  <c r="CK82" i="4"/>
  <c r="CD24" i="4"/>
  <c r="CC48" i="4"/>
  <c r="CE90" i="4"/>
  <c r="CL22" i="4"/>
  <c r="CM47" i="4"/>
  <c r="CC45" i="4"/>
  <c r="CD51" i="4"/>
  <c r="CD46" i="4"/>
  <c r="CK81" i="4"/>
  <c r="CD76" i="4"/>
  <c r="CM92" i="4"/>
  <c r="CL80" i="4"/>
  <c r="CK61" i="4"/>
  <c r="CL92" i="4"/>
  <c r="CK104" i="4"/>
  <c r="CN88" i="4"/>
  <c r="CK101" i="4"/>
  <c r="CN40" i="4"/>
  <c r="CE57" i="4"/>
  <c r="CD63" i="4"/>
  <c r="CM12" i="4"/>
  <c r="CE13" i="4"/>
  <c r="CM38" i="4"/>
  <c r="CD77" i="4"/>
  <c r="CK90" i="4"/>
  <c r="CN99" i="4"/>
  <c r="CC67" i="4"/>
  <c r="CK25" i="4"/>
  <c r="CC52" i="4"/>
  <c r="CC82" i="4"/>
  <c r="CE82" i="4"/>
  <c r="CL20" i="4"/>
  <c r="CE104" i="4"/>
  <c r="CN60" i="4"/>
  <c r="CE52" i="4"/>
  <c r="CD12" i="4"/>
  <c r="CE47" i="4"/>
  <c r="CD31" i="4"/>
  <c r="CC92" i="4"/>
  <c r="CL27" i="4"/>
  <c r="CC27" i="4"/>
  <c r="CC50" i="4"/>
  <c r="CK18" i="4"/>
  <c r="CD33" i="4"/>
  <c r="CB83" i="4"/>
  <c r="CN52" i="4"/>
  <c r="CN27" i="4"/>
  <c r="CD75" i="4"/>
  <c r="CK76" i="4"/>
  <c r="CM61" i="4"/>
  <c r="CL50" i="4"/>
  <c r="CB28" i="4"/>
  <c r="CL104" i="4"/>
  <c r="CC90" i="4"/>
  <c r="CC23" i="4"/>
  <c r="CK20" i="4"/>
  <c r="CE66" i="4"/>
  <c r="CB95" i="4"/>
  <c r="CB96" i="4"/>
  <c r="CN43" i="4"/>
  <c r="CE78" i="4"/>
  <c r="CC30" i="4"/>
  <c r="CD79" i="4"/>
  <c r="CK43" i="4"/>
  <c r="CL98" i="4"/>
  <c r="CK63" i="4"/>
  <c r="CD78" i="4"/>
  <c r="CM83" i="4"/>
  <c r="CC53" i="4"/>
  <c r="CE55" i="4"/>
  <c r="CB85" i="4"/>
  <c r="CL30" i="4"/>
  <c r="CE22" i="4"/>
  <c r="CB93" i="4"/>
  <c r="CB67" i="4"/>
  <c r="CC28" i="4"/>
  <c r="CC93" i="4"/>
  <c r="CL87" i="4"/>
  <c r="CK95" i="4"/>
  <c r="CN30" i="4"/>
  <c r="CN21" i="4"/>
  <c r="CM14" i="4"/>
  <c r="CL55" i="4"/>
  <c r="CC29" i="4"/>
  <c r="CN54" i="4"/>
  <c r="CM44" i="4"/>
  <c r="CD26" i="4"/>
  <c r="CB13" i="4"/>
  <c r="CC98" i="4"/>
  <c r="CC59" i="4"/>
  <c r="CM13" i="4"/>
  <c r="CM39" i="4"/>
  <c r="CM35" i="4"/>
  <c r="CK29" i="4"/>
  <c r="CE45" i="4"/>
  <c r="CD98" i="4"/>
  <c r="CD30" i="4"/>
  <c r="CB55" i="4"/>
  <c r="CD70" i="4"/>
  <c r="CD36" i="4"/>
  <c r="CD28" i="4"/>
  <c r="CL65" i="4"/>
  <c r="CL17" i="4"/>
  <c r="CE43" i="4"/>
  <c r="CM33" i="4"/>
  <c r="CL94" i="4"/>
  <c r="CK99" i="4"/>
  <c r="CM34" i="4"/>
  <c r="CC51" i="4"/>
  <c r="CB27" i="4"/>
  <c r="CL58" i="4"/>
  <c r="CE67" i="4"/>
  <c r="CK72" i="4"/>
  <c r="CD80" i="4"/>
  <c r="CK85" i="4"/>
  <c r="CM72" i="4"/>
  <c r="CC102" i="4"/>
  <c r="CL36" i="4"/>
  <c r="CB68" i="4"/>
  <c r="CE83" i="4"/>
  <c r="CM70" i="4"/>
  <c r="CE48" i="4"/>
  <c r="CE11" i="4"/>
  <c r="CL75" i="4"/>
  <c r="CC13" i="4"/>
  <c r="CD27" i="4"/>
  <c r="CC16" i="4"/>
  <c r="CN102" i="4"/>
  <c r="CE12" i="4"/>
  <c r="CL8" i="4"/>
  <c r="CN78" i="4"/>
  <c r="CE93" i="4"/>
  <c r="CE36" i="4"/>
  <c r="CL14" i="4"/>
  <c r="CB75" i="4"/>
  <c r="CN55" i="4"/>
  <c r="CK68" i="4"/>
  <c r="CL74" i="4"/>
  <c r="CM6" i="4"/>
  <c r="CB48" i="4"/>
  <c r="CM17" i="4"/>
  <c r="CN82" i="4"/>
  <c r="CC54" i="4"/>
  <c r="CM63" i="4"/>
  <c r="CE42" i="4"/>
  <c r="CL42" i="4"/>
  <c r="CN33" i="4"/>
  <c r="CN31" i="4"/>
  <c r="CC39" i="4"/>
  <c r="CC42" i="4"/>
  <c r="CL43" i="4"/>
  <c r="CD72" i="4"/>
  <c r="CD53" i="4"/>
  <c r="CK100" i="4"/>
  <c r="CL84" i="4"/>
  <c r="CL34" i="4"/>
  <c r="CL29" i="4"/>
  <c r="CK88" i="4"/>
  <c r="CM69" i="4"/>
  <c r="CK36" i="4"/>
  <c r="CE10" i="4"/>
  <c r="CE87" i="4"/>
  <c r="CE44" i="4"/>
  <c r="CE101" i="4"/>
  <c r="CD48" i="4"/>
  <c r="CD41" i="4"/>
  <c r="CK8" i="4"/>
  <c r="CD10" i="4"/>
  <c r="CC84" i="4"/>
  <c r="CD22" i="4"/>
  <c r="CN7" i="4"/>
  <c r="CK102" i="4"/>
  <c r="CD86" i="4"/>
  <c r="CK77" i="4"/>
  <c r="CL102" i="4"/>
  <c r="CC77" i="4"/>
  <c r="CM88" i="4"/>
  <c r="CC17" i="4"/>
  <c r="CN95" i="4"/>
  <c r="CN96" i="4"/>
  <c r="CL5" i="4"/>
  <c r="CE25" i="4"/>
  <c r="CN90" i="4"/>
  <c r="CN61" i="4"/>
  <c r="CN44" i="4"/>
  <c r="CD57" i="4"/>
  <c r="CE53" i="4"/>
  <c r="CL24" i="4"/>
  <c r="CN81" i="4"/>
  <c r="CM28" i="4"/>
  <c r="CD87" i="4"/>
  <c r="CC14" i="4"/>
  <c r="CM21" i="4"/>
  <c r="CK103" i="4"/>
  <c r="CL90" i="4"/>
  <c r="CE103" i="4"/>
  <c r="CB22" i="4"/>
  <c r="CB11" i="4"/>
  <c r="CB37" i="4"/>
  <c r="CD103" i="4"/>
  <c r="CL96" i="4"/>
  <c r="CE99" i="4"/>
  <c r="CC73" i="4"/>
  <c r="CK60" i="4"/>
  <c r="CB45" i="4"/>
  <c r="CN37" i="4"/>
  <c r="CC31" i="4"/>
  <c r="CL70" i="4"/>
  <c r="CD47" i="4"/>
  <c r="CK96" i="4"/>
  <c r="CK80" i="4"/>
  <c r="CK64" i="4"/>
  <c r="CD71" i="4"/>
  <c r="CL83" i="4"/>
  <c r="CN51" i="4"/>
  <c r="CK30" i="4"/>
  <c r="CC46" i="4"/>
  <c r="CK71" i="4"/>
  <c r="CC101" i="4"/>
  <c r="CB64" i="4"/>
  <c r="CD62" i="4"/>
  <c r="CB56" i="4"/>
  <c r="CK21" i="4"/>
  <c r="CL59" i="4"/>
  <c r="CM77" i="4"/>
  <c r="CL9" i="4"/>
  <c r="CM22" i="4"/>
  <c r="CC60" i="4"/>
  <c r="CE56" i="4"/>
  <c r="CK89" i="4"/>
  <c r="CK94" i="4"/>
  <c r="CK54" i="4"/>
  <c r="CE19" i="4"/>
  <c r="CD96" i="4"/>
  <c r="CE79" i="4"/>
  <c r="CK48" i="4"/>
  <c r="CL88" i="4"/>
  <c r="CK62" i="4"/>
  <c r="CE74" i="4"/>
  <c r="CD18" i="4"/>
  <c r="CL38" i="4"/>
  <c r="CB63" i="4"/>
  <c r="CE76" i="4"/>
  <c r="CE92" i="4"/>
  <c r="CC32" i="4"/>
  <c r="CE89" i="4"/>
  <c r="CK14" i="4"/>
  <c r="CC66" i="4"/>
  <c r="CL15" i="4"/>
  <c r="CE6" i="4"/>
  <c r="CN50" i="4"/>
  <c r="CK17" i="4"/>
  <c r="CK35" i="4"/>
  <c r="CE58" i="4"/>
  <c r="CE88" i="4"/>
  <c r="CB44" i="4"/>
  <c r="CM75" i="4"/>
  <c r="CN83" i="4"/>
  <c r="CB74" i="4"/>
  <c r="CN22" i="4"/>
  <c r="CL48" i="4"/>
  <c r="CM50" i="4"/>
  <c r="CL11" i="4"/>
  <c r="CK42" i="4"/>
  <c r="CB92" i="4"/>
  <c r="CB52" i="4"/>
  <c r="CN48" i="4"/>
  <c r="CL67" i="4"/>
  <c r="CB88" i="4"/>
  <c r="CL37" i="4"/>
  <c r="CB97" i="4"/>
  <c r="CK84" i="4"/>
  <c r="CL72" i="4"/>
  <c r="CL99" i="4"/>
  <c r="CM49" i="4"/>
  <c r="CD21" i="4"/>
  <c r="CD8" i="4"/>
  <c r="CN13" i="4"/>
  <c r="CB36" i="4"/>
  <c r="CD88" i="4"/>
  <c r="CD102" i="4"/>
  <c r="CE23" i="4"/>
  <c r="CM65" i="4"/>
  <c r="CM25" i="4"/>
  <c r="CC18" i="4"/>
  <c r="CD66" i="4"/>
  <c r="CC7" i="4"/>
  <c r="CD91" i="4"/>
  <c r="CE85" i="4"/>
  <c r="CB35" i="4"/>
  <c r="CE86" i="4"/>
  <c r="CC72" i="4"/>
  <c r="CC64" i="4"/>
  <c r="CN70" i="4"/>
  <c r="CB87" i="4"/>
  <c r="CD5" i="4"/>
  <c r="CD45" i="4"/>
  <c r="CB62" i="4"/>
  <c r="CL39" i="4"/>
  <c r="CC11" i="4"/>
  <c r="CB58" i="4"/>
  <c r="CE96" i="4"/>
  <c r="CD83" i="4"/>
  <c r="CL100" i="4"/>
  <c r="CL82" i="4"/>
  <c r="CM59" i="4"/>
  <c r="CL101" i="4"/>
  <c r="CK65" i="4"/>
  <c r="CE100" i="4"/>
  <c r="CD84" i="4"/>
  <c r="CN15" i="4"/>
  <c r="CL18" i="4"/>
  <c r="CC6" i="4"/>
  <c r="CD68" i="4"/>
  <c r="CD101" i="4"/>
  <c r="CK74" i="4"/>
  <c r="CB47" i="4"/>
  <c r="CM73" i="4"/>
  <c r="CC70" i="4"/>
  <c r="CL93" i="4"/>
  <c r="CC81" i="4"/>
  <c r="CB40" i="4"/>
  <c r="CN11" i="4"/>
  <c r="CN12" i="4"/>
  <c r="CM102" i="4"/>
  <c r="CC36" i="4"/>
  <c r="CL19" i="4"/>
  <c r="CN28" i="4"/>
  <c r="CM19" i="4"/>
  <c r="CL28" i="4"/>
  <c r="CN65" i="4"/>
  <c r="CE28" i="4"/>
  <c r="CE91" i="4"/>
  <c r="CE61" i="4"/>
  <c r="CM97" i="4"/>
  <c r="CN97" i="4"/>
  <c r="CK33" i="4"/>
  <c r="CL61" i="4"/>
  <c r="CD43" i="4"/>
  <c r="CC96" i="4"/>
  <c r="CK78" i="4"/>
  <c r="CB38" i="4"/>
  <c r="CM78" i="4"/>
  <c r="CB18" i="4"/>
  <c r="CM79" i="4"/>
  <c r="CN101" i="4"/>
  <c r="CN80" i="4"/>
  <c r="CL47" i="4"/>
  <c r="CN42" i="4"/>
  <c r="CC21" i="4"/>
  <c r="CL23" i="4"/>
  <c r="CK59" i="4"/>
  <c r="CC74" i="4"/>
  <c r="CB29" i="4"/>
  <c r="CC25" i="4"/>
  <c r="CD61" i="4"/>
  <c r="CL44" i="4"/>
  <c r="CB20" i="4"/>
  <c r="CK55" i="4"/>
  <c r="CM71" i="4"/>
  <c r="CD100" i="4"/>
  <c r="CB42" i="4"/>
  <c r="CN58" i="4"/>
  <c r="CE17" i="4"/>
  <c r="CN34" i="4"/>
  <c r="CC76" i="4"/>
  <c r="CC97" i="4"/>
  <c r="CM11" i="4"/>
  <c r="CC89" i="4"/>
  <c r="CM95" i="4"/>
  <c r="CM66" i="4"/>
  <c r="CD40" i="4"/>
  <c r="CC49" i="4"/>
  <c r="CE97" i="4"/>
  <c r="CN47" i="4"/>
  <c r="CN72" i="4"/>
  <c r="CD67" i="4"/>
  <c r="CB78" i="4"/>
  <c r="CK19" i="4"/>
  <c r="CD42" i="4"/>
  <c r="CM52" i="4"/>
  <c r="CK46" i="4"/>
  <c r="CD34" i="4"/>
  <c r="CB7" i="4"/>
  <c r="CE73" i="4"/>
  <c r="CN20" i="4"/>
  <c r="CK50" i="4"/>
  <c r="CC80" i="4"/>
  <c r="CD89" i="4"/>
  <c r="CC40" i="4"/>
  <c r="CC22" i="4"/>
  <c r="CB16" i="4"/>
  <c r="CM85" i="4"/>
  <c r="CC75" i="4"/>
  <c r="CN36" i="4"/>
  <c r="CM54" i="4"/>
  <c r="CC62" i="4"/>
  <c r="CN73" i="4"/>
  <c r="CL46" i="4"/>
  <c r="CD52" i="4"/>
  <c r="CD9" i="4"/>
  <c r="CB94" i="4"/>
  <c r="CC55" i="4"/>
  <c r="CL52" i="4"/>
  <c r="CK9" i="4"/>
  <c r="CB8" i="4"/>
  <c r="CD85" i="4"/>
  <c r="CD58" i="4"/>
  <c r="CB73" i="4"/>
  <c r="CE70" i="4"/>
  <c r="CM103" i="4"/>
  <c r="CK47" i="4"/>
  <c r="CL45" i="4"/>
  <c r="CM45" i="4"/>
  <c r="CK92" i="4"/>
  <c r="CK79" i="4"/>
  <c r="CN18" i="4"/>
  <c r="CE33" i="4"/>
  <c r="CB53" i="4"/>
  <c r="CB102" i="4"/>
  <c r="CC5" i="4"/>
  <c r="CK75" i="4"/>
  <c r="CC38" i="4"/>
  <c r="CM99" i="4"/>
  <c r="CN62" i="4"/>
  <c r="CD38" i="4"/>
  <c r="CM56" i="4"/>
  <c r="CB12" i="4"/>
  <c r="CN19" i="4"/>
  <c r="CB86" i="4"/>
  <c r="CD20" i="4"/>
  <c r="CL77" i="4"/>
  <c r="CM24" i="4"/>
  <c r="CL10" i="4"/>
  <c r="CD7" i="4"/>
  <c r="CK57" i="4"/>
  <c r="CB77" i="4"/>
  <c r="CK67" i="4"/>
  <c r="CB23" i="4"/>
  <c r="CE75" i="4"/>
  <c r="CD49" i="4"/>
  <c r="CL60" i="4"/>
  <c r="CE63" i="4"/>
  <c r="CE38" i="4"/>
  <c r="CE80" i="4"/>
  <c r="CM80" i="4"/>
  <c r="CL91" i="4"/>
  <c r="CL33" i="4"/>
  <c r="CN104" i="4"/>
  <c r="CK86" i="4"/>
  <c r="CC44" i="4"/>
  <c r="CB57" i="4"/>
  <c r="CE51" i="4"/>
  <c r="CM74" i="4"/>
  <c r="CL89" i="4"/>
  <c r="CB49" i="4"/>
  <c r="CE77" i="4"/>
  <c r="CD99" i="4"/>
  <c r="CD92" i="4"/>
  <c r="CC68" i="4"/>
  <c r="CM62" i="4"/>
  <c r="CB24" i="4"/>
  <c r="CC47" i="4"/>
  <c r="CK70" i="4"/>
  <c r="CB43" i="4"/>
  <c r="CM9" i="4"/>
  <c r="CE21" i="4"/>
  <c r="CD69" i="4"/>
  <c r="CN69" i="4"/>
  <c r="CB61" i="4"/>
  <c r="CB19" i="4"/>
  <c r="CM94" i="4"/>
  <c r="CE15" i="4"/>
  <c r="CL7" i="4"/>
  <c r="CN25" i="4"/>
  <c r="CD32" i="4"/>
  <c r="CC61" i="4"/>
  <c r="CL86" i="4"/>
  <c r="CK37" i="4"/>
  <c r="CL103" i="4"/>
  <c r="CN38" i="4"/>
  <c r="CC34" i="4"/>
  <c r="CN17" i="4"/>
  <c r="CL26" i="4"/>
  <c r="CK7" i="4"/>
  <c r="CM81" i="4"/>
  <c r="CC9" i="4"/>
  <c r="CM86" i="4"/>
  <c r="CL68" i="4"/>
  <c r="CD39" i="4"/>
  <c r="CK11" i="4"/>
  <c r="CB30" i="4"/>
  <c r="CM58" i="4"/>
  <c r="CK34" i="4"/>
  <c r="CB21" i="4"/>
  <c r="CC83" i="4"/>
  <c r="CE50" i="4"/>
  <c r="CC79" i="4"/>
  <c r="CE84" i="4"/>
  <c r="CC57" i="4"/>
  <c r="CM98" i="4"/>
  <c r="CD16" i="4"/>
  <c r="CC10" i="4"/>
  <c r="CN98" i="4"/>
  <c r="CK51" i="4"/>
  <c r="CB14" i="4"/>
  <c r="CL63" i="4"/>
  <c r="CN6" i="4"/>
  <c r="CL56" i="4"/>
  <c r="CN56" i="4"/>
  <c r="CL64" i="4"/>
  <c r="CD15" i="4"/>
  <c r="CE26" i="4"/>
  <c r="CM89" i="4"/>
  <c r="CM67" i="4"/>
  <c r="CD17" i="4"/>
  <c r="CB6" i="4"/>
  <c r="CM26" i="4"/>
  <c r="CD54" i="4"/>
  <c r="CE59" i="4"/>
  <c r="CE94" i="4"/>
  <c r="CE49" i="4"/>
  <c r="CD73" i="4"/>
  <c r="CL31" i="4"/>
  <c r="CB84" i="4"/>
  <c r="CN32" i="4"/>
  <c r="CM55" i="4"/>
  <c r="CB72" i="4"/>
  <c r="CC56" i="4"/>
  <c r="CD29" i="4"/>
  <c r="CM15" i="4"/>
  <c r="CN92" i="4"/>
  <c r="CK41" i="4"/>
  <c r="CC99" i="4"/>
  <c r="CN39" i="4"/>
  <c r="CB51" i="4"/>
  <c r="CE71" i="4"/>
  <c r="CM57" i="4"/>
  <c r="CM30" i="4"/>
  <c r="CE64" i="4"/>
  <c r="CE20" i="4"/>
  <c r="CL25" i="4"/>
  <c r="CB98" i="4"/>
  <c r="CB5" i="4"/>
  <c r="CE14" i="4"/>
  <c r="CN26" i="4"/>
  <c r="CE24" i="4"/>
  <c r="Q109" i="1"/>
  <c r="Z22" i="1"/>
  <c r="Z45" i="1"/>
  <c r="S72" i="1"/>
  <c r="S43" i="1"/>
  <c r="S68" i="1"/>
  <c r="S40" i="1"/>
  <c r="S57" i="1"/>
  <c r="T69" i="1"/>
  <c r="R64" i="1"/>
  <c r="Q10" i="1"/>
  <c r="R26" i="1"/>
  <c r="Q16" i="1"/>
  <c r="Q95" i="1"/>
  <c r="R44" i="1"/>
  <c r="Q8" i="1"/>
  <c r="R24" i="1"/>
  <c r="S39" i="1"/>
  <c r="R53" i="1"/>
  <c r="T53" i="1"/>
  <c r="Q21" i="1"/>
  <c r="S66" i="1"/>
  <c r="X4" i="1"/>
  <c r="R113" i="1"/>
  <c r="Z110" i="1"/>
  <c r="Q46" i="1"/>
  <c r="R42" i="1"/>
  <c r="Y69" i="1"/>
  <c r="R109" i="1"/>
  <c r="X22" i="1"/>
  <c r="T70" i="1"/>
  <c r="Q57" i="1"/>
  <c r="Q73" i="1"/>
  <c r="AA55" i="1"/>
  <c r="AA40" i="1"/>
  <c r="R46" i="1"/>
  <c r="Q42" i="1"/>
  <c r="X102" i="1"/>
  <c r="Q107" i="1"/>
  <c r="Z43" i="1"/>
  <c r="Z51" i="1"/>
  <c r="Z73" i="1"/>
  <c r="Z26" i="1"/>
  <c r="T113" i="1"/>
  <c r="T56" i="1"/>
  <c r="Q97" i="1"/>
  <c r="Q49" i="1"/>
  <c r="T67" i="1"/>
  <c r="X50" i="1"/>
  <c r="AA50" i="1"/>
  <c r="Z107" i="1"/>
  <c r="T44" i="1"/>
  <c r="S107" i="1"/>
  <c r="R80" i="1"/>
  <c r="S84" i="1"/>
  <c r="Q62" i="1"/>
  <c r="T71" i="1"/>
  <c r="R37" i="1"/>
  <c r="T101" i="1"/>
  <c r="Q27" i="1"/>
  <c r="Y85" i="1"/>
  <c r="Q104" i="1"/>
  <c r="X57" i="1"/>
  <c r="Z40" i="1"/>
  <c r="Z44" i="1"/>
  <c r="S93" i="1"/>
  <c r="Q88" i="1"/>
  <c r="Q56" i="1"/>
  <c r="X46" i="1"/>
  <c r="AA63" i="1"/>
  <c r="Q93" i="1"/>
  <c r="R101" i="1"/>
  <c r="X107" i="1"/>
  <c r="R111" i="1"/>
  <c r="Q112" i="1"/>
  <c r="Q108" i="1"/>
  <c r="Q111" i="1"/>
  <c r="Z42" i="1"/>
  <c r="S67" i="1"/>
  <c r="S95" i="1"/>
  <c r="Q68" i="1"/>
  <c r="R88" i="1"/>
  <c r="R50" i="1"/>
  <c r="Q80" i="1"/>
  <c r="X73" i="1"/>
  <c r="R112" i="1"/>
  <c r="T86" i="1"/>
  <c r="Y82" i="1"/>
  <c r="AA87" i="1"/>
  <c r="Z109" i="1"/>
  <c r="Q63" i="1"/>
  <c r="Q84" i="1"/>
  <c r="R107" i="1"/>
  <c r="R108" i="1"/>
  <c r="Q110" i="1"/>
  <c r="X56" i="1"/>
  <c r="Z96" i="1"/>
  <c r="Z72" i="1"/>
  <c r="S28" i="1"/>
  <c r="Q53" i="1"/>
  <c r="T28" i="1"/>
  <c r="Q64" i="1"/>
  <c r="Q4" i="1"/>
  <c r="AA19" i="1"/>
  <c r="R12" i="1"/>
  <c r="R14" i="1"/>
  <c r="T19" i="1"/>
  <c r="R4" i="1"/>
  <c r="Q15" i="1"/>
  <c r="S15" i="1"/>
  <c r="Q5" i="1"/>
  <c r="R5" i="1"/>
  <c r="R16" i="1"/>
  <c r="R18" i="1"/>
  <c r="T16" i="1"/>
  <c r="T13" i="1"/>
  <c r="X13" i="1"/>
  <c r="Y4" i="1"/>
  <c r="S82" i="1"/>
  <c r="Q29" i="1"/>
  <c r="T8" i="1"/>
  <c r="T64" i="1"/>
  <c r="Q35" i="1"/>
  <c r="Q38" i="1"/>
  <c r="R41" i="1"/>
  <c r="R57" i="1"/>
  <c r="S35" i="1"/>
  <c r="R34" i="1"/>
  <c r="R8" i="1"/>
  <c r="R36" i="1"/>
  <c r="S104" i="1"/>
  <c r="T104" i="1"/>
  <c r="Q32" i="1"/>
  <c r="Q9" i="1"/>
  <c r="R86" i="1"/>
  <c r="Q86" i="1"/>
  <c r="S46" i="1"/>
  <c r="Q11" i="1"/>
  <c r="T11" i="1"/>
  <c r="R11" i="1"/>
  <c r="R90" i="1"/>
  <c r="Q90" i="1"/>
  <c r="T78" i="1"/>
  <c r="Q78" i="1"/>
  <c r="Q17" i="1"/>
  <c r="S38" i="1"/>
  <c r="R28" i="1"/>
  <c r="S77" i="1"/>
  <c r="R38" i="1"/>
  <c r="Q28" i="1"/>
  <c r="R35" i="1"/>
  <c r="R22" i="1"/>
  <c r="R73" i="1"/>
  <c r="X67" i="1"/>
  <c r="AA72" i="1"/>
  <c r="X97" i="1"/>
  <c r="X96" i="1"/>
  <c r="Y101" i="1"/>
  <c r="X106" i="1"/>
  <c r="X113" i="1"/>
  <c r="Y108" i="1"/>
  <c r="X108" i="1"/>
  <c r="Y112" i="1"/>
  <c r="S14" i="1"/>
  <c r="R83" i="1"/>
  <c r="Q83" i="1"/>
  <c r="T30" i="1"/>
  <c r="Q75" i="1"/>
  <c r="R75" i="1"/>
  <c r="S75" i="1"/>
  <c r="Q81" i="1"/>
  <c r="S81" i="1"/>
  <c r="S113" i="1"/>
  <c r="AA68" i="1"/>
  <c r="S70" i="1"/>
  <c r="Q70" i="1"/>
  <c r="R52" i="1"/>
  <c r="Q52" i="1"/>
  <c r="S52" i="1"/>
  <c r="Q87" i="1"/>
  <c r="Q54" i="1"/>
  <c r="R54" i="1"/>
  <c r="R65" i="1"/>
  <c r="Q79" i="1"/>
  <c r="S79" i="1"/>
  <c r="R79" i="1"/>
  <c r="Q58" i="1"/>
  <c r="S58" i="1"/>
  <c r="R19" i="1"/>
  <c r="Q89" i="1"/>
  <c r="R96" i="1"/>
  <c r="S85" i="1"/>
  <c r="T85" i="1"/>
  <c r="Q85" i="1"/>
  <c r="T59" i="1"/>
  <c r="R59" i="1"/>
  <c r="R94" i="1"/>
  <c r="T94" i="1"/>
  <c r="S80" i="1"/>
  <c r="S101" i="1"/>
  <c r="S76" i="1"/>
  <c r="Q60" i="1"/>
  <c r="R77" i="1"/>
  <c r="S61" i="1"/>
  <c r="S60" i="1"/>
  <c r="S8" i="1"/>
  <c r="X112" i="1"/>
  <c r="T108" i="1"/>
  <c r="Q30" i="1"/>
  <c r="R30" i="1"/>
  <c r="Q31" i="1"/>
  <c r="T31" i="1"/>
  <c r="R31" i="1"/>
  <c r="R20" i="1"/>
  <c r="R74" i="1"/>
  <c r="T74" i="1"/>
  <c r="R103" i="1"/>
  <c r="Q103" i="1"/>
  <c r="S103" i="1"/>
  <c r="R92" i="1"/>
  <c r="Q92" i="1"/>
  <c r="S92" i="1"/>
  <c r="T89" i="1"/>
  <c r="S89" i="1"/>
  <c r="Q47" i="1"/>
  <c r="T47" i="1"/>
  <c r="R47" i="1"/>
  <c r="S47" i="1"/>
  <c r="S27" i="1"/>
  <c r="T100" i="1"/>
  <c r="Q100" i="1"/>
  <c r="S100" i="1"/>
  <c r="Q25" i="1"/>
  <c r="Q7" i="1"/>
  <c r="R7" i="1"/>
  <c r="Q69" i="1"/>
  <c r="T29" i="1"/>
  <c r="R29" i="1"/>
  <c r="T66" i="1"/>
  <c r="R66" i="1"/>
  <c r="R9" i="1"/>
  <c r="S9" i="1"/>
  <c r="R58" i="1"/>
  <c r="T58" i="1"/>
  <c r="R61" i="1"/>
  <c r="Q99" i="1"/>
  <c r="R99" i="1"/>
  <c r="R51" i="1"/>
  <c r="Q51" i="1"/>
  <c r="T102" i="1"/>
  <c r="R102" i="1"/>
  <c r="T83" i="1"/>
  <c r="S83" i="1"/>
  <c r="R76" i="1"/>
  <c r="R97" i="1"/>
  <c r="T97" i="1"/>
  <c r="T4" i="1"/>
  <c r="Y49" i="1" l="1"/>
  <c r="X21" i="1"/>
  <c r="X5" i="1"/>
  <c r="Y26" i="1"/>
  <c r="AA70" i="1"/>
  <c r="Z68" i="1"/>
  <c r="AA7" i="1"/>
  <c r="X74" i="1"/>
  <c r="Y46" i="1"/>
  <c r="Z41" i="1"/>
  <c r="Y45" i="1"/>
  <c r="Y44" i="1"/>
  <c r="Y43" i="1"/>
  <c r="X16" i="1"/>
  <c r="AA51" i="1"/>
  <c r="Z67" i="1"/>
  <c r="Y25" i="1"/>
  <c r="AA69" i="1"/>
  <c r="Z69" i="1"/>
  <c r="R56" i="1"/>
  <c r="R89" i="1"/>
  <c r="S49" i="1"/>
  <c r="AA91" i="1"/>
  <c r="T90" i="1"/>
  <c r="Z37" i="1"/>
  <c r="S36" i="1"/>
  <c r="Z111" i="1"/>
  <c r="Z108" i="1"/>
  <c r="AA43" i="1"/>
  <c r="AA113" i="1"/>
  <c r="Y109" i="1"/>
  <c r="S56" i="1"/>
  <c r="T103" i="1"/>
  <c r="AA23" i="1"/>
  <c r="T22" i="1"/>
  <c r="S94" i="1"/>
  <c r="S65" i="1"/>
  <c r="X109" i="1"/>
  <c r="Y24" i="1"/>
  <c r="X43" i="1"/>
  <c r="Y63" i="1"/>
  <c r="Y64" i="1"/>
  <c r="T26" i="1"/>
  <c r="T76" i="1"/>
  <c r="T99" i="1"/>
  <c r="T92" i="1"/>
  <c r="S30" i="1"/>
  <c r="T35" i="1"/>
  <c r="T81" i="1"/>
  <c r="X42" i="1"/>
  <c r="Q41" i="1"/>
  <c r="Y110" i="1"/>
  <c r="Y106" i="1"/>
  <c r="S23" i="1"/>
  <c r="Y107" i="1"/>
  <c r="T41" i="1"/>
  <c r="Q94" i="1"/>
  <c r="S87" i="1"/>
  <c r="S54" i="1"/>
  <c r="T52" i="1"/>
  <c r="R70" i="1"/>
  <c r="T75" i="1"/>
  <c r="T32" i="1"/>
  <c r="Y111" i="1"/>
  <c r="T98" i="1"/>
  <c r="AA71" i="1"/>
  <c r="T25" i="1"/>
  <c r="R27" i="1"/>
  <c r="T109" i="1"/>
  <c r="S90" i="1"/>
  <c r="S32" i="1"/>
  <c r="T36" i="1"/>
  <c r="X110" i="1"/>
  <c r="Y113" i="1"/>
  <c r="Q61" i="1"/>
  <c r="S74" i="1"/>
  <c r="S29" i="1"/>
  <c r="T79" i="1"/>
  <c r="R78" i="1"/>
  <c r="T46" i="1"/>
  <c r="Q36" i="1"/>
  <c r="X105" i="1"/>
  <c r="S19" i="1"/>
  <c r="T14" i="1"/>
  <c r="Y13" i="1"/>
  <c r="Y16" i="1"/>
  <c r="Z13" i="1"/>
  <c r="Y17" i="1"/>
  <c r="S20" i="1"/>
  <c r="S17" i="1"/>
  <c r="S11" i="1"/>
  <c r="Y14" i="1"/>
  <c r="X6" i="1"/>
  <c r="T9" i="1"/>
  <c r="Y15" i="1"/>
  <c r="AA13" i="1"/>
  <c r="Y18" i="1"/>
  <c r="Y6" i="1"/>
  <c r="AA6" i="1"/>
  <c r="X14" i="1"/>
  <c r="Y73" i="1"/>
  <c r="X29" i="1"/>
  <c r="X28" i="1"/>
  <c r="Z39" i="1"/>
  <c r="Z38" i="1"/>
  <c r="Z18" i="1"/>
  <c r="Z17" i="1"/>
  <c r="AA78" i="1"/>
  <c r="AA105" i="1"/>
  <c r="Y36" i="1"/>
  <c r="Y37" i="1"/>
  <c r="Y22" i="1"/>
  <c r="Y38" i="1"/>
  <c r="Y39" i="1"/>
  <c r="X18" i="1"/>
  <c r="X17" i="1"/>
  <c r="X91" i="1"/>
  <c r="Y11" i="1"/>
  <c r="Y12" i="1"/>
  <c r="X33" i="1"/>
  <c r="Z105" i="1"/>
  <c r="Y91" i="1"/>
  <c r="Z12" i="1"/>
  <c r="Z11" i="1"/>
  <c r="Y87" i="1"/>
  <c r="Y86" i="1"/>
  <c r="X10" i="1"/>
  <c r="X9" i="1"/>
  <c r="AA33" i="1"/>
  <c r="Y35" i="1"/>
  <c r="Z50" i="1"/>
  <c r="Z49" i="1"/>
  <c r="Z91" i="1"/>
  <c r="AA11" i="1"/>
  <c r="AA12" i="1"/>
  <c r="Z46" i="1"/>
  <c r="Z32" i="1"/>
  <c r="Z33" i="1"/>
  <c r="AA37" i="1"/>
  <c r="Z78" i="1"/>
  <c r="X11" i="1"/>
  <c r="X12" i="1"/>
  <c r="X37" i="1"/>
  <c r="X36" i="1"/>
  <c r="X41" i="1"/>
  <c r="X78" i="1"/>
  <c r="AA46" i="1"/>
  <c r="Z36" i="1"/>
  <c r="Y23" i="1"/>
  <c r="Z102" i="1"/>
  <c r="Y60" i="1"/>
  <c r="Z58" i="1"/>
  <c r="Z59" i="1"/>
  <c r="Z79" i="1"/>
  <c r="Y54" i="1"/>
  <c r="Y55" i="1"/>
  <c r="Y84" i="1"/>
  <c r="Y83" i="1"/>
  <c r="Z60" i="1"/>
  <c r="Y78" i="1"/>
  <c r="X60" i="1"/>
  <c r="AA94" i="1"/>
  <c r="AA95" i="1"/>
  <c r="AA60" i="1"/>
  <c r="AA86" i="1"/>
  <c r="AA85" i="1"/>
  <c r="X58" i="1"/>
  <c r="X59" i="1"/>
  <c r="Z54" i="1"/>
  <c r="Z55" i="1"/>
  <c r="Z53" i="1"/>
  <c r="Z52" i="1"/>
  <c r="Z14" i="1"/>
  <c r="Z15" i="1"/>
  <c r="Z8" i="1"/>
  <c r="AA35" i="1"/>
  <c r="AA36" i="1"/>
  <c r="AA22" i="1"/>
  <c r="Z95" i="1"/>
  <c r="Z94" i="1"/>
  <c r="Z86" i="1"/>
  <c r="Z85" i="1"/>
  <c r="X90" i="1"/>
  <c r="X89" i="1"/>
  <c r="X79" i="1"/>
  <c r="X53" i="1"/>
  <c r="X71" i="1"/>
  <c r="AA81" i="1"/>
  <c r="AA82" i="1"/>
  <c r="AA15" i="1"/>
  <c r="AA14" i="1"/>
  <c r="Z62" i="1"/>
  <c r="Z61" i="1"/>
  <c r="AA41" i="1"/>
  <c r="AA42" i="1"/>
  <c r="Y95" i="1"/>
  <c r="Y94" i="1"/>
  <c r="Z19" i="1"/>
  <c r="AA79" i="1"/>
  <c r="AA80" i="1"/>
  <c r="X54" i="1"/>
  <c r="X55" i="1"/>
  <c r="AA53" i="1"/>
  <c r="AA52" i="1"/>
  <c r="Z71" i="1"/>
  <c r="Z70" i="1"/>
  <c r="AA110" i="1"/>
  <c r="X80" i="1"/>
  <c r="X95" i="1"/>
  <c r="X94" i="1"/>
  <c r="Y96" i="1"/>
  <c r="Y65" i="1"/>
  <c r="Y70" i="1"/>
  <c r="Y71" i="1"/>
  <c r="Z113" i="1"/>
  <c r="Z81" i="1"/>
  <c r="Z82" i="1"/>
  <c r="X76" i="1"/>
  <c r="X75" i="1"/>
  <c r="Z29" i="1"/>
  <c r="Z77" i="1"/>
  <c r="Z76" i="1"/>
  <c r="Z80" i="1"/>
  <c r="X86" i="1"/>
  <c r="X85" i="1"/>
  <c r="Y19" i="1"/>
  <c r="Z87" i="1"/>
  <c r="Z88" i="1"/>
  <c r="Y79" i="1"/>
  <c r="Y80" i="1"/>
  <c r="Z66" i="1"/>
  <c r="Z65" i="1"/>
  <c r="X87" i="1"/>
  <c r="X88" i="1"/>
  <c r="Y53" i="1"/>
  <c r="X82" i="1"/>
  <c r="X81" i="1"/>
  <c r="X84" i="1"/>
  <c r="X83" i="1"/>
  <c r="Z83" i="1"/>
  <c r="Z84" i="1"/>
  <c r="X99" i="1"/>
  <c r="Y66" i="1"/>
  <c r="Y67" i="1"/>
  <c r="X101" i="1"/>
  <c r="X100" i="1"/>
  <c r="X47" i="1"/>
  <c r="X48" i="1"/>
  <c r="X92" i="1"/>
  <c r="X93" i="1"/>
  <c r="Y103" i="1"/>
  <c r="Y104" i="1"/>
  <c r="Y30" i="1"/>
  <c r="AA109" i="1"/>
  <c r="AA108" i="1"/>
  <c r="AA83" i="1"/>
  <c r="AA84" i="1"/>
  <c r="Y61" i="1"/>
  <c r="Y62" i="1"/>
  <c r="AA58" i="1"/>
  <c r="AA59" i="1"/>
  <c r="AA67" i="1"/>
  <c r="AA66" i="1"/>
  <c r="Y7" i="1"/>
  <c r="Y8" i="1"/>
  <c r="X25" i="1"/>
  <c r="X26" i="1"/>
  <c r="AA100" i="1"/>
  <c r="AA101" i="1"/>
  <c r="Z90" i="1"/>
  <c r="Z89" i="1"/>
  <c r="Y92" i="1"/>
  <c r="Y93" i="1"/>
  <c r="X30" i="1"/>
  <c r="AA98" i="1"/>
  <c r="AA97" i="1"/>
  <c r="Y102" i="1"/>
  <c r="X52" i="1"/>
  <c r="X51" i="1"/>
  <c r="X61" i="1"/>
  <c r="X62" i="1"/>
  <c r="Y58" i="1"/>
  <c r="Y59" i="1"/>
  <c r="Y29" i="1"/>
  <c r="X8" i="1"/>
  <c r="X7" i="1"/>
  <c r="Y90" i="1"/>
  <c r="Y89" i="1"/>
  <c r="Y31" i="1"/>
  <c r="Y32" i="1"/>
  <c r="Y97" i="1"/>
  <c r="Y98" i="1"/>
  <c r="AA102" i="1"/>
  <c r="Y52" i="1"/>
  <c r="Y51" i="1"/>
  <c r="Z10" i="1"/>
  <c r="Z9" i="1"/>
  <c r="AA29" i="1"/>
  <c r="AA30" i="1"/>
  <c r="AA25" i="1"/>
  <c r="AA26" i="1"/>
  <c r="Z28" i="1"/>
  <c r="Z27" i="1"/>
  <c r="Z47" i="1"/>
  <c r="Z48" i="1"/>
  <c r="AA90" i="1"/>
  <c r="AA89" i="1"/>
  <c r="Z104" i="1"/>
  <c r="Z103" i="1"/>
  <c r="AA74" i="1"/>
  <c r="AA75" i="1"/>
  <c r="AA32" i="1"/>
  <c r="AA31" i="1"/>
  <c r="AA5" i="1"/>
  <c r="AA4" i="1"/>
  <c r="AA76" i="1"/>
  <c r="AA77" i="1"/>
  <c r="Y100" i="1"/>
  <c r="Y99" i="1"/>
  <c r="AA9" i="1"/>
  <c r="AA10" i="1"/>
  <c r="Y57" i="1"/>
  <c r="Y56" i="1"/>
  <c r="Y27" i="1"/>
  <c r="Y28" i="1"/>
  <c r="Y48" i="1"/>
  <c r="Y47" i="1"/>
  <c r="Z93" i="1"/>
  <c r="Z92" i="1"/>
  <c r="X103" i="1"/>
  <c r="X104" i="1"/>
  <c r="Y75" i="1"/>
  <c r="Y74" i="1"/>
  <c r="Y21" i="1"/>
  <c r="Y20" i="1"/>
  <c r="X31" i="1"/>
  <c r="X32" i="1"/>
  <c r="Y76" i="1"/>
  <c r="Y77" i="1"/>
  <c r="AA99" i="1"/>
  <c r="Z57" i="1"/>
  <c r="Z56" i="1"/>
  <c r="Y10" i="1"/>
  <c r="Y9" i="1"/>
  <c r="X69" i="1"/>
  <c r="X70" i="1"/>
  <c r="Z101" i="1"/>
  <c r="Z100" i="1"/>
  <c r="Z20" i="1"/>
  <c r="Z21" i="1"/>
  <c r="AA47" i="1"/>
  <c r="AA48" i="1"/>
  <c r="AA93" i="1"/>
  <c r="AA92" i="1"/>
  <c r="AA103" i="1"/>
  <c r="AA104" i="1"/>
  <c r="Z74" i="1"/>
  <c r="Z75" i="1"/>
  <c r="Z31" i="1"/>
  <c r="Z30" i="1"/>
  <c r="X38" i="1" l="1"/>
  <c r="AA65" i="1"/>
  <c r="Z35" i="1"/>
  <c r="Z23" i="1"/>
  <c r="X39" i="1"/>
  <c r="Y34" i="1"/>
  <c r="Z24" i="1"/>
  <c r="Y42" i="1"/>
  <c r="Y41" i="1"/>
  <c r="AA64" i="1"/>
  <c r="X35" i="1"/>
  <c r="AA27" i="1"/>
  <c r="AA8" i="1"/>
  <c r="BY45" i="1" l="1"/>
  <c r="BY35" i="1"/>
  <c r="BY29" i="1"/>
  <c r="BY64" i="1"/>
  <c r="BZ88" i="1"/>
  <c r="BZ97" i="1"/>
  <c r="BY26" i="1"/>
  <c r="BZ99" i="1"/>
  <c r="BZ100" i="1"/>
  <c r="BY25" i="1"/>
  <c r="BY50" i="1"/>
  <c r="BY75" i="1"/>
  <c r="BY87" i="1"/>
  <c r="BY86" i="1"/>
  <c r="BZ91" i="1"/>
  <c r="BZ56" i="1"/>
  <c r="BY99" i="1"/>
  <c r="BZ61" i="1"/>
  <c r="BY46" i="1"/>
  <c r="BY80" i="1"/>
  <c r="BY32" i="1"/>
  <c r="CA93" i="1"/>
  <c r="BY97" i="1"/>
  <c r="BY47" i="1"/>
  <c r="BY48" i="1"/>
  <c r="BY102" i="1"/>
  <c r="CA75" i="1"/>
  <c r="BY72" i="1"/>
  <c r="BY61" i="1"/>
  <c r="BY67" i="1"/>
  <c r="BY94" i="1"/>
  <c r="CB89" i="1"/>
  <c r="BZ83" i="1"/>
  <c r="BY78" i="1"/>
  <c r="BZ26" i="1"/>
  <c r="BZ25" i="1"/>
  <c r="CA21" i="1"/>
  <c r="BZ27" i="1"/>
  <c r="BZ70" i="1"/>
  <c r="BY91" i="1"/>
  <c r="BY39" i="1"/>
  <c r="BZ89" i="1"/>
  <c r="BZ51" i="1"/>
  <c r="CA43" i="1"/>
  <c r="CB92" i="1"/>
  <c r="BY100" i="1"/>
  <c r="BZ80" i="1"/>
  <c r="BY76" i="1"/>
  <c r="BY88" i="1"/>
  <c r="BY101" i="1"/>
  <c r="BZ37" i="1"/>
  <c r="BZ95" i="1"/>
  <c r="BY37" i="1"/>
  <c r="CA23" i="1"/>
  <c r="BY81" i="1"/>
  <c r="CA31" i="1"/>
  <c r="BY103" i="1"/>
  <c r="CB87" i="1"/>
  <c r="BZ64" i="1"/>
  <c r="BZ21" i="1"/>
  <c r="BZ23" i="1"/>
  <c r="BY71" i="1"/>
  <c r="BZ22" i="1"/>
  <c r="BZ63" i="1"/>
  <c r="CB80" i="1"/>
  <c r="BY21" i="1"/>
  <c r="BY93" i="1"/>
  <c r="BY70" i="1"/>
  <c r="BZ34" i="1"/>
  <c r="BZ39" i="1"/>
  <c r="CA28" i="1"/>
  <c r="BY98" i="1"/>
  <c r="CA53" i="1"/>
  <c r="BY63" i="1"/>
  <c r="BZ47" i="1"/>
  <c r="BY28" i="1"/>
  <c r="CB55" i="1"/>
  <c r="BZ59" i="1"/>
  <c r="CB41" i="1"/>
  <c r="BZ96" i="1"/>
  <c r="BY24" i="1"/>
  <c r="BZ79" i="1"/>
  <c r="BZ65" i="1"/>
  <c r="BY27" i="1"/>
  <c r="BY51" i="1"/>
  <c r="CB23" i="1"/>
  <c r="BY85" i="1"/>
  <c r="BY66" i="1"/>
  <c r="CA27" i="1"/>
  <c r="BZ102" i="1"/>
  <c r="BY79" i="1"/>
  <c r="BZ73" i="1"/>
  <c r="BZ36" i="1"/>
  <c r="CA76" i="1"/>
  <c r="BY89" i="1"/>
  <c r="BZ67" i="1"/>
  <c r="BZ72" i="1"/>
  <c r="BZ54" i="1"/>
  <c r="BY95" i="1"/>
  <c r="BY77" i="1"/>
  <c r="CA84" i="1"/>
  <c r="BY40" i="1"/>
  <c r="BZ31" i="1"/>
  <c r="BZ93" i="1"/>
  <c r="BY41" i="1"/>
  <c r="BZ33" i="1"/>
  <c r="BY73" i="1"/>
  <c r="BY30" i="1"/>
  <c r="BZ84" i="1"/>
  <c r="BZ50" i="1"/>
  <c r="BY43" i="1"/>
  <c r="CA87" i="1"/>
  <c r="CA52" i="1"/>
  <c r="CA81" i="1"/>
  <c r="BZ68" i="1"/>
  <c r="BZ28" i="1"/>
  <c r="BZ66" i="1"/>
  <c r="BZ75" i="1"/>
  <c r="BZ55" i="1"/>
  <c r="BY92" i="1"/>
  <c r="BY56" i="1"/>
  <c r="BY68" i="1"/>
  <c r="BY38" i="1"/>
  <c r="CA79" i="1"/>
  <c r="BZ46" i="1"/>
  <c r="BY90" i="1"/>
  <c r="CA51" i="1"/>
  <c r="BZ52" i="1"/>
  <c r="BY34" i="1"/>
  <c r="BZ78" i="1"/>
  <c r="CB79" i="1"/>
  <c r="BZ74" i="1"/>
  <c r="BZ82" i="1"/>
  <c r="CB21" i="1"/>
  <c r="BZ48" i="1"/>
  <c r="BY52" i="1"/>
  <c r="BY55" i="1"/>
  <c r="CB64" i="1"/>
  <c r="BY31" i="1"/>
  <c r="BY42" i="1"/>
  <c r="CA90" i="1"/>
  <c r="BZ32" i="1"/>
  <c r="BY49" i="1"/>
  <c r="BZ30" i="1"/>
  <c r="BY65" i="1"/>
  <c r="BZ94" i="1"/>
  <c r="BY96" i="1"/>
  <c r="BY62" i="1"/>
  <c r="BZ62" i="1"/>
  <c r="BY82" i="1"/>
  <c r="BY22" i="1"/>
  <c r="CB75" i="1"/>
  <c r="BZ85" i="1"/>
  <c r="CB62" i="1"/>
  <c r="BY83" i="1"/>
  <c r="BZ103" i="1"/>
  <c r="CB88" i="1"/>
  <c r="BZ101" i="1"/>
  <c r="BY74" i="1"/>
  <c r="CA30" i="1"/>
  <c r="BZ92" i="1"/>
  <c r="CB99" i="1"/>
  <c r="BZ57" i="1"/>
  <c r="BZ40" i="1"/>
  <c r="CB36" i="1"/>
  <c r="BY33" i="1"/>
  <c r="BZ45" i="1"/>
  <c r="BZ69" i="1"/>
  <c r="BZ38" i="1"/>
  <c r="CB34" i="1"/>
  <c r="BZ29" i="1"/>
  <c r="BZ76" i="1"/>
  <c r="BZ77" i="1"/>
  <c r="CB30" i="1"/>
  <c r="CA54" i="1"/>
  <c r="CA70" i="1"/>
  <c r="BZ24" i="1"/>
  <c r="BZ35" i="1"/>
  <c r="CB72" i="1"/>
  <c r="CB94" i="1"/>
  <c r="CA39" i="1"/>
  <c r="BY69" i="1"/>
  <c r="CB37" i="1"/>
  <c r="CA34" i="1"/>
  <c r="BZ81" i="1"/>
  <c r="CA45" i="1"/>
  <c r="CB49" i="1"/>
  <c r="CA38" i="1"/>
  <c r="BZ49" i="1"/>
  <c r="CA86" i="1"/>
  <c r="CB70" i="1"/>
  <c r="CB56" i="1"/>
  <c r="CB57" i="1"/>
  <c r="CB27" i="1"/>
  <c r="BY54" i="1"/>
  <c r="CA69" i="1"/>
  <c r="CB77" i="1"/>
  <c r="CA100" i="1"/>
  <c r="BY23" i="1"/>
  <c r="CA83" i="1"/>
  <c r="CA61" i="1"/>
  <c r="CB28" i="1"/>
  <c r="CA44" i="1"/>
  <c r="BY60" i="1"/>
  <c r="CB31" i="1"/>
  <c r="BY36" i="1"/>
  <c r="CA57" i="1"/>
  <c r="BZ87" i="1"/>
  <c r="BZ53" i="1"/>
  <c r="CB48" i="1"/>
  <c r="BY59" i="1"/>
  <c r="BZ90" i="1"/>
  <c r="BZ98" i="1"/>
  <c r="BZ41" i="1"/>
  <c r="BY53" i="1"/>
  <c r="BY57" i="1"/>
  <c r="CB101" i="1"/>
  <c r="CA47" i="1"/>
  <c r="BY58" i="1"/>
  <c r="BY84" i="1"/>
  <c r="CA64" i="1"/>
  <c r="CA99" i="1"/>
  <c r="CB22" i="1"/>
  <c r="CA58" i="1"/>
  <c r="CB35" i="1"/>
  <c r="CB82" i="1"/>
  <c r="CA73" i="1"/>
  <c r="BZ44" i="1"/>
  <c r="CB65" i="1"/>
  <c r="CB103" i="1"/>
  <c r="CA92" i="1"/>
  <c r="CA91" i="1"/>
  <c r="CA42" i="1"/>
  <c r="CA26" i="1"/>
  <c r="CB93" i="1"/>
  <c r="CB63" i="1"/>
  <c r="CA62" i="1"/>
  <c r="BZ86" i="1"/>
  <c r="BZ71" i="1"/>
  <c r="CB53" i="1"/>
  <c r="CA32" i="1"/>
  <c r="CB68" i="1"/>
  <c r="CA41" i="1"/>
  <c r="CB39" i="1"/>
  <c r="CB71" i="1"/>
  <c r="CA37" i="1"/>
  <c r="CB85" i="1"/>
  <c r="CB97" i="1"/>
  <c r="BY44" i="1"/>
  <c r="CB76" i="1"/>
  <c r="CB60" i="1"/>
  <c r="CA55" i="1"/>
  <c r="CA25" i="1"/>
  <c r="CA71" i="1"/>
  <c r="CA82" i="1"/>
  <c r="BZ58" i="1"/>
  <c r="CB58" i="1"/>
  <c r="CA89" i="1"/>
  <c r="CB83" i="1"/>
  <c r="CA29" i="1"/>
  <c r="CB26" i="1"/>
  <c r="CA46" i="1"/>
  <c r="BZ42" i="1"/>
  <c r="CB24" i="1"/>
  <c r="BZ60" i="1"/>
  <c r="CA24" i="1"/>
  <c r="CA48" i="1"/>
  <c r="CB44" i="1"/>
  <c r="BZ43" i="1"/>
  <c r="CB81" i="1"/>
  <c r="CA94" i="1"/>
  <c r="CB78" i="1"/>
  <c r="CB51" i="1"/>
  <c r="CB100" i="1"/>
  <c r="CB86" i="1"/>
  <c r="CB45" i="1"/>
  <c r="CB67" i="1"/>
  <c r="CA36" i="1"/>
  <c r="CB46" i="1"/>
  <c r="CB59" i="1"/>
  <c r="CA96" i="1"/>
  <c r="CB54" i="1"/>
  <c r="CB47" i="1"/>
  <c r="CB43" i="1"/>
  <c r="CB73" i="1"/>
  <c r="CA72" i="1"/>
  <c r="CB95" i="1"/>
  <c r="CA63" i="1"/>
  <c r="CA67" i="1"/>
  <c r="CA97" i="1"/>
  <c r="CB74" i="1"/>
  <c r="CB29" i="1"/>
  <c r="CA74" i="1"/>
  <c r="CB96" i="1"/>
  <c r="CB91" i="1"/>
  <c r="CA50" i="1"/>
  <c r="CB32" i="1"/>
  <c r="CA80" i="1"/>
  <c r="CA103" i="1"/>
  <c r="CA68" i="1"/>
  <c r="CA95" i="1"/>
  <c r="CA101" i="1"/>
  <c r="CB98" i="1"/>
  <c r="CB52" i="1"/>
  <c r="CA102" i="1"/>
  <c r="CB69" i="1"/>
  <c r="CB50" i="1"/>
  <c r="CB38" i="1"/>
  <c r="CB61" i="1"/>
  <c r="CA88" i="1"/>
  <c r="CA59" i="1"/>
  <c r="CA78" i="1"/>
  <c r="CB66" i="1"/>
  <c r="CA33" i="1"/>
  <c r="CB42" i="1"/>
  <c r="CB33" i="1"/>
  <c r="CB40" i="1"/>
  <c r="CA49" i="1"/>
  <c r="CA65" i="1"/>
  <c r="CA66" i="1"/>
  <c r="CA22" i="1"/>
  <c r="CB84" i="1"/>
  <c r="CA77" i="1"/>
  <c r="CA98" i="1"/>
  <c r="CA40" i="1"/>
  <c r="CA85" i="1"/>
  <c r="CA60" i="1"/>
  <c r="CB25" i="1"/>
  <c r="CA56" i="1"/>
  <c r="CA35" i="1"/>
  <c r="CB90" i="1"/>
  <c r="CB102" i="1"/>
  <c r="BR47" i="1"/>
  <c r="AF51" i="1"/>
  <c r="AE89" i="1"/>
  <c r="AF303" i="1"/>
  <c r="BR7" i="1"/>
  <c r="AE119" i="1"/>
  <c r="AE336" i="1"/>
  <c r="AE60" i="1"/>
  <c r="AE202" i="1"/>
  <c r="AE263" i="1"/>
  <c r="AF330" i="1"/>
  <c r="AE251" i="1"/>
  <c r="AH199" i="1"/>
  <c r="AF354" i="1"/>
  <c r="AF179" i="1"/>
  <c r="AG225" i="1"/>
  <c r="AF235" i="1"/>
  <c r="AE78" i="1"/>
  <c r="AG290" i="1"/>
  <c r="AF130" i="1"/>
  <c r="BS41" i="1"/>
  <c r="AF243" i="1"/>
  <c r="AF8" i="1"/>
  <c r="AG138" i="1"/>
  <c r="AG254" i="1"/>
  <c r="BR8" i="1"/>
  <c r="AE172" i="1"/>
  <c r="AF275" i="1"/>
  <c r="AF87" i="1"/>
  <c r="AG156" i="1"/>
  <c r="AF88" i="1"/>
  <c r="AF299" i="1"/>
  <c r="AH54" i="1"/>
  <c r="AF127" i="1"/>
  <c r="AG22" i="1"/>
  <c r="AE56" i="1"/>
  <c r="AH89" i="1"/>
  <c r="AE315" i="1"/>
  <c r="BR20" i="1"/>
  <c r="AF240" i="1"/>
  <c r="AF315" i="1"/>
  <c r="AE36" i="1"/>
  <c r="AF328" i="1"/>
  <c r="AG140" i="1"/>
  <c r="AH272" i="1"/>
  <c r="AE238" i="1"/>
  <c r="AG232" i="1"/>
  <c r="AE130" i="1"/>
  <c r="AF360" i="1"/>
  <c r="AG35" i="1"/>
  <c r="AG198" i="1"/>
  <c r="AH228" i="1"/>
  <c r="AH259" i="1"/>
  <c r="AH160" i="1"/>
  <c r="AF71" i="1"/>
  <c r="AH354" i="1"/>
  <c r="AE234" i="1"/>
  <c r="AE219" i="1"/>
  <c r="AG239" i="1"/>
  <c r="AH157" i="1"/>
  <c r="AE114" i="1"/>
  <c r="AH219" i="1"/>
  <c r="AH326" i="1"/>
  <c r="AH53" i="1"/>
  <c r="BR31" i="1"/>
  <c r="BR32" i="1"/>
  <c r="AF89" i="1"/>
  <c r="BR48" i="1"/>
  <c r="AF161" i="1"/>
  <c r="AF146" i="1"/>
  <c r="AH152" i="1"/>
  <c r="AF124" i="1"/>
  <c r="AE135" i="1"/>
  <c r="BR42" i="1"/>
  <c r="AF258" i="1"/>
  <c r="BR46" i="1"/>
  <c r="AH51" i="1"/>
  <c r="BS14" i="1"/>
  <c r="AG10" i="1"/>
  <c r="AE262" i="1"/>
  <c r="AF192" i="1"/>
  <c r="AE122" i="1"/>
  <c r="AF17" i="1"/>
  <c r="AE196" i="1"/>
  <c r="AF35" i="1"/>
  <c r="BR51" i="1"/>
  <c r="AG42" i="1"/>
  <c r="AG58" i="1"/>
  <c r="AG251" i="1"/>
  <c r="AG181" i="1"/>
  <c r="AE117" i="1"/>
  <c r="AH209" i="1"/>
  <c r="AE12" i="1"/>
  <c r="AH179" i="1"/>
  <c r="BZ9" i="1"/>
  <c r="AG304" i="1"/>
  <c r="AF175" i="1"/>
  <c r="AF97" i="1"/>
  <c r="AE221" i="1"/>
  <c r="AF85" i="1"/>
  <c r="AE59" i="1"/>
  <c r="AF173" i="1"/>
  <c r="AF77" i="1"/>
  <c r="AF187" i="1"/>
  <c r="AF109" i="1"/>
  <c r="AG107" i="1"/>
  <c r="AF145" i="1"/>
  <c r="AE170" i="1"/>
  <c r="AE22" i="1"/>
  <c r="AF247" i="1"/>
  <c r="AF244" i="1"/>
  <c r="AF181" i="1"/>
  <c r="AG356" i="1"/>
  <c r="AE197" i="1"/>
  <c r="AF75" i="1"/>
  <c r="AF265" i="1"/>
  <c r="AE261" i="1"/>
  <c r="AF344" i="1"/>
  <c r="AF155" i="1"/>
  <c r="AH221" i="1"/>
  <c r="BZ12" i="1"/>
  <c r="AE27" i="1"/>
  <c r="AF111" i="1"/>
  <c r="AH278" i="1"/>
  <c r="AF221" i="1"/>
  <c r="AF253" i="1"/>
  <c r="AE96" i="1"/>
  <c r="AF80" i="1"/>
  <c r="AE104" i="1"/>
  <c r="AE241" i="1"/>
  <c r="AE16" i="1"/>
  <c r="AE141" i="1"/>
  <c r="AF279" i="1"/>
  <c r="AE4" i="1"/>
  <c r="AF297" i="1"/>
  <c r="AE84" i="1"/>
  <c r="AE17" i="1"/>
  <c r="AH231" i="1"/>
  <c r="AE271" i="1"/>
  <c r="AE302" i="1"/>
  <c r="AE179" i="1"/>
  <c r="AE75" i="1"/>
  <c r="AE88" i="1"/>
  <c r="AF48" i="1"/>
  <c r="AF61" i="1"/>
  <c r="AE183" i="1"/>
  <c r="AG53" i="1"/>
  <c r="AF312" i="1"/>
  <c r="AE292" i="1"/>
  <c r="AE54" i="1"/>
  <c r="AE80" i="1"/>
  <c r="AE258" i="1"/>
  <c r="AG32" i="1"/>
  <c r="AH276" i="1"/>
  <c r="AE63" i="1"/>
  <c r="AE186" i="1"/>
  <c r="AE83" i="1"/>
  <c r="AF105" i="1"/>
  <c r="AF134" i="1"/>
  <c r="AG243" i="1"/>
  <c r="AE77" i="1"/>
  <c r="AF47" i="1"/>
  <c r="AF39" i="1"/>
  <c r="AG310" i="1"/>
  <c r="AF298" i="1"/>
  <c r="AG21" i="1"/>
  <c r="AG332" i="1"/>
  <c r="AE55" i="1"/>
  <c r="AH230" i="1"/>
  <c r="AF353" i="1"/>
  <c r="AG209" i="1"/>
  <c r="AE145" i="1"/>
  <c r="AG12" i="1"/>
  <c r="BR37" i="1"/>
  <c r="AF273" i="1"/>
  <c r="AF289" i="1"/>
  <c r="AG122" i="1"/>
  <c r="AF153" i="1"/>
  <c r="AF171" i="1"/>
  <c r="AG13" i="1"/>
  <c r="AE207" i="1"/>
  <c r="AE250" i="1"/>
  <c r="AE211" i="1"/>
  <c r="AF189" i="1"/>
  <c r="AH306" i="1"/>
  <c r="AF177" i="1"/>
  <c r="AE312" i="1"/>
  <c r="AF204" i="1"/>
  <c r="AG205" i="1"/>
  <c r="AE62" i="1"/>
  <c r="AH50" i="1"/>
  <c r="AG125" i="1"/>
  <c r="BR41" i="1"/>
  <c r="AE293" i="1"/>
  <c r="AH340" i="1"/>
  <c r="AG244" i="1"/>
  <c r="AF342" i="1"/>
  <c r="AH178" i="1"/>
  <c r="AG255" i="1"/>
  <c r="AG109" i="1"/>
  <c r="AF115" i="1"/>
  <c r="AF148" i="1"/>
  <c r="AF129" i="1"/>
  <c r="AH258" i="1"/>
  <c r="AH208" i="1"/>
  <c r="AH27" i="1"/>
  <c r="AG355" i="1"/>
  <c r="AG131" i="1"/>
  <c r="AH196" i="1"/>
  <c r="AF351" i="1"/>
  <c r="AH21" i="1"/>
  <c r="BT31" i="1"/>
  <c r="AG291" i="1"/>
  <c r="BZ11" i="1"/>
  <c r="AG51" i="1"/>
  <c r="BR36" i="1"/>
  <c r="AF191" i="1"/>
  <c r="AE357" i="1"/>
  <c r="AE296" i="1"/>
  <c r="AF78" i="1"/>
  <c r="AF232" i="1"/>
  <c r="AF184" i="1"/>
  <c r="AF290" i="1"/>
  <c r="AE313" i="1"/>
  <c r="AG305" i="1"/>
  <c r="AE249" i="1"/>
  <c r="AG83" i="1"/>
  <c r="AE184" i="1"/>
  <c r="AF151" i="1"/>
  <c r="AF200" i="1"/>
  <c r="AE115" i="1"/>
  <c r="AF82" i="1"/>
  <c r="AF16" i="1"/>
  <c r="AF72" i="1"/>
  <c r="AF202" i="1"/>
  <c r="AE53" i="1"/>
  <c r="AG312" i="1"/>
  <c r="AF194" i="1"/>
  <c r="AE108" i="1"/>
  <c r="AE100" i="1"/>
  <c r="AF154" i="1"/>
  <c r="AF300" i="1"/>
  <c r="AE320" i="1"/>
  <c r="AG357" i="1"/>
  <c r="AE198" i="1"/>
  <c r="AG66" i="1"/>
  <c r="AH322" i="1"/>
  <c r="AF91" i="1"/>
  <c r="AF13" i="1"/>
  <c r="AE153" i="1"/>
  <c r="AE360" i="1"/>
  <c r="AE314" i="1"/>
  <c r="BR35" i="1"/>
  <c r="AE31" i="1"/>
  <c r="BZ6" i="1"/>
  <c r="AE259" i="1"/>
  <c r="AE156" i="1"/>
  <c r="AG79" i="1"/>
  <c r="AG316" i="1"/>
  <c r="AF264" i="1"/>
  <c r="AH145" i="1"/>
  <c r="AE57" i="1"/>
  <c r="AF136" i="1"/>
  <c r="AF178" i="1"/>
  <c r="AF308" i="1"/>
  <c r="AF326" i="1"/>
  <c r="AF150" i="1"/>
  <c r="BR21" i="1"/>
  <c r="AG18" i="1"/>
  <c r="AE316" i="1"/>
  <c r="AE99" i="1"/>
  <c r="AF195" i="1"/>
  <c r="AH344" i="1"/>
  <c r="AE110" i="1"/>
  <c r="AF193" i="1"/>
  <c r="AE348" i="1"/>
  <c r="AF172" i="1"/>
  <c r="AE137" i="1"/>
  <c r="AF50" i="1"/>
  <c r="AF156" i="1"/>
  <c r="AG142" i="1"/>
  <c r="AH42" i="1"/>
  <c r="AG335" i="1"/>
  <c r="AE142" i="1"/>
  <c r="AF259" i="1"/>
  <c r="AF118" i="1"/>
  <c r="AF86" i="1"/>
  <c r="AE14" i="1"/>
  <c r="AH30" i="1"/>
  <c r="AG359" i="1"/>
  <c r="AE127" i="1"/>
  <c r="AE125" i="1"/>
  <c r="AF263" i="1"/>
  <c r="BS50" i="1"/>
  <c r="AE236" i="1"/>
  <c r="AE168" i="1"/>
  <c r="AF23" i="1"/>
  <c r="AF76" i="1"/>
  <c r="AF94" i="1"/>
  <c r="AE347" i="1"/>
  <c r="AE87" i="1"/>
  <c r="AE239" i="1"/>
  <c r="AG314" i="1"/>
  <c r="AH360" i="1"/>
  <c r="AE220" i="1"/>
  <c r="AG298" i="1"/>
  <c r="BR49" i="1"/>
  <c r="AH61" i="1"/>
  <c r="AG299" i="1"/>
  <c r="AH336" i="1"/>
  <c r="AG271" i="1"/>
  <c r="AF340" i="1"/>
  <c r="AG154" i="1"/>
  <c r="BR16" i="1"/>
  <c r="AE106" i="1"/>
  <c r="AH103" i="1"/>
  <c r="AE278" i="1"/>
  <c r="AH80" i="1"/>
  <c r="AE165" i="1"/>
  <c r="AE187" i="1"/>
  <c r="AF26" i="1"/>
  <c r="AF14" i="1"/>
  <c r="AH232" i="1"/>
  <c r="AE105" i="1"/>
  <c r="AH275" i="1"/>
  <c r="AF119" i="1"/>
  <c r="AE73" i="1"/>
  <c r="AE131" i="1"/>
  <c r="AE143" i="1"/>
  <c r="AF49" i="1"/>
  <c r="AH362" i="1"/>
  <c r="AE33" i="1"/>
  <c r="AG100" i="1"/>
  <c r="AE224" i="1"/>
  <c r="AF101" i="1"/>
  <c r="BY12" i="1"/>
  <c r="AE311" i="1"/>
  <c r="AF224" i="1"/>
  <c r="AH105" i="1"/>
  <c r="AG62" i="1"/>
  <c r="AF38" i="1"/>
  <c r="AE246" i="1"/>
  <c r="BR6" i="1"/>
  <c r="AF69" i="1"/>
  <c r="AG196" i="1"/>
  <c r="AH261" i="1"/>
  <c r="AF323" i="1"/>
  <c r="AF120" i="1"/>
  <c r="AF318" i="1"/>
  <c r="AH305" i="1"/>
  <c r="AH331" i="1"/>
  <c r="BT7" i="1"/>
  <c r="AF114" i="1"/>
  <c r="AF236" i="1"/>
  <c r="AF108" i="1"/>
  <c r="BS13" i="1"/>
  <c r="AE351" i="1"/>
  <c r="AE213" i="1"/>
  <c r="AE140" i="1"/>
  <c r="AG227" i="1"/>
  <c r="AG167" i="1"/>
  <c r="AF271" i="1"/>
  <c r="AH167" i="1"/>
  <c r="AH343" i="1"/>
  <c r="AH79" i="1"/>
  <c r="AE284" i="1"/>
  <c r="AF197" i="1"/>
  <c r="AG247" i="1"/>
  <c r="AH268" i="1"/>
  <c r="BY14" i="1"/>
  <c r="AE318" i="1"/>
  <c r="AE232" i="1"/>
  <c r="BR33" i="1"/>
  <c r="AH4" i="1"/>
  <c r="AE282" i="1"/>
  <c r="AE42" i="1"/>
  <c r="AE227" i="1"/>
  <c r="AF254" i="1"/>
  <c r="AE283" i="1"/>
  <c r="AH41" i="1"/>
  <c r="AF209" i="1"/>
  <c r="CB19" i="1"/>
  <c r="AG20" i="1"/>
  <c r="BR40" i="1"/>
  <c r="AG106" i="1"/>
  <c r="AG115" i="1"/>
  <c r="AG213" i="1"/>
  <c r="AH191" i="1"/>
  <c r="AE233" i="1"/>
  <c r="BR29" i="1"/>
  <c r="AH218" i="1"/>
  <c r="AE7" i="1"/>
  <c r="AG147" i="1"/>
  <c r="AE341" i="1"/>
  <c r="AH320" i="1"/>
  <c r="AE166" i="1"/>
  <c r="AH312" i="1"/>
  <c r="AE70" i="1"/>
  <c r="AH346" i="1"/>
  <c r="AF149" i="1"/>
  <c r="AG323" i="1"/>
  <c r="AF251" i="1"/>
  <c r="AE245" i="1"/>
  <c r="AF207" i="1"/>
  <c r="AE323" i="1"/>
  <c r="AE299" i="1"/>
  <c r="AF56" i="1"/>
  <c r="AF113" i="1"/>
  <c r="AE285" i="1"/>
  <c r="BR4" i="1"/>
  <c r="AG306" i="1"/>
  <c r="AE345" i="1"/>
  <c r="AH111" i="1"/>
  <c r="AF338" i="1"/>
  <c r="AE134" i="1"/>
  <c r="AE243" i="1"/>
  <c r="AE264" i="1"/>
  <c r="AF95" i="1"/>
  <c r="AG250" i="1"/>
  <c r="AF332" i="1"/>
  <c r="BS46" i="1"/>
  <c r="AE35" i="1"/>
  <c r="AH40" i="1"/>
  <c r="AH260" i="1"/>
  <c r="AF333" i="1"/>
  <c r="AE40" i="1"/>
  <c r="AF337" i="1"/>
  <c r="AE231" i="1"/>
  <c r="AF268" i="1"/>
  <c r="AG123" i="1"/>
  <c r="AE69" i="1"/>
  <c r="AF165" i="1"/>
  <c r="AH126" i="1"/>
  <c r="AF231" i="1"/>
  <c r="AE174" i="1"/>
  <c r="AG178" i="1"/>
  <c r="AE112" i="1"/>
  <c r="AH193" i="1"/>
  <c r="AE185" i="1"/>
  <c r="AE138" i="1"/>
  <c r="BY11" i="1"/>
  <c r="AH213" i="1"/>
  <c r="AH20" i="1"/>
  <c r="AH177" i="1"/>
  <c r="AH109" i="1"/>
  <c r="AH92" i="1"/>
  <c r="AH33" i="1"/>
  <c r="AE71" i="1"/>
  <c r="AF321" i="1"/>
  <c r="BS44" i="1"/>
  <c r="AE177" i="1"/>
  <c r="AG270" i="1"/>
  <c r="AG90" i="1"/>
  <c r="AH194" i="1"/>
  <c r="AE102" i="1"/>
  <c r="AH211" i="1"/>
  <c r="CA8" i="1"/>
  <c r="AF230" i="1"/>
  <c r="AG230" i="1"/>
  <c r="AE242" i="1"/>
  <c r="AE169" i="1"/>
  <c r="AE154" i="1"/>
  <c r="AE274" i="1"/>
  <c r="AE124" i="1"/>
  <c r="AF158" i="1"/>
  <c r="AF242" i="1"/>
  <c r="AF70" i="1"/>
  <c r="AE163" i="1"/>
  <c r="AF239" i="1"/>
  <c r="AG108" i="1"/>
  <c r="BU46" i="1"/>
  <c r="AE343" i="1"/>
  <c r="AF128" i="1"/>
  <c r="AG207" i="1"/>
  <c r="AF201" i="1"/>
  <c r="AE218" i="1"/>
  <c r="AE255" i="1"/>
  <c r="AE328" i="1"/>
  <c r="AH264" i="1"/>
  <c r="AF302" i="1"/>
  <c r="AE128" i="1"/>
  <c r="AE178" i="1"/>
  <c r="AE6" i="1"/>
  <c r="AG281" i="1"/>
  <c r="AE295" i="1"/>
  <c r="AF205" i="1"/>
  <c r="AF6" i="1"/>
  <c r="AE139" i="1"/>
  <c r="AF293" i="1"/>
  <c r="AE132" i="1"/>
  <c r="AF210" i="1"/>
  <c r="AH66" i="1"/>
  <c r="AE194" i="1"/>
  <c r="AG9" i="1"/>
  <c r="BS19" i="1"/>
  <c r="BS32" i="1"/>
  <c r="AE265" i="1"/>
  <c r="AF237" i="1"/>
  <c r="AF286" i="1"/>
  <c r="AE346" i="1"/>
  <c r="AF357" i="1"/>
  <c r="AE247" i="1"/>
  <c r="AF133" i="1"/>
  <c r="AG218" i="1"/>
  <c r="AG308" i="1"/>
  <c r="AG322" i="1"/>
  <c r="AG228" i="1"/>
  <c r="AF363" i="1"/>
  <c r="AF138" i="1"/>
  <c r="AH175" i="1"/>
  <c r="AE18" i="1"/>
  <c r="BS18" i="1"/>
  <c r="AF256" i="1"/>
  <c r="AF123" i="1"/>
  <c r="BR50" i="1"/>
  <c r="AH188" i="1"/>
  <c r="AE304" i="1"/>
  <c r="AE229" i="1"/>
  <c r="AH337" i="1"/>
  <c r="AF121" i="1"/>
  <c r="AF144" i="1"/>
  <c r="AH189" i="1"/>
  <c r="AH130" i="1"/>
  <c r="AF81" i="1"/>
  <c r="AF314" i="1"/>
  <c r="AE66" i="1"/>
  <c r="AF267" i="1"/>
  <c r="AH274" i="1"/>
  <c r="AF304" i="1"/>
  <c r="AE10" i="1"/>
  <c r="AH304" i="1"/>
  <c r="AH361" i="1"/>
  <c r="BU31" i="1"/>
  <c r="AE256" i="1"/>
  <c r="AE29" i="1"/>
  <c r="AF100" i="1"/>
  <c r="BR38" i="1"/>
  <c r="AE267" i="1"/>
  <c r="AE333" i="1"/>
  <c r="AH114" i="1"/>
  <c r="AH186" i="1"/>
  <c r="AH17" i="1"/>
  <c r="AF84" i="1"/>
  <c r="AH14" i="1"/>
  <c r="AF137" i="1"/>
  <c r="AE43" i="1"/>
  <c r="AE269" i="1"/>
  <c r="AF343" i="1"/>
  <c r="AE86" i="1"/>
  <c r="AF170" i="1"/>
  <c r="AF287" i="1"/>
  <c r="AH93" i="1"/>
  <c r="BS29" i="1"/>
  <c r="AF20" i="1"/>
  <c r="AH262" i="1"/>
  <c r="AE270" i="1"/>
  <c r="AE340" i="1"/>
  <c r="AF288" i="1"/>
  <c r="AG59" i="1"/>
  <c r="AH229" i="1"/>
  <c r="AE97" i="1"/>
  <c r="BR43" i="1"/>
  <c r="AG48" i="1"/>
  <c r="AG231" i="1"/>
  <c r="AF182" i="1"/>
  <c r="AG295" i="1"/>
  <c r="BS35" i="1"/>
  <c r="BR30" i="1"/>
  <c r="AE193" i="1"/>
  <c r="AE23" i="1"/>
  <c r="AE188" i="1"/>
  <c r="AF103" i="1"/>
  <c r="AF266" i="1"/>
  <c r="AH285" i="1"/>
  <c r="AF68" i="1"/>
  <c r="AH187" i="1"/>
  <c r="AE361" i="1"/>
  <c r="AG202" i="1"/>
  <c r="AF301" i="1"/>
  <c r="BZ15" i="1"/>
  <c r="AG361" i="1"/>
  <c r="AE157" i="1"/>
  <c r="AF67" i="1"/>
  <c r="AF104" i="1"/>
  <c r="BS36" i="1"/>
  <c r="AF131" i="1"/>
  <c r="AF140" i="1"/>
  <c r="AG210" i="1"/>
  <c r="AF139" i="1"/>
  <c r="AE203" i="1"/>
  <c r="AF311" i="1"/>
  <c r="AF325" i="1"/>
  <c r="AH38" i="1"/>
  <c r="BS37" i="1"/>
  <c r="AF272" i="1"/>
  <c r="AG340" i="1"/>
  <c r="AE321" i="1"/>
  <c r="AG362" i="1"/>
  <c r="AH311" i="1"/>
  <c r="AE289" i="1"/>
  <c r="AE191" i="1"/>
  <c r="AF55" i="1"/>
  <c r="AH74" i="1"/>
  <c r="AE329" i="1"/>
  <c r="AE327" i="1"/>
  <c r="AE37" i="1"/>
  <c r="AG85" i="1"/>
  <c r="AE235" i="1"/>
  <c r="AH202" i="1"/>
  <c r="AH140" i="1"/>
  <c r="AG307" i="1"/>
  <c r="AH216" i="1"/>
  <c r="AF359" i="1"/>
  <c r="AE72" i="1"/>
  <c r="AG95" i="1"/>
  <c r="AH134" i="1"/>
  <c r="AE64" i="1"/>
  <c r="AE281" i="1"/>
  <c r="AF255" i="1"/>
  <c r="AE290" i="1"/>
  <c r="AG278" i="1"/>
  <c r="AE28" i="1"/>
  <c r="AG168" i="1"/>
  <c r="AH9" i="1"/>
  <c r="AG348" i="1"/>
  <c r="AG197" i="1"/>
  <c r="AF36" i="1"/>
  <c r="AE344" i="1"/>
  <c r="AE277" i="1"/>
  <c r="AF219" i="1"/>
  <c r="AF257" i="1"/>
  <c r="AE287" i="1"/>
  <c r="AF331" i="1"/>
  <c r="AG113" i="1"/>
  <c r="AF329" i="1"/>
  <c r="AH254" i="1"/>
  <c r="AF57" i="1"/>
  <c r="AE228" i="1"/>
  <c r="AG317" i="1"/>
  <c r="AH55" i="1"/>
  <c r="AF196" i="1"/>
  <c r="AF29" i="1"/>
  <c r="AF188" i="1"/>
  <c r="AE338" i="1"/>
  <c r="AE121" i="1"/>
  <c r="AF19" i="1"/>
  <c r="AE339" i="1"/>
  <c r="BR53" i="1"/>
  <c r="BR44" i="1"/>
  <c r="AE309" i="1"/>
  <c r="AH314" i="1"/>
  <c r="AH81" i="1"/>
  <c r="AE230" i="1"/>
  <c r="AF174" i="1"/>
  <c r="BT34" i="1"/>
  <c r="AE337" i="1"/>
  <c r="AH288" i="1"/>
  <c r="AE76" i="1"/>
  <c r="AE107" i="1"/>
  <c r="AE164" i="1"/>
  <c r="AG352" i="1"/>
  <c r="AH15" i="1"/>
  <c r="AF25" i="1"/>
  <c r="AF59" i="1"/>
  <c r="AG229" i="1"/>
  <c r="AH112" i="1"/>
  <c r="AE94" i="1"/>
  <c r="AH86" i="1"/>
  <c r="AE173" i="1"/>
  <c r="AG133" i="1"/>
  <c r="AE199" i="1"/>
  <c r="AF112" i="1"/>
  <c r="AG45" i="1"/>
  <c r="AE189" i="1"/>
  <c r="AF356" i="1"/>
  <c r="AH56" i="1"/>
  <c r="AH356" i="1"/>
  <c r="AF12" i="1"/>
  <c r="AG152" i="1"/>
  <c r="AF306" i="1"/>
  <c r="AF229" i="1"/>
  <c r="AE92" i="1"/>
  <c r="AH318" i="1"/>
  <c r="AE144" i="1"/>
  <c r="AH8" i="1"/>
  <c r="AG341" i="1"/>
  <c r="AE24" i="1"/>
  <c r="AF310" i="1"/>
  <c r="AH235" i="1"/>
  <c r="BT20" i="1"/>
  <c r="AE291" i="1"/>
  <c r="AE209" i="1"/>
  <c r="AE103" i="1"/>
  <c r="AH290" i="1"/>
  <c r="BY10" i="1"/>
  <c r="AH243" i="1"/>
  <c r="AF159" i="1"/>
  <c r="AH317" i="1"/>
  <c r="BY8" i="1"/>
  <c r="BS22" i="1"/>
  <c r="AG265" i="1"/>
  <c r="AE32" i="1"/>
  <c r="AH210" i="1"/>
  <c r="AH76" i="1"/>
  <c r="BS43" i="1"/>
  <c r="CB10" i="1"/>
  <c r="BU43" i="1"/>
  <c r="AF347" i="1"/>
  <c r="BT35" i="1"/>
  <c r="AG23" i="1"/>
  <c r="AG16" i="1"/>
  <c r="AF283" i="1"/>
  <c r="AF212" i="1"/>
  <c r="AE82" i="1"/>
  <c r="AG50" i="1"/>
  <c r="AG17" i="1"/>
  <c r="AE200" i="1"/>
  <c r="AF352" i="1"/>
  <c r="AH75" i="1"/>
  <c r="AH249" i="1"/>
  <c r="AG117" i="1"/>
  <c r="AG188" i="1"/>
  <c r="AF241" i="1"/>
  <c r="BS47" i="1"/>
  <c r="AF21" i="1"/>
  <c r="BS25" i="1"/>
  <c r="AF362" i="1"/>
  <c r="AF309" i="1"/>
  <c r="AF345" i="1"/>
  <c r="AH247" i="1"/>
  <c r="AE206" i="1"/>
  <c r="AE111" i="1"/>
  <c r="AE210" i="1"/>
  <c r="BS6" i="1"/>
  <c r="AE51" i="1"/>
  <c r="AF336" i="1"/>
  <c r="AG262" i="1"/>
  <c r="AH139" i="1"/>
  <c r="BS40" i="1"/>
  <c r="AE19" i="1"/>
  <c r="AE223" i="1"/>
  <c r="BS24" i="1"/>
  <c r="AE335" i="1"/>
  <c r="AG63" i="1"/>
  <c r="AG173" i="1"/>
  <c r="AF30" i="1"/>
  <c r="AH60" i="1"/>
  <c r="BY19" i="1"/>
  <c r="AH113" i="1"/>
  <c r="AF79" i="1"/>
  <c r="BT21" i="1"/>
  <c r="BS31" i="1"/>
  <c r="AH91" i="1"/>
  <c r="AF284" i="1"/>
  <c r="AF168" i="1"/>
  <c r="AE26" i="1"/>
  <c r="AE91" i="1"/>
  <c r="AF46" i="1"/>
  <c r="AF348" i="1"/>
  <c r="BR5" i="1"/>
  <c r="AF65" i="1"/>
  <c r="AF92" i="1"/>
  <c r="AG222" i="1"/>
  <c r="AF160" i="1"/>
  <c r="AH149" i="1"/>
  <c r="AE162" i="1"/>
  <c r="AG327" i="1"/>
  <c r="AG353" i="1"/>
  <c r="AE273" i="1"/>
  <c r="AG77" i="1"/>
  <c r="BT38" i="1"/>
  <c r="AH29" i="1"/>
  <c r="AH239" i="1"/>
  <c r="AG179" i="1"/>
  <c r="AE120" i="1"/>
  <c r="AG118" i="1"/>
  <c r="AH96" i="1"/>
  <c r="AG148" i="1"/>
  <c r="AG241" i="1"/>
  <c r="AE190" i="1"/>
  <c r="BZ4" i="1"/>
  <c r="AH309" i="1"/>
  <c r="AF220" i="1"/>
  <c r="AF43" i="1"/>
  <c r="AE49" i="1"/>
  <c r="AE44" i="1"/>
  <c r="AH273" i="1"/>
  <c r="AE123" i="1"/>
  <c r="AF4" i="1"/>
  <c r="AG208" i="1"/>
  <c r="AG111" i="1"/>
  <c r="AG253" i="1"/>
  <c r="AE81" i="1"/>
  <c r="AG57" i="1"/>
  <c r="BR27" i="1"/>
  <c r="AF349" i="1"/>
  <c r="AH252" i="1"/>
  <c r="AE48" i="1"/>
  <c r="AG132" i="1"/>
  <c r="AE332" i="1"/>
  <c r="BU45" i="1"/>
  <c r="AF316" i="1"/>
  <c r="AG93" i="1"/>
  <c r="AH46" i="1"/>
  <c r="AG321" i="1"/>
  <c r="AE352" i="1"/>
  <c r="AF157" i="1"/>
  <c r="AF313" i="1"/>
  <c r="AE15" i="1"/>
  <c r="AE146" i="1"/>
  <c r="BR12" i="1"/>
  <c r="AH215" i="1"/>
  <c r="AH68" i="1"/>
  <c r="BS16" i="1"/>
  <c r="AH166" i="1"/>
  <c r="AF58" i="1"/>
  <c r="BZ16" i="1"/>
  <c r="BS51" i="1"/>
  <c r="AG75" i="1"/>
  <c r="AF10" i="1"/>
  <c r="AF274" i="1"/>
  <c r="AE342" i="1"/>
  <c r="AF246" i="1"/>
  <c r="AH148" i="1"/>
  <c r="AG192" i="1"/>
  <c r="AH283" i="1"/>
  <c r="AE254" i="1"/>
  <c r="AE301" i="1"/>
  <c r="BY4" i="1"/>
  <c r="AG351" i="1"/>
  <c r="AH182" i="1"/>
  <c r="AH233" i="1"/>
  <c r="AF260" i="1"/>
  <c r="AF164" i="1"/>
  <c r="AH242" i="1"/>
  <c r="BR28" i="1"/>
  <c r="AF317" i="1"/>
  <c r="AF33" i="1"/>
  <c r="AH341" i="1"/>
  <c r="AE306" i="1"/>
  <c r="AF41" i="1"/>
  <c r="AE136" i="1"/>
  <c r="AH144" i="1"/>
  <c r="AH294" i="1"/>
  <c r="AG65" i="1"/>
  <c r="AF216" i="1"/>
  <c r="AF143" i="1"/>
  <c r="AF27" i="1"/>
  <c r="AF277" i="1"/>
  <c r="AF294" i="1"/>
  <c r="AG88" i="1"/>
  <c r="AG24" i="1"/>
  <c r="AH116" i="1"/>
  <c r="AH267" i="1"/>
  <c r="AG26" i="1"/>
  <c r="AH234" i="1"/>
  <c r="AG248" i="1"/>
  <c r="AF327" i="1"/>
  <c r="AF234" i="1"/>
  <c r="AE217" i="1"/>
  <c r="AE298" i="1"/>
  <c r="BS5" i="1"/>
  <c r="AH303" i="1"/>
  <c r="AG80" i="1"/>
  <c r="BS49" i="1"/>
  <c r="AH206" i="1"/>
  <c r="AF102" i="1"/>
  <c r="AF292" i="1"/>
  <c r="BU40" i="1"/>
  <c r="AG160" i="1"/>
  <c r="AE95" i="1"/>
  <c r="AH269" i="1"/>
  <c r="AF252" i="1"/>
  <c r="AG127" i="1"/>
  <c r="AH225" i="1"/>
  <c r="AE297" i="1"/>
  <c r="AG333" i="1"/>
  <c r="AF9" i="1"/>
  <c r="AG203" i="1"/>
  <c r="AG346" i="1"/>
  <c r="AE275" i="1"/>
  <c r="AG185" i="1"/>
  <c r="AE308" i="1"/>
  <c r="AF223" i="1"/>
  <c r="AF96" i="1"/>
  <c r="AF238" i="1"/>
  <c r="AG183" i="1"/>
  <c r="AE257" i="1"/>
  <c r="BR19" i="1"/>
  <c r="AH332" i="1"/>
  <c r="AF213" i="1"/>
  <c r="AF147" i="1"/>
  <c r="BR15" i="1"/>
  <c r="BR45" i="1"/>
  <c r="BR22" i="1"/>
  <c r="AE150" i="1"/>
  <c r="BZ20" i="1"/>
  <c r="AE171" i="1"/>
  <c r="AF276" i="1"/>
  <c r="AF64" i="1"/>
  <c r="BS26" i="1"/>
  <c r="AE305" i="1"/>
  <c r="AG252" i="1"/>
  <c r="AF355" i="1"/>
  <c r="BS53" i="1"/>
  <c r="AF296" i="1"/>
  <c r="AF44" i="1"/>
  <c r="AF285" i="1"/>
  <c r="AE294" i="1"/>
  <c r="AG345" i="1"/>
  <c r="AG61" i="1"/>
  <c r="AE113" i="1"/>
  <c r="AH64" i="1"/>
  <c r="AG155" i="1"/>
  <c r="AH310" i="1"/>
  <c r="AG287" i="1"/>
  <c r="BS39" i="1"/>
  <c r="AE116" i="1"/>
  <c r="AH142" i="1"/>
  <c r="AH205" i="1"/>
  <c r="AF163" i="1"/>
  <c r="AH338" i="1"/>
  <c r="AF250" i="1"/>
  <c r="AH82" i="1"/>
  <c r="AG297" i="1"/>
  <c r="AF222" i="1"/>
  <c r="AF227" i="1"/>
  <c r="AE222" i="1"/>
  <c r="AH198" i="1"/>
  <c r="AF63" i="1"/>
  <c r="AH279" i="1"/>
  <c r="AG172" i="1"/>
  <c r="AF208" i="1"/>
  <c r="AF142" i="1"/>
  <c r="AG215" i="1"/>
  <c r="BY6" i="1"/>
  <c r="BR52" i="1"/>
  <c r="AH363" i="1"/>
  <c r="AH325" i="1"/>
  <c r="AH107" i="1"/>
  <c r="AG221" i="1"/>
  <c r="AH237" i="1"/>
  <c r="AE25" i="1"/>
  <c r="AE158" i="1"/>
  <c r="AH78" i="1"/>
  <c r="AF37" i="1"/>
  <c r="BU47" i="1"/>
  <c r="AF320" i="1"/>
  <c r="AH99" i="1"/>
  <c r="AE280" i="1"/>
  <c r="AG165" i="1"/>
  <c r="AE192" i="1"/>
  <c r="AH172" i="1"/>
  <c r="AH321" i="1"/>
  <c r="AF305" i="1"/>
  <c r="AG19" i="1"/>
  <c r="AE226" i="1"/>
  <c r="AG166" i="1"/>
  <c r="AE151" i="1"/>
  <c r="AG37" i="1"/>
  <c r="AG146" i="1"/>
  <c r="AE205" i="1"/>
  <c r="AF278" i="1"/>
  <c r="BT14" i="1"/>
  <c r="BY15" i="1"/>
  <c r="BS27" i="1"/>
  <c r="AE260" i="1"/>
  <c r="AE39" i="1"/>
  <c r="AF83" i="1"/>
  <c r="BR39" i="1"/>
  <c r="AG174" i="1"/>
  <c r="AH162" i="1"/>
  <c r="AG294" i="1"/>
  <c r="AH44" i="1"/>
  <c r="BT18" i="1"/>
  <c r="AF73" i="1"/>
  <c r="AH289" i="1"/>
  <c r="AH71" i="1"/>
  <c r="AG354" i="1"/>
  <c r="AG105" i="1"/>
  <c r="AG238" i="1"/>
  <c r="AG25" i="1"/>
  <c r="AG101" i="1"/>
  <c r="AH131" i="1"/>
  <c r="BU25" i="1"/>
  <c r="AH352" i="1"/>
  <c r="AH181" i="1"/>
  <c r="AH101" i="1"/>
  <c r="AH217" i="1"/>
  <c r="AH324" i="1"/>
  <c r="BS34" i="1"/>
  <c r="AG269" i="1"/>
  <c r="AG257" i="1"/>
  <c r="AE359" i="1"/>
  <c r="AH266" i="1"/>
  <c r="AG145" i="1"/>
  <c r="AH183" i="1"/>
  <c r="AG64" i="1"/>
  <c r="AG302" i="1"/>
  <c r="BS12" i="1"/>
  <c r="AG44" i="1"/>
  <c r="AE67" i="1"/>
  <c r="AH47" i="1"/>
  <c r="AE118" i="1"/>
  <c r="AF116" i="1"/>
  <c r="AG84" i="1"/>
  <c r="AH73" i="1"/>
  <c r="AH308" i="1"/>
  <c r="AF350" i="1"/>
  <c r="AE133" i="1"/>
  <c r="AE204" i="1"/>
  <c r="AH286" i="1"/>
  <c r="AG315" i="1"/>
  <c r="BU11" i="1"/>
  <c r="AF98" i="1"/>
  <c r="AE9" i="1"/>
  <c r="AG330" i="1"/>
  <c r="AH19" i="1"/>
  <c r="BU10" i="1"/>
  <c r="AG129" i="1"/>
  <c r="AH176" i="1"/>
  <c r="AG195" i="1"/>
  <c r="BS33" i="1"/>
  <c r="AF176" i="1"/>
  <c r="BY5" i="1"/>
  <c r="AH146" i="1"/>
  <c r="AG163" i="1"/>
  <c r="AG277" i="1"/>
  <c r="BS8" i="1"/>
  <c r="AE334" i="1"/>
  <c r="AH220" i="1"/>
  <c r="AE326" i="1"/>
  <c r="AH115" i="1"/>
  <c r="AE68" i="1"/>
  <c r="AH212" i="1"/>
  <c r="AH102" i="1"/>
  <c r="AE355" i="1"/>
  <c r="AH313" i="1"/>
  <c r="AF261" i="1"/>
  <c r="AE90" i="1"/>
  <c r="AH334" i="1"/>
  <c r="AH22" i="1"/>
  <c r="BZ5" i="1"/>
  <c r="AE237" i="1"/>
  <c r="AE50" i="1"/>
  <c r="AF62" i="1"/>
  <c r="BU34" i="1"/>
  <c r="AE363" i="1"/>
  <c r="AE167" i="1"/>
  <c r="AH224" i="1"/>
  <c r="AG112" i="1"/>
  <c r="AF45" i="1"/>
  <c r="AG280" i="1"/>
  <c r="AG94" i="1"/>
  <c r="BZ18" i="1"/>
  <c r="AH302" i="1"/>
  <c r="AG11" i="1"/>
  <c r="AF245" i="1"/>
  <c r="AG268" i="1"/>
  <c r="AH207" i="1"/>
  <c r="AF74" i="1"/>
  <c r="AH250" i="1"/>
  <c r="AG124" i="1"/>
  <c r="AF5" i="1"/>
  <c r="AE215" i="1"/>
  <c r="AG264" i="1"/>
  <c r="AE325" i="1"/>
  <c r="AH48" i="1"/>
  <c r="CB11" i="1"/>
  <c r="AE266" i="1"/>
  <c r="AF335" i="1"/>
  <c r="AE13" i="1"/>
  <c r="AF183" i="1"/>
  <c r="AG286" i="1"/>
  <c r="BZ17" i="1"/>
  <c r="AE195" i="1"/>
  <c r="AF90" i="1"/>
  <c r="AH133" i="1"/>
  <c r="AG212" i="1"/>
  <c r="AG36" i="1"/>
  <c r="AE148" i="1"/>
  <c r="AF282" i="1"/>
  <c r="AF135" i="1"/>
  <c r="BS45" i="1"/>
  <c r="BT50" i="1"/>
  <c r="AG82" i="1"/>
  <c r="AF66" i="1"/>
  <c r="AH161" i="1"/>
  <c r="AG28" i="1"/>
  <c r="AH222" i="1"/>
  <c r="AF211" i="1"/>
  <c r="AH37" i="1"/>
  <c r="AF249" i="1"/>
  <c r="AF341" i="1"/>
  <c r="AE8" i="1"/>
  <c r="BR9" i="1"/>
  <c r="AG97" i="1"/>
  <c r="AH339" i="1"/>
  <c r="AH100" i="1"/>
  <c r="AF361" i="1"/>
  <c r="AH35" i="1"/>
  <c r="AE288" i="1"/>
  <c r="CA4" i="1"/>
  <c r="BR23" i="1"/>
  <c r="CA18" i="1"/>
  <c r="AH43" i="1"/>
  <c r="AG204" i="1"/>
  <c r="AE248" i="1"/>
  <c r="AF307" i="1"/>
  <c r="AG343" i="1"/>
  <c r="BS20" i="1"/>
  <c r="BZ10" i="1"/>
  <c r="AH257" i="1"/>
  <c r="AH13" i="1"/>
  <c r="AE160" i="1"/>
  <c r="AE161" i="1"/>
  <c r="AE65" i="1"/>
  <c r="AE175" i="1"/>
  <c r="AH118" i="1"/>
  <c r="BU12" i="1"/>
  <c r="AF152" i="1"/>
  <c r="AH136" i="1"/>
  <c r="AG91" i="1"/>
  <c r="AE208" i="1"/>
  <c r="AG267" i="1"/>
  <c r="AH192" i="1"/>
  <c r="AG40" i="1"/>
  <c r="AF166" i="1"/>
  <c r="AE331" i="1"/>
  <c r="AG29" i="1"/>
  <c r="AG14" i="1"/>
  <c r="AG201" i="1"/>
  <c r="AH355" i="1"/>
  <c r="AE5" i="1"/>
  <c r="AH164" i="1"/>
  <c r="AG87" i="1"/>
  <c r="AF322" i="1"/>
  <c r="AE244" i="1"/>
  <c r="AG249" i="1"/>
  <c r="AE47" i="1"/>
  <c r="AH98" i="1"/>
  <c r="AH296" i="1"/>
  <c r="AH10" i="1"/>
  <c r="AE349" i="1"/>
  <c r="AF22" i="1"/>
  <c r="AF106" i="1"/>
  <c r="AG334" i="1"/>
  <c r="AG350" i="1"/>
  <c r="AG136" i="1"/>
  <c r="AF226" i="1"/>
  <c r="AE74" i="1"/>
  <c r="AG319" i="1"/>
  <c r="AG116" i="1"/>
  <c r="AH251" i="1"/>
  <c r="BS11" i="1"/>
  <c r="BR24" i="1"/>
  <c r="BT15" i="1"/>
  <c r="BR34" i="1"/>
  <c r="AH204" i="1"/>
  <c r="AE214" i="1"/>
  <c r="AF93" i="1"/>
  <c r="AF11" i="1"/>
  <c r="AF52" i="1"/>
  <c r="AF125" i="1"/>
  <c r="AG233" i="1"/>
  <c r="BS9" i="1"/>
  <c r="AH5" i="1"/>
  <c r="AH153" i="1"/>
  <c r="AH72" i="1"/>
  <c r="AE38" i="1"/>
  <c r="AH31" i="1"/>
  <c r="BR18" i="1"/>
  <c r="AG342" i="1"/>
  <c r="AF162" i="1"/>
  <c r="AG190" i="1"/>
  <c r="AE307" i="1"/>
  <c r="AF185" i="1"/>
  <c r="AF54" i="1"/>
  <c r="AE79" i="1"/>
  <c r="AF198" i="1"/>
  <c r="BY9" i="1"/>
  <c r="BR25" i="1"/>
  <c r="AE34" i="1"/>
  <c r="AF319" i="1"/>
  <c r="AE240" i="1"/>
  <c r="AH195" i="1"/>
  <c r="BS21" i="1"/>
  <c r="AF122" i="1"/>
  <c r="AH185" i="1"/>
  <c r="AE159" i="1"/>
  <c r="AG292" i="1"/>
  <c r="AG191" i="1"/>
  <c r="AG30" i="1"/>
  <c r="AE98" i="1"/>
  <c r="AE201" i="1"/>
  <c r="BR11" i="1"/>
  <c r="AE286" i="1"/>
  <c r="AG358" i="1"/>
  <c r="BY20" i="1"/>
  <c r="BS28" i="1"/>
  <c r="BS52" i="1"/>
  <c r="AF99" i="1"/>
  <c r="AH119" i="1"/>
  <c r="AG134" i="1"/>
  <c r="AE181" i="1"/>
  <c r="AE180" i="1"/>
  <c r="AG282" i="1"/>
  <c r="AG325" i="1"/>
  <c r="AH255" i="1"/>
  <c r="AH83" i="1"/>
  <c r="AH265" i="1"/>
  <c r="AG347" i="1"/>
  <c r="AG177" i="1"/>
  <c r="AG245" i="1"/>
  <c r="AH97" i="1"/>
  <c r="AF281" i="1"/>
  <c r="AH316" i="1"/>
  <c r="BU33" i="1"/>
  <c r="AG71" i="1"/>
  <c r="AF42" i="1"/>
  <c r="AG169" i="1"/>
  <c r="AG56" i="1"/>
  <c r="AE303" i="1"/>
  <c r="AF228" i="1"/>
  <c r="AE52" i="1"/>
  <c r="AH7" i="1"/>
  <c r="AG76" i="1"/>
  <c r="BS48" i="1"/>
  <c r="AG260" i="1"/>
  <c r="AF180" i="1"/>
  <c r="AH77" i="1"/>
  <c r="BR10" i="1"/>
  <c r="CA6" i="1"/>
  <c r="AG102" i="1"/>
  <c r="AE322" i="1"/>
  <c r="AG193" i="1"/>
  <c r="AH62" i="1"/>
  <c r="AH333" i="1"/>
  <c r="AG223" i="1"/>
  <c r="AE362" i="1"/>
  <c r="AG329" i="1"/>
  <c r="AG158" i="1"/>
  <c r="AH138" i="1"/>
  <c r="AG320" i="1"/>
  <c r="AG184" i="1"/>
  <c r="AG182" i="1"/>
  <c r="AF215" i="1"/>
  <c r="AH174" i="1"/>
  <c r="AF117" i="1"/>
  <c r="AG151" i="1"/>
  <c r="AF28" i="1"/>
  <c r="AE45" i="1"/>
  <c r="AH335" i="1"/>
  <c r="BS38" i="1"/>
  <c r="AG318" i="1"/>
  <c r="AH244" i="1"/>
  <c r="AG326" i="1"/>
  <c r="AF291" i="1"/>
  <c r="AF40" i="1"/>
  <c r="BZ7" i="1"/>
  <c r="AE101" i="1"/>
  <c r="AF334" i="1"/>
  <c r="AG296" i="1"/>
  <c r="AG49" i="1"/>
  <c r="AG235" i="1"/>
  <c r="AG43" i="1"/>
  <c r="AG98" i="1"/>
  <c r="AG72" i="1"/>
  <c r="BU26" i="1"/>
  <c r="AF34" i="1"/>
  <c r="BT23" i="1"/>
  <c r="CA11" i="1"/>
  <c r="BU13" i="1"/>
  <c r="BU39" i="1"/>
  <c r="BT6" i="1"/>
  <c r="AH28" i="1"/>
  <c r="AG349" i="1"/>
  <c r="BT48" i="1"/>
  <c r="AE58" i="1"/>
  <c r="AH110" i="1"/>
  <c r="AE225" i="1"/>
  <c r="AG261" i="1"/>
  <c r="BT27" i="1"/>
  <c r="AG303" i="1"/>
  <c r="AH45" i="1"/>
  <c r="AF339" i="1"/>
  <c r="AF270" i="1"/>
  <c r="AH18" i="1"/>
  <c r="BZ19" i="1"/>
  <c r="AG5" i="1"/>
  <c r="AF169" i="1"/>
  <c r="BT11" i="1"/>
  <c r="AE354" i="1"/>
  <c r="AE253" i="1"/>
  <c r="BY16" i="1"/>
  <c r="AH34" i="1"/>
  <c r="AH297" i="1"/>
  <c r="AG175" i="1"/>
  <c r="AG96" i="1"/>
  <c r="AF218" i="1"/>
  <c r="AG161" i="1"/>
  <c r="AG170" i="1"/>
  <c r="AG157" i="1"/>
  <c r="BR13" i="1"/>
  <c r="AE252" i="1"/>
  <c r="AH32" i="1"/>
  <c r="AH282" i="1"/>
  <c r="AH129" i="1"/>
  <c r="AH347" i="1"/>
  <c r="AE276" i="1"/>
  <c r="AH24" i="1"/>
  <c r="AG69" i="1"/>
  <c r="AE216" i="1"/>
  <c r="AE350" i="1"/>
  <c r="AF7" i="1"/>
  <c r="BZ13" i="1"/>
  <c r="AG27" i="1"/>
  <c r="AF206" i="1"/>
  <c r="BT36" i="1"/>
  <c r="AG99" i="1"/>
  <c r="AH168" i="1"/>
  <c r="AE30" i="1"/>
  <c r="AG38" i="1"/>
  <c r="BT46" i="1"/>
  <c r="AH359" i="1"/>
  <c r="BT13" i="1"/>
  <c r="AE317" i="1"/>
  <c r="AH117" i="1"/>
  <c r="AH23" i="1"/>
  <c r="AG288" i="1"/>
  <c r="AE155" i="1"/>
  <c r="AH123" i="1"/>
  <c r="AH11" i="1"/>
  <c r="AG4" i="1"/>
  <c r="AF24" i="1"/>
  <c r="AH52" i="1"/>
  <c r="AG216" i="1"/>
  <c r="AF141" i="1"/>
  <c r="AF358" i="1"/>
  <c r="AE109" i="1"/>
  <c r="AH84" i="1"/>
  <c r="AG266" i="1"/>
  <c r="AE41" i="1"/>
  <c r="AF269" i="1"/>
  <c r="AG279" i="1"/>
  <c r="BZ8" i="1"/>
  <c r="AG54" i="1"/>
  <c r="AF18" i="1"/>
  <c r="AE353" i="1"/>
  <c r="BS42" i="1"/>
  <c r="AH69" i="1"/>
  <c r="AG220" i="1"/>
  <c r="AG41" i="1"/>
  <c r="BR26" i="1"/>
  <c r="AE330" i="1"/>
  <c r="AG313" i="1"/>
  <c r="AG259" i="1"/>
  <c r="AH104" i="1"/>
  <c r="AG39" i="1"/>
  <c r="AF110" i="1"/>
  <c r="AE212" i="1"/>
  <c r="BS17" i="1"/>
  <c r="AF126" i="1"/>
  <c r="AF280" i="1"/>
  <c r="AF324" i="1"/>
  <c r="AG309" i="1"/>
  <c r="AE176" i="1"/>
  <c r="AG31" i="1"/>
  <c r="BU48" i="1"/>
  <c r="BU15" i="1"/>
  <c r="AH277" i="1"/>
  <c r="AH128" i="1"/>
  <c r="AH350" i="1"/>
  <c r="AH135" i="1"/>
  <c r="AG338" i="1"/>
  <c r="AE279" i="1"/>
  <c r="AH151" i="1"/>
  <c r="AE46" i="1"/>
  <c r="AH137" i="1"/>
  <c r="AG337" i="1"/>
  <c r="AE272" i="1"/>
  <c r="AG276" i="1"/>
  <c r="BU23" i="1"/>
  <c r="BU29" i="1"/>
  <c r="BT37" i="1"/>
  <c r="AF214" i="1"/>
  <c r="AH25" i="1"/>
  <c r="AG55" i="1"/>
  <c r="BU17" i="1"/>
  <c r="AG139" i="1"/>
  <c r="AG200" i="1"/>
  <c r="BT28" i="1"/>
  <c r="AF233" i="1"/>
  <c r="AG246" i="1"/>
  <c r="AG237" i="1"/>
  <c r="AG159" i="1"/>
  <c r="AF346" i="1"/>
  <c r="AE324" i="1"/>
  <c r="AG52" i="1"/>
  <c r="AG224" i="1"/>
  <c r="AE358" i="1"/>
  <c r="AE85" i="1"/>
  <c r="AG130" i="1"/>
  <c r="AF60" i="1"/>
  <c r="AH298" i="1"/>
  <c r="AH358" i="1"/>
  <c r="AH292" i="1"/>
  <c r="AF107" i="1"/>
  <c r="AH263" i="1"/>
  <c r="AH154" i="1"/>
  <c r="AH121" i="1"/>
  <c r="AE182" i="1"/>
  <c r="AG311" i="1"/>
  <c r="AG274" i="1"/>
  <c r="AE20" i="1"/>
  <c r="BU32" i="1"/>
  <c r="AH327" i="1"/>
  <c r="AF225" i="1"/>
  <c r="AE310" i="1"/>
  <c r="BS23" i="1"/>
  <c r="AE268" i="1"/>
  <c r="AG240" i="1"/>
  <c r="BZ14" i="1"/>
  <c r="AE147" i="1"/>
  <c r="AH106" i="1"/>
  <c r="AG67" i="1"/>
  <c r="AG119" i="1"/>
  <c r="AH349" i="1"/>
  <c r="AH122" i="1"/>
  <c r="BS15" i="1"/>
  <c r="BS7" i="1"/>
  <c r="AE129" i="1"/>
  <c r="BY7" i="1"/>
  <c r="AH200" i="1"/>
  <c r="BT26" i="1"/>
  <c r="AH270" i="1"/>
  <c r="AF190" i="1"/>
  <c r="AH190" i="1"/>
  <c r="AH26" i="1"/>
  <c r="AG8" i="1"/>
  <c r="AH159" i="1"/>
  <c r="AH328" i="1"/>
  <c r="AH280" i="1"/>
  <c r="AG180" i="1"/>
  <c r="CB17" i="1"/>
  <c r="BR17" i="1"/>
  <c r="AG336" i="1"/>
  <c r="AG176" i="1"/>
  <c r="AH59" i="1"/>
  <c r="AG360" i="1"/>
  <c r="AG143" i="1"/>
  <c r="AG339" i="1"/>
  <c r="AF203" i="1"/>
  <c r="AH124" i="1"/>
  <c r="AH227" i="1"/>
  <c r="AF262" i="1"/>
  <c r="BY13" i="1"/>
  <c r="BT51" i="1"/>
  <c r="AF32" i="1"/>
  <c r="AG263" i="1"/>
  <c r="AH169" i="1"/>
  <c r="BY17" i="1"/>
  <c r="CA7" i="1"/>
  <c r="AH36" i="1"/>
  <c r="AH180" i="1"/>
  <c r="CB14" i="1"/>
  <c r="AG171" i="1"/>
  <c r="AG258" i="1"/>
  <c r="AH299" i="1"/>
  <c r="AE11" i="1"/>
  <c r="AE152" i="1"/>
  <c r="AH155" i="1"/>
  <c r="AG114" i="1"/>
  <c r="AG189" i="1"/>
  <c r="AG46" i="1"/>
  <c r="AG68" i="1"/>
  <c r="BU28" i="1"/>
  <c r="AH236" i="1"/>
  <c r="BT41" i="1"/>
  <c r="AG144" i="1"/>
  <c r="CA10" i="1"/>
  <c r="AG199" i="1"/>
  <c r="AH156" i="1"/>
  <c r="AH127" i="1"/>
  <c r="CB16" i="1"/>
  <c r="AH12" i="1"/>
  <c r="AG6" i="1"/>
  <c r="CA9" i="1"/>
  <c r="AG194" i="1"/>
  <c r="AH253" i="1"/>
  <c r="AH223" i="1"/>
  <c r="AG164" i="1"/>
  <c r="AH88" i="1"/>
  <c r="AH345" i="1"/>
  <c r="CA16" i="1"/>
  <c r="AH171" i="1"/>
  <c r="AH256" i="1"/>
  <c r="AH271" i="1"/>
  <c r="AF15" i="1"/>
  <c r="AH95" i="1"/>
  <c r="AG226" i="1"/>
  <c r="AH291" i="1"/>
  <c r="AH301" i="1"/>
  <c r="AE356" i="1"/>
  <c r="AH351" i="1"/>
  <c r="AG211" i="1"/>
  <c r="AF186" i="1"/>
  <c r="AG283" i="1"/>
  <c r="AH158" i="1"/>
  <c r="AF199" i="1"/>
  <c r="BS10" i="1"/>
  <c r="BT42" i="1"/>
  <c r="AH16" i="1"/>
  <c r="BU20" i="1"/>
  <c r="AG78" i="1"/>
  <c r="AG344" i="1"/>
  <c r="AF167" i="1"/>
  <c r="AG104" i="1"/>
  <c r="AG301" i="1"/>
  <c r="BU8" i="1"/>
  <c r="AH330" i="1"/>
  <c r="AG162" i="1"/>
  <c r="CA19" i="1"/>
  <c r="AH342" i="1"/>
  <c r="AG300" i="1"/>
  <c r="AH284" i="1"/>
  <c r="AG272" i="1"/>
  <c r="AG328" i="1"/>
  <c r="AG285" i="1"/>
  <c r="AH329" i="1"/>
  <c r="AF248" i="1"/>
  <c r="AG15" i="1"/>
  <c r="AG236" i="1"/>
  <c r="AE21" i="1"/>
  <c r="AG149" i="1"/>
  <c r="AE149" i="1"/>
  <c r="BU14" i="1"/>
  <c r="BT49" i="1"/>
  <c r="BT53" i="1"/>
  <c r="AH132" i="1"/>
  <c r="AH245" i="1"/>
  <c r="AG331" i="1"/>
  <c r="AG293" i="1"/>
  <c r="AG81" i="1"/>
  <c r="BT24" i="1"/>
  <c r="AH348" i="1"/>
  <c r="CB6" i="1"/>
  <c r="BU53" i="1"/>
  <c r="CA15" i="1"/>
  <c r="AE126" i="1"/>
  <c r="BU42" i="1"/>
  <c r="BU16" i="1"/>
  <c r="AG275" i="1"/>
  <c r="AF295" i="1"/>
  <c r="AG121" i="1"/>
  <c r="BU24" i="1"/>
  <c r="AE93" i="1"/>
  <c r="BT33" i="1"/>
  <c r="AG103" i="1"/>
  <c r="AH201" i="1"/>
  <c r="AH315" i="1"/>
  <c r="AH63" i="1"/>
  <c r="AH248" i="1"/>
  <c r="AF217" i="1"/>
  <c r="BU35" i="1"/>
  <c r="BU19" i="1"/>
  <c r="AH120" i="1"/>
  <c r="BY18" i="1"/>
  <c r="AH90" i="1"/>
  <c r="AG214" i="1"/>
  <c r="AG89" i="1"/>
  <c r="AF132" i="1"/>
  <c r="BU21" i="1"/>
  <c r="AH57" i="1"/>
  <c r="AH287" i="1"/>
  <c r="AH295" i="1"/>
  <c r="BT40" i="1"/>
  <c r="AH94" i="1"/>
  <c r="CB18" i="1"/>
  <c r="AF53" i="1"/>
  <c r="AG363" i="1"/>
  <c r="AG217" i="1"/>
  <c r="BT39" i="1"/>
  <c r="AH143" i="1"/>
  <c r="AG242" i="1"/>
  <c r="AH226" i="1"/>
  <c r="BS4" i="1"/>
  <c r="AH163" i="1"/>
  <c r="AG34" i="1"/>
  <c r="AH197" i="1"/>
  <c r="AH85" i="1"/>
  <c r="AG141" i="1"/>
  <c r="AG120" i="1"/>
  <c r="AH300" i="1"/>
  <c r="CB7" i="1"/>
  <c r="AG289" i="1"/>
  <c r="BR14" i="1"/>
  <c r="AG187" i="1"/>
  <c r="AH293" i="1"/>
  <c r="AH319" i="1"/>
  <c r="AH281" i="1"/>
  <c r="BT19" i="1"/>
  <c r="AG110" i="1"/>
  <c r="AH108" i="1"/>
  <c r="AG256" i="1"/>
  <c r="AE319" i="1"/>
  <c r="BU51" i="1"/>
  <c r="AH323" i="1"/>
  <c r="AH39" i="1"/>
  <c r="AG150" i="1"/>
  <c r="BS30" i="1"/>
  <c r="AH6" i="1"/>
  <c r="AE61" i="1"/>
  <c r="AH184" i="1"/>
  <c r="AH141" i="1"/>
  <c r="BT29" i="1"/>
  <c r="AG284" i="1"/>
  <c r="AH58" i="1"/>
  <c r="AH214" i="1"/>
  <c r="BT32" i="1"/>
  <c r="AH173" i="1"/>
  <c r="AE300" i="1"/>
  <c r="AF31" i="1"/>
  <c r="BT4" i="1"/>
  <c r="AG186" i="1"/>
  <c r="AG7" i="1"/>
  <c r="AH70" i="1"/>
  <c r="BU27" i="1"/>
  <c r="BT47" i="1"/>
  <c r="CB12" i="1"/>
  <c r="AG126" i="1"/>
  <c r="AH170" i="1"/>
  <c r="AH87" i="1"/>
  <c r="CA14" i="1"/>
  <c r="AG33" i="1"/>
  <c r="BU7" i="1"/>
  <c r="AH150" i="1"/>
  <c r="BU50" i="1"/>
  <c r="AH307" i="1"/>
  <c r="AG73" i="1"/>
  <c r="AG324" i="1"/>
  <c r="BU22" i="1"/>
  <c r="CB5" i="1"/>
  <c r="AH147" i="1"/>
  <c r="AH238" i="1"/>
  <c r="AG137" i="1"/>
  <c r="BU49" i="1"/>
  <c r="AH65" i="1"/>
  <c r="AG70" i="1"/>
  <c r="AH240" i="1"/>
  <c r="BT10" i="1"/>
  <c r="BU37" i="1"/>
  <c r="BU41" i="1"/>
  <c r="AH353" i="1"/>
  <c r="AG219" i="1"/>
  <c r="BU44" i="1"/>
  <c r="BT44" i="1"/>
  <c r="CB15" i="1"/>
  <c r="AG86" i="1"/>
  <c r="BT17" i="1"/>
  <c r="CB9" i="1"/>
  <c r="BT52" i="1"/>
  <c r="BU9" i="1"/>
  <c r="BU18" i="1"/>
  <c r="BT43" i="1"/>
  <c r="CA13" i="1"/>
  <c r="AG60" i="1"/>
  <c r="AG153" i="1"/>
  <c r="BU30" i="1"/>
  <c r="AG74" i="1"/>
  <c r="AH241" i="1"/>
  <c r="AG234" i="1"/>
  <c r="BT5" i="1"/>
  <c r="AH165" i="1"/>
  <c r="AH203" i="1"/>
  <c r="BU4" i="1"/>
  <c r="AH49" i="1"/>
  <c r="AG128" i="1"/>
  <c r="AH357" i="1"/>
  <c r="AH125" i="1"/>
  <c r="BT16" i="1"/>
  <c r="AH67" i="1"/>
  <c r="BU38" i="1"/>
  <c r="BT12" i="1"/>
  <c r="BT22" i="1"/>
  <c r="CB8" i="1"/>
  <c r="CB20" i="1"/>
  <c r="AG273" i="1"/>
  <c r="AG206" i="1"/>
  <c r="AH246" i="1"/>
  <c r="AG92" i="1"/>
  <c r="CA20" i="1"/>
  <c r="BT30" i="1"/>
  <c r="AG47" i="1"/>
  <c r="BT45" i="1"/>
  <c r="AG135" i="1"/>
  <c r="BT25" i="1"/>
  <c r="CB13" i="1"/>
  <c r="BU6" i="1"/>
  <c r="CA17" i="1"/>
  <c r="CA5" i="1"/>
  <c r="BT8" i="1"/>
  <c r="BT9" i="1"/>
  <c r="BU52" i="1"/>
  <c r="BU36" i="1"/>
  <c r="CA12" i="1"/>
  <c r="BU5" i="1"/>
  <c r="CB4" i="1"/>
  <c r="CC74" i="1"/>
  <c r="CC103" i="1"/>
  <c r="CC35" i="1"/>
  <c r="CC7" i="1"/>
  <c r="CC13" i="1"/>
  <c r="CC17" i="1"/>
  <c r="CC65" i="1"/>
  <c r="CC15" i="1"/>
  <c r="CC25" i="1"/>
  <c r="CC84" i="1"/>
  <c r="CC70" i="1"/>
  <c r="CC12" i="1"/>
  <c r="CC90" i="1"/>
  <c r="CC78" i="1"/>
  <c r="CC9" i="1"/>
  <c r="CC30" i="1"/>
  <c r="CC67" i="1"/>
  <c r="CC54" i="1"/>
  <c r="CC100" i="1"/>
  <c r="CC79" i="1"/>
  <c r="CC29" i="1"/>
  <c r="CC50" i="1"/>
  <c r="CC102" i="1"/>
  <c r="CC24" i="1"/>
  <c r="CC44" i="1"/>
  <c r="CC20" i="1"/>
  <c r="CC75" i="1"/>
  <c r="CC47" i="1"/>
  <c r="CC59" i="1"/>
  <c r="CC69" i="1"/>
  <c r="CC43" i="1"/>
  <c r="CC33" i="1"/>
  <c r="CC88" i="1"/>
  <c r="CC48" i="1"/>
  <c r="CC39" i="1"/>
  <c r="CC23" i="1"/>
  <c r="CC73" i="1"/>
  <c r="CC49" i="1"/>
  <c r="CC34" i="1"/>
  <c r="CC10" i="1"/>
  <c r="CC93" i="1"/>
  <c r="CC92" i="1"/>
  <c r="CC64" i="1"/>
  <c r="CC62" i="1"/>
  <c r="CC97" i="1"/>
  <c r="CC98" i="1"/>
  <c r="CC68" i="1"/>
  <c r="CC4" i="1"/>
  <c r="CC99" i="1"/>
  <c r="CC40" i="1"/>
  <c r="CC57" i="1"/>
  <c r="CC55" i="1"/>
  <c r="CC77" i="1"/>
  <c r="CC52" i="1"/>
  <c r="CC82" i="1"/>
  <c r="CC45" i="1"/>
  <c r="CC37" i="1"/>
  <c r="CC14" i="1"/>
  <c r="CC101" i="1"/>
  <c r="CC19" i="1"/>
  <c r="CC94" i="1"/>
  <c r="CC85" i="1"/>
  <c r="CC32" i="1"/>
  <c r="CC89" i="1"/>
  <c r="CC80" i="1"/>
  <c r="CC72" i="1"/>
  <c r="CC28" i="1"/>
  <c r="CC60" i="1"/>
  <c r="CC53" i="1"/>
  <c r="CC83" i="1"/>
  <c r="CC58" i="1"/>
  <c r="CC42" i="1"/>
  <c r="CC95" i="1"/>
  <c r="CC8" i="1"/>
  <c r="CC38" i="1"/>
  <c r="CC87" i="1"/>
  <c r="CC18" i="1"/>
  <c r="CC27" i="1"/>
  <c r="CC22" i="1"/>
  <c r="CC5" i="1"/>
  <c r="CC63" i="1"/>
  <c r="CF9" i="1" l="1"/>
  <c r="CC31" i="1"/>
  <c r="CF19" i="1"/>
  <c r="CC81" i="1"/>
  <c r="CF11" i="1"/>
  <c r="CC41" i="1"/>
  <c r="CF7" i="1"/>
  <c r="CC21" i="1"/>
  <c r="CF8" i="1"/>
  <c r="CC26" i="1"/>
  <c r="CC86" i="1"/>
  <c r="CF10" i="1"/>
  <c r="CC36" i="1"/>
  <c r="CC96" i="1"/>
  <c r="CF18" i="1"/>
  <c r="CC76" i="1"/>
  <c r="CF14" i="1"/>
  <c r="CC56" i="1"/>
  <c r="CF17" i="1"/>
  <c r="CC71" i="1"/>
  <c r="CF15" i="1"/>
  <c r="CC61" i="1"/>
  <c r="CC91" i="1"/>
  <c r="CF12" i="1"/>
  <c r="CC46" i="1"/>
  <c r="CF13" i="1"/>
  <c r="CC51" i="1"/>
  <c r="CF16" i="1"/>
  <c r="CC66" i="1"/>
  <c r="CF5" i="1"/>
  <c r="CC11" i="1"/>
  <c r="CF4" i="1"/>
  <c r="CC6" i="1"/>
  <c r="CF6" i="1"/>
  <c r="CC16" i="1"/>
  <c r="I69" i="4" l="1"/>
  <c r="I85" i="4"/>
  <c r="I82" i="4"/>
  <c r="I83" i="4"/>
  <c r="I73" i="4"/>
  <c r="I91" i="4"/>
  <c r="I78" i="4"/>
  <c r="I77" i="4"/>
  <c r="I81" i="4"/>
  <c r="I86" i="4"/>
  <c r="I72" i="4"/>
  <c r="I94" i="4"/>
  <c r="I95" i="4"/>
  <c r="I74" i="4"/>
  <c r="I76" i="4"/>
  <c r="I90" i="4"/>
  <c r="I71" i="4"/>
  <c r="I79" i="4"/>
  <c r="I75" i="4"/>
  <c r="I87" i="4"/>
  <c r="I68" i="4"/>
  <c r="I93" i="4"/>
  <c r="I89" i="4"/>
  <c r="I80" i="4"/>
  <c r="I67" i="4"/>
  <c r="I92" i="4"/>
  <c r="I84" i="4"/>
  <c r="I88" i="4"/>
  <c r="I70" i="4"/>
  <c r="AZ43" i="4"/>
  <c r="AY44" i="4"/>
  <c r="AW26" i="4"/>
  <c r="AV22" i="4"/>
  <c r="AV66" i="4"/>
  <c r="AX21" i="4"/>
  <c r="AV8" i="4"/>
  <c r="AZ41" i="4"/>
  <c r="AZ49" i="4"/>
  <c r="AX28" i="4"/>
  <c r="AZ25" i="4"/>
  <c r="AX42" i="4"/>
  <c r="AV35" i="4"/>
  <c r="AW46" i="4"/>
  <c r="AW55" i="4"/>
  <c r="AW69" i="4"/>
  <c r="AX39" i="4"/>
  <c r="AV57" i="4"/>
  <c r="AY37" i="4"/>
  <c r="AY14" i="4"/>
  <c r="AY21" i="4"/>
  <c r="AY15" i="4"/>
  <c r="AV72" i="4"/>
  <c r="AW53" i="4"/>
  <c r="AX71" i="4"/>
  <c r="AW29" i="4"/>
  <c r="AV18" i="4"/>
  <c r="AW11" i="4"/>
  <c r="AY19" i="4"/>
  <c r="AV27" i="4"/>
  <c r="AV20" i="4"/>
  <c r="AW67" i="4"/>
  <c r="AY34" i="4"/>
  <c r="AV73" i="4"/>
  <c r="AV17" i="4"/>
  <c r="AY9" i="4"/>
  <c r="AZ26" i="4"/>
  <c r="AV46" i="4"/>
  <c r="AY49" i="4"/>
  <c r="AW48" i="4"/>
  <c r="AX46" i="4"/>
  <c r="AZ61" i="4"/>
  <c r="AW20" i="4"/>
  <c r="AY29" i="4"/>
  <c r="AY65" i="4"/>
  <c r="AV7" i="4"/>
  <c r="AW8" i="4"/>
  <c r="AW51" i="4"/>
  <c r="AX32" i="4"/>
  <c r="AW57" i="4"/>
  <c r="AV62" i="4"/>
  <c r="AW17" i="4"/>
  <c r="AV49" i="4"/>
  <c r="AV64" i="4"/>
  <c r="AX61" i="4"/>
  <c r="AY53" i="4"/>
  <c r="AV6" i="4"/>
  <c r="AX27" i="4"/>
  <c r="AV68" i="4"/>
  <c r="AV23" i="4"/>
  <c r="AZ20" i="4"/>
  <c r="AX65" i="4"/>
  <c r="AW27" i="4"/>
  <c r="AZ22" i="4"/>
  <c r="AX15" i="4"/>
  <c r="AV47" i="4"/>
  <c r="AZ21" i="4"/>
  <c r="AY31" i="4"/>
  <c r="AV19" i="4"/>
  <c r="AY46" i="4"/>
  <c r="AZ17" i="4"/>
  <c r="AX10" i="4"/>
  <c r="AV36" i="4"/>
  <c r="AX64" i="4"/>
  <c r="AV32" i="4"/>
  <c r="AY40" i="4"/>
  <c r="AV75" i="4"/>
  <c r="AV70" i="4"/>
  <c r="AX60" i="4"/>
  <c r="AW43" i="4"/>
  <c r="AW22" i="4"/>
  <c r="AZ23" i="4"/>
  <c r="AY42" i="4"/>
  <c r="AV71" i="4"/>
  <c r="AW50" i="4"/>
  <c r="AW19" i="4"/>
  <c r="AZ57" i="4"/>
  <c r="AV61" i="4"/>
  <c r="AV56" i="4"/>
  <c r="AY6" i="4"/>
  <c r="AY13" i="4"/>
  <c r="AW5" i="4"/>
  <c r="AW37" i="4"/>
  <c r="AX5" i="4"/>
  <c r="AX31" i="4"/>
  <c r="AV13" i="4"/>
  <c r="AW64" i="4"/>
  <c r="AW36" i="4"/>
  <c r="AX69" i="4"/>
  <c r="AV60" i="4"/>
  <c r="AW42" i="4"/>
  <c r="AV38" i="4"/>
  <c r="AX16" i="4"/>
  <c r="AY32" i="4"/>
  <c r="AX13" i="4"/>
  <c r="AZ67" i="4"/>
  <c r="AW59" i="4"/>
  <c r="AX52" i="4"/>
  <c r="AV33" i="4"/>
  <c r="AZ44" i="4"/>
  <c r="AV37" i="4"/>
  <c r="AZ51" i="4"/>
  <c r="AX66" i="4"/>
  <c r="AX12" i="4"/>
  <c r="AX22" i="4"/>
  <c r="AZ11" i="4"/>
  <c r="AX25" i="4"/>
  <c r="AV12" i="4"/>
  <c r="AX18" i="4"/>
  <c r="AX7" i="4"/>
  <c r="AX56" i="4"/>
  <c r="AX54" i="4"/>
  <c r="AY60" i="4"/>
  <c r="AY26" i="4"/>
  <c r="AX36" i="4"/>
  <c r="AV58" i="4"/>
  <c r="AW60" i="4"/>
  <c r="AY36" i="4"/>
  <c r="AX70" i="4"/>
  <c r="AW63" i="4"/>
  <c r="AX30" i="4"/>
  <c r="AZ58" i="4"/>
  <c r="AW65" i="4"/>
  <c r="AW71" i="4"/>
  <c r="AX53" i="4"/>
  <c r="AZ6" i="4"/>
  <c r="AX33" i="4"/>
  <c r="AW16" i="4"/>
  <c r="AY51" i="4"/>
  <c r="AW7" i="4"/>
  <c r="AX58" i="4"/>
  <c r="AZ59" i="4"/>
  <c r="AZ31" i="4"/>
  <c r="AX40" i="4"/>
  <c r="AY30" i="4"/>
  <c r="AY48" i="4"/>
  <c r="AW12" i="4"/>
  <c r="AZ37" i="4"/>
  <c r="AW15" i="4"/>
  <c r="AV21" i="4"/>
  <c r="AY59" i="4"/>
  <c r="AY28" i="4"/>
  <c r="AV74" i="4"/>
  <c r="AY35" i="4"/>
  <c r="AV24" i="4"/>
  <c r="AW56" i="4"/>
  <c r="AV16" i="4"/>
  <c r="AX9" i="4"/>
  <c r="AW34" i="4"/>
  <c r="AY52" i="4"/>
  <c r="AX62" i="4"/>
  <c r="AW9" i="4"/>
  <c r="AV40" i="4"/>
  <c r="AW24" i="4"/>
  <c r="AW39" i="4"/>
  <c r="AV65" i="4"/>
  <c r="AY55" i="4"/>
  <c r="AX11" i="4"/>
  <c r="AW73" i="4"/>
  <c r="AY20" i="4"/>
  <c r="AZ64" i="4"/>
  <c r="AZ46" i="4"/>
  <c r="AW38" i="4"/>
  <c r="AW31" i="4"/>
  <c r="AX59" i="4"/>
  <c r="AW61" i="4"/>
  <c r="AY5" i="4"/>
  <c r="AX43" i="4"/>
  <c r="AY68" i="4"/>
  <c r="AW6" i="4"/>
  <c r="AW18" i="4"/>
  <c r="AZ63" i="4"/>
  <c r="AZ9" i="4"/>
  <c r="AW70" i="4"/>
  <c r="AZ56" i="4"/>
  <c r="AV15" i="4"/>
  <c r="AW28" i="4"/>
  <c r="AV67" i="4"/>
  <c r="AW49" i="4"/>
  <c r="AV25" i="4"/>
  <c r="AV63" i="4"/>
  <c r="AV55" i="4"/>
  <c r="AZ19" i="4"/>
  <c r="AV9" i="4"/>
  <c r="AW54" i="4"/>
  <c r="AV14" i="4"/>
  <c r="AZ13" i="4"/>
  <c r="AY57" i="4"/>
  <c r="AW47" i="4"/>
  <c r="AV5" i="4"/>
  <c r="AY10" i="4"/>
  <c r="AZ34" i="4"/>
  <c r="AZ52" i="4"/>
  <c r="AZ5" i="4"/>
  <c r="AZ16" i="4"/>
  <c r="AV59" i="4"/>
  <c r="AX47" i="4"/>
  <c r="AY12" i="4"/>
  <c r="AZ18" i="4"/>
  <c r="AX20" i="4"/>
  <c r="AV34" i="4"/>
  <c r="AW35" i="4"/>
  <c r="AY45" i="4"/>
  <c r="AZ38" i="4"/>
  <c r="AW14" i="4"/>
  <c r="AY24" i="4"/>
  <c r="AX41" i="4"/>
  <c r="AZ8" i="4"/>
  <c r="AX8" i="4"/>
  <c r="AZ29" i="4"/>
  <c r="AY63" i="4"/>
  <c r="AV44" i="4"/>
  <c r="AX24" i="4"/>
  <c r="AW72" i="4"/>
  <c r="AW44" i="4"/>
  <c r="AX55" i="4"/>
  <c r="AX45" i="4"/>
  <c r="AX6" i="4"/>
  <c r="AZ48" i="4"/>
  <c r="AX14" i="4"/>
  <c r="AZ55" i="4"/>
  <c r="AX48" i="4"/>
  <c r="AZ27" i="4"/>
  <c r="AY16" i="4"/>
  <c r="AX50" i="4"/>
  <c r="AX57" i="4"/>
  <c r="AY22" i="4"/>
  <c r="AZ14" i="4"/>
  <c r="AV29" i="4"/>
  <c r="AY23" i="4"/>
  <c r="AW33" i="4"/>
  <c r="AX63" i="4"/>
  <c r="AV39" i="4"/>
  <c r="AZ54" i="4"/>
  <c r="AZ10" i="4"/>
  <c r="AY8" i="4"/>
  <c r="AV50" i="4"/>
  <c r="AX26" i="4"/>
  <c r="AV11" i="4"/>
  <c r="AV43" i="4"/>
  <c r="AW32" i="4"/>
  <c r="AZ62" i="4"/>
  <c r="AZ12" i="4"/>
  <c r="AW52" i="4"/>
  <c r="AY7" i="4"/>
  <c r="AY33" i="4"/>
  <c r="AW68" i="4"/>
  <c r="AY18" i="4"/>
  <c r="AV26" i="4"/>
  <c r="AW41" i="4"/>
  <c r="AW21" i="4"/>
  <c r="AX67" i="4"/>
  <c r="AY41" i="4"/>
  <c r="AY62" i="4"/>
  <c r="AZ45" i="4"/>
  <c r="AY11" i="4"/>
  <c r="AX38" i="4"/>
  <c r="AY43" i="4"/>
  <c r="AZ60" i="4"/>
  <c r="AZ39" i="4"/>
  <c r="AV48" i="4"/>
  <c r="AW45" i="4"/>
  <c r="AZ47" i="4"/>
  <c r="AZ50" i="4"/>
  <c r="AZ24" i="4"/>
  <c r="AV28" i="4"/>
  <c r="AV53" i="4"/>
  <c r="AV69" i="4"/>
  <c r="AX49" i="4"/>
  <c r="AZ28" i="4"/>
  <c r="AW25" i="4"/>
  <c r="AV31" i="4"/>
  <c r="AW62" i="4"/>
  <c r="AZ30" i="4"/>
  <c r="AV30" i="4"/>
  <c r="AZ33" i="4"/>
  <c r="AY66" i="4"/>
  <c r="AX17" i="4"/>
  <c r="AZ53" i="4"/>
  <c r="AV41" i="4"/>
  <c r="AV54" i="4"/>
  <c r="AY58" i="4"/>
  <c r="AX51" i="4"/>
  <c r="AX23" i="4"/>
  <c r="AY54" i="4"/>
  <c r="AX34" i="4"/>
  <c r="AY39" i="4"/>
  <c r="AX68" i="4"/>
  <c r="AW40" i="4"/>
  <c r="AV42" i="4"/>
  <c r="AW30" i="4"/>
  <c r="AX29" i="4"/>
  <c r="AY61" i="4"/>
  <c r="AZ36" i="4"/>
  <c r="AZ40" i="4"/>
  <c r="AX37" i="4"/>
  <c r="AV10" i="4"/>
  <c r="I96" i="4" l="1"/>
  <c r="AY67" i="4"/>
  <c r="AY38" i="4"/>
  <c r="AV76" i="4"/>
  <c r="AV51" i="4"/>
  <c r="AW58" i="4"/>
  <c r="AW23" i="4"/>
  <c r="AY50" i="4"/>
  <c r="AY17" i="4"/>
  <c r="AZ66" i="4"/>
  <c r="AV52" i="4"/>
  <c r="AY64" i="4"/>
  <c r="AW74" i="4"/>
  <c r="AV45" i="4"/>
  <c r="AY69" i="4"/>
  <c r="AZ42" i="4"/>
  <c r="AZ32" i="4"/>
  <c r="AZ7" i="4"/>
  <c r="AY27" i="4"/>
  <c r="AZ68" i="4"/>
  <c r="AZ65" i="4"/>
  <c r="AX35" i="4"/>
  <c r="AW66" i="4"/>
  <c r="AY25" i="4"/>
  <c r="AX19" i="4"/>
  <c r="AX44" i="4"/>
  <c r="AZ15" i="4"/>
  <c r="AY47" i="4"/>
  <c r="AW13" i="4"/>
  <c r="AX72" i="4"/>
  <c r="AZ35" i="4"/>
  <c r="AW10" i="4"/>
  <c r="AY56" i="4"/>
  <c r="I97" i="4" l="1"/>
  <c r="AX73" i="4"/>
  <c r="AZ69" i="4"/>
  <c r="AV77" i="4"/>
  <c r="AY70" i="4"/>
  <c r="AW75" i="4"/>
  <c r="I98" i="4" l="1"/>
  <c r="AV78" i="4"/>
  <c r="AW76" i="4"/>
  <c r="AZ70" i="4"/>
  <c r="AY71" i="4"/>
  <c r="AX74" i="4"/>
  <c r="I105" i="4" l="1"/>
  <c r="I99" i="4"/>
  <c r="I103" i="4"/>
  <c r="AX89" i="4"/>
  <c r="AX135" i="4"/>
  <c r="AX88" i="4"/>
  <c r="AZ147" i="4"/>
  <c r="AW138" i="4"/>
  <c r="AX86" i="4"/>
  <c r="AY155" i="4"/>
  <c r="AW141" i="4"/>
  <c r="AV144" i="4"/>
  <c r="AW161" i="4"/>
  <c r="AZ159" i="4"/>
  <c r="AV99" i="4"/>
  <c r="AX160" i="4"/>
  <c r="AZ129" i="4"/>
  <c r="AZ77" i="4"/>
  <c r="AW133" i="4"/>
  <c r="AX93" i="4"/>
  <c r="AV87" i="4"/>
  <c r="AV100" i="4"/>
  <c r="AY132" i="4"/>
  <c r="AW128" i="4"/>
  <c r="AZ151" i="4"/>
  <c r="AY148" i="4"/>
  <c r="AW127" i="4"/>
  <c r="AW163" i="4"/>
  <c r="AZ123" i="4"/>
  <c r="AZ127" i="4"/>
  <c r="AY137" i="4"/>
  <c r="AX159" i="4"/>
  <c r="AV162" i="4"/>
  <c r="AY126" i="4"/>
  <c r="AV92" i="4"/>
  <c r="AX129" i="4"/>
  <c r="AY146" i="4"/>
  <c r="AZ87" i="4"/>
  <c r="AZ138" i="4"/>
  <c r="AW152" i="4"/>
  <c r="AW123" i="4"/>
  <c r="AX158" i="4"/>
  <c r="AV101" i="4"/>
  <c r="AX157" i="4"/>
  <c r="AZ80" i="4"/>
  <c r="AZ116" i="4"/>
  <c r="AW87" i="4"/>
  <c r="AY127" i="4"/>
  <c r="AV146" i="4"/>
  <c r="AY80" i="4"/>
  <c r="AV151" i="4"/>
  <c r="AZ78" i="4"/>
  <c r="AZ79" i="4"/>
  <c r="AV155" i="4"/>
  <c r="AW139" i="4"/>
  <c r="AV89" i="4"/>
  <c r="AW93" i="4"/>
  <c r="AZ155" i="4"/>
  <c r="AY117" i="4"/>
  <c r="AZ117" i="4"/>
  <c r="AW95" i="4"/>
  <c r="AZ136" i="4"/>
  <c r="AW156" i="4"/>
  <c r="AX164" i="4"/>
  <c r="AX133" i="4"/>
  <c r="AZ161" i="4"/>
  <c r="AY135" i="4"/>
  <c r="AX156" i="4"/>
  <c r="AW126" i="4"/>
  <c r="AZ125" i="4"/>
  <c r="AY162" i="4"/>
  <c r="AX138" i="4"/>
  <c r="AV130" i="4"/>
  <c r="AV158" i="4"/>
  <c r="AZ131" i="4"/>
  <c r="AW150" i="4"/>
  <c r="AW160" i="4"/>
  <c r="AZ163" i="4"/>
  <c r="AZ145" i="4"/>
  <c r="AX163" i="4"/>
  <c r="AW149" i="4"/>
  <c r="AW145" i="4"/>
  <c r="AY121" i="4"/>
  <c r="AV91" i="4"/>
  <c r="AZ152" i="4"/>
  <c r="AX134" i="4"/>
  <c r="AW84" i="4"/>
  <c r="AV159" i="4"/>
  <c r="AW120" i="4"/>
  <c r="AY78" i="4"/>
  <c r="AX126" i="4"/>
  <c r="AY153" i="4"/>
  <c r="AX119" i="4"/>
  <c r="AX147" i="4"/>
  <c r="AW154" i="4"/>
  <c r="AY81" i="4"/>
  <c r="AV133" i="4"/>
  <c r="AX154" i="4"/>
  <c r="AW77" i="4"/>
  <c r="AW96" i="4"/>
  <c r="AZ124" i="4"/>
  <c r="AY125" i="4"/>
  <c r="AV147" i="4"/>
  <c r="AX144" i="4"/>
  <c r="AW94" i="4"/>
  <c r="AY159" i="4"/>
  <c r="AZ137" i="4"/>
  <c r="AZ150" i="4"/>
  <c r="AV121" i="4"/>
  <c r="AW89" i="4"/>
  <c r="AX155" i="4"/>
  <c r="AZ135" i="4"/>
  <c r="AW88" i="4"/>
  <c r="AY131" i="4"/>
  <c r="AY85" i="4"/>
  <c r="AX75" i="4"/>
  <c r="AY143" i="4"/>
  <c r="AZ118" i="4"/>
  <c r="AX132" i="4"/>
  <c r="AX118" i="4"/>
  <c r="AY133" i="4"/>
  <c r="AV156" i="4"/>
  <c r="AX122" i="4"/>
  <c r="AY120" i="4"/>
  <c r="AW121" i="4"/>
  <c r="AY156" i="4"/>
  <c r="AZ85" i="4"/>
  <c r="AV127" i="4"/>
  <c r="AY130" i="4"/>
  <c r="AY140" i="4"/>
  <c r="AY164" i="4"/>
  <c r="AZ153" i="4"/>
  <c r="AX149" i="4"/>
  <c r="AZ141" i="4"/>
  <c r="AX143" i="4"/>
  <c r="AX162" i="4"/>
  <c r="AZ156" i="4"/>
  <c r="AW137" i="4"/>
  <c r="AV141" i="4"/>
  <c r="AX141" i="4"/>
  <c r="AY86" i="4"/>
  <c r="AW122" i="4"/>
  <c r="AV126" i="4"/>
  <c r="AV149" i="4"/>
  <c r="AV154" i="4"/>
  <c r="AV131" i="4"/>
  <c r="AX121" i="4"/>
  <c r="AZ130" i="4"/>
  <c r="AZ146" i="4"/>
  <c r="AY161" i="4"/>
  <c r="AV98" i="4"/>
  <c r="AY134" i="4"/>
  <c r="AY82" i="4"/>
  <c r="AX142" i="4"/>
  <c r="AY152" i="4"/>
  <c r="AW155" i="4"/>
  <c r="AW142" i="4"/>
  <c r="AY89" i="4"/>
  <c r="AW85" i="4"/>
  <c r="AZ122" i="4"/>
  <c r="AV148" i="4"/>
  <c r="AX91" i="4"/>
  <c r="AY72" i="4"/>
  <c r="AX87" i="4"/>
  <c r="AW131" i="4"/>
  <c r="AV132" i="4"/>
  <c r="AZ132" i="4"/>
  <c r="AZ126" i="4"/>
  <c r="AY151" i="4"/>
  <c r="AW136" i="4"/>
  <c r="AZ154" i="4"/>
  <c r="AX83" i="4"/>
  <c r="AW129" i="4"/>
  <c r="AW164" i="4"/>
  <c r="AY158" i="4"/>
  <c r="AZ120" i="4"/>
  <c r="AX161" i="4"/>
  <c r="AX120" i="4"/>
  <c r="AZ84" i="4"/>
  <c r="AV90" i="4"/>
  <c r="AV136" i="4"/>
  <c r="AZ157" i="4"/>
  <c r="AY128" i="4"/>
  <c r="AY150" i="4"/>
  <c r="AV94" i="4"/>
  <c r="AX151" i="4"/>
  <c r="AW140" i="4"/>
  <c r="AX131" i="4"/>
  <c r="AX85" i="4"/>
  <c r="AZ139" i="4"/>
  <c r="AW125" i="4"/>
  <c r="AX127" i="4"/>
  <c r="AZ140" i="4"/>
  <c r="AX124" i="4"/>
  <c r="AW86" i="4"/>
  <c r="AX92" i="4"/>
  <c r="AW151" i="4"/>
  <c r="AV142" i="4"/>
  <c r="AZ162" i="4"/>
  <c r="AV125" i="4"/>
  <c r="AW143" i="4"/>
  <c r="AX136" i="4"/>
  <c r="AW92" i="4"/>
  <c r="AZ134" i="4"/>
  <c r="AX150" i="4"/>
  <c r="AV97" i="4"/>
  <c r="AW91" i="4"/>
  <c r="AZ86" i="4"/>
  <c r="AY145" i="4"/>
  <c r="AV161" i="4"/>
  <c r="AV93" i="4"/>
  <c r="AV102" i="4"/>
  <c r="AV153" i="4"/>
  <c r="AW124" i="4"/>
  <c r="AZ148" i="4"/>
  <c r="AZ115" i="4"/>
  <c r="AV145" i="4"/>
  <c r="AY138" i="4"/>
  <c r="AV86" i="4"/>
  <c r="AY144" i="4"/>
  <c r="AV139" i="4"/>
  <c r="AY147" i="4"/>
  <c r="AV164" i="4"/>
  <c r="AW147" i="4"/>
  <c r="AX128" i="4"/>
  <c r="AZ133" i="4"/>
  <c r="AY139" i="4"/>
  <c r="AZ142" i="4"/>
  <c r="AY141" i="4"/>
  <c r="AV95" i="4"/>
  <c r="AW97" i="4"/>
  <c r="AX153" i="4"/>
  <c r="AY123" i="4"/>
  <c r="AZ158" i="4"/>
  <c r="AV134" i="4"/>
  <c r="AZ143" i="4"/>
  <c r="AY142" i="4"/>
  <c r="AV124" i="4"/>
  <c r="AW162" i="4"/>
  <c r="AZ82" i="4"/>
  <c r="AV135" i="4"/>
  <c r="AY124" i="4"/>
  <c r="AV123" i="4"/>
  <c r="AY83" i="4"/>
  <c r="AV143" i="4"/>
  <c r="AX90" i="4"/>
  <c r="AV88" i="4"/>
  <c r="AW148" i="4"/>
  <c r="AY129" i="4"/>
  <c r="AV138" i="4"/>
  <c r="AV129" i="4"/>
  <c r="AY87" i="4"/>
  <c r="AV160" i="4"/>
  <c r="AX139" i="4"/>
  <c r="AX148" i="4"/>
  <c r="AY122" i="4"/>
  <c r="AX123" i="4"/>
  <c r="AW153" i="4"/>
  <c r="AX84" i="4"/>
  <c r="AV157" i="4"/>
  <c r="AY157" i="4"/>
  <c r="AV137" i="4"/>
  <c r="AY88" i="4"/>
  <c r="AX82" i="4"/>
  <c r="AY84" i="4"/>
  <c r="AZ144" i="4"/>
  <c r="AW132" i="4"/>
  <c r="AZ71" i="4"/>
  <c r="AX140" i="4"/>
  <c r="AZ128" i="4"/>
  <c r="AZ164" i="4"/>
  <c r="AV152" i="4"/>
  <c r="AX94" i="4"/>
  <c r="AX152" i="4"/>
  <c r="AW90" i="4"/>
  <c r="AX137" i="4"/>
  <c r="AV128" i="4"/>
  <c r="AY79" i="4"/>
  <c r="AY118" i="4"/>
  <c r="AW130" i="4"/>
  <c r="AV163" i="4"/>
  <c r="AZ149" i="4"/>
  <c r="AW146" i="4"/>
  <c r="AY160" i="4"/>
  <c r="AX146" i="4"/>
  <c r="AX130" i="4"/>
  <c r="AW159" i="4"/>
  <c r="AY149" i="4"/>
  <c r="AZ121" i="4"/>
  <c r="AW144" i="4"/>
  <c r="AW158" i="4"/>
  <c r="AY136" i="4"/>
  <c r="AZ81" i="4"/>
  <c r="AV150" i="4"/>
  <c r="AY119" i="4"/>
  <c r="AZ160" i="4"/>
  <c r="AY163" i="4"/>
  <c r="AW157" i="4"/>
  <c r="AW134" i="4"/>
  <c r="AV96" i="4"/>
  <c r="AY154" i="4"/>
  <c r="AZ83" i="4"/>
  <c r="AZ119" i="4"/>
  <c r="AX145" i="4"/>
  <c r="AV79" i="4"/>
  <c r="AW135" i="4"/>
  <c r="AV140" i="4"/>
  <c r="AV122" i="4"/>
  <c r="AX125" i="4"/>
  <c r="I102" i="4" l="1"/>
  <c r="I101" i="4"/>
  <c r="I104" i="4"/>
  <c r="I100" i="4"/>
  <c r="AX110" i="4"/>
  <c r="AY101" i="4"/>
  <c r="AW82" i="4"/>
  <c r="AV116" i="4"/>
  <c r="AX105" i="4"/>
  <c r="AY95" i="4"/>
  <c r="AY73" i="4"/>
  <c r="AW102" i="4"/>
  <c r="AY90" i="4"/>
  <c r="AZ76" i="4"/>
  <c r="AZ104" i="4"/>
  <c r="AV84" i="4"/>
  <c r="AZ92" i="4"/>
  <c r="AW118" i="4"/>
  <c r="AW108" i="4"/>
  <c r="AZ90" i="4"/>
  <c r="AX97" i="4"/>
  <c r="AZ110" i="4"/>
  <c r="AX114" i="4"/>
  <c r="AV114" i="4"/>
  <c r="AZ100" i="4"/>
  <c r="AY110" i="4"/>
  <c r="AW116" i="4"/>
  <c r="AW111" i="4"/>
  <c r="AZ102" i="4"/>
  <c r="AV105" i="4"/>
  <c r="AV111" i="4"/>
  <c r="AZ107" i="4"/>
  <c r="AZ106" i="4"/>
  <c r="AW112" i="4"/>
  <c r="AV120" i="4"/>
  <c r="AX79" i="4"/>
  <c r="AW100" i="4"/>
  <c r="AY100" i="4"/>
  <c r="AX77" i="4"/>
  <c r="AX109" i="4"/>
  <c r="AZ97" i="4"/>
  <c r="AX112" i="4"/>
  <c r="AZ101" i="4"/>
  <c r="AX96" i="4"/>
  <c r="AX108" i="4"/>
  <c r="AV107" i="4"/>
  <c r="AX95" i="4"/>
  <c r="AZ111" i="4"/>
  <c r="AY111" i="4"/>
  <c r="AY104" i="4"/>
  <c r="AY116" i="4"/>
  <c r="AY97" i="4"/>
  <c r="AX101" i="4"/>
  <c r="AY77" i="4"/>
  <c r="AX78" i="4"/>
  <c r="AW113" i="4"/>
  <c r="AZ94" i="4"/>
  <c r="AZ72" i="4"/>
  <c r="AZ103" i="4"/>
  <c r="AZ99" i="4"/>
  <c r="AW98" i="4"/>
  <c r="AZ105" i="4"/>
  <c r="AY98" i="4"/>
  <c r="AY109" i="4"/>
  <c r="AZ98" i="4"/>
  <c r="AY115" i="4"/>
  <c r="AX81" i="4"/>
  <c r="AX106" i="4"/>
  <c r="AX117" i="4"/>
  <c r="AW78" i="4"/>
  <c r="AZ75" i="4"/>
  <c r="AV119" i="4"/>
  <c r="AY103" i="4"/>
  <c r="AV112" i="4"/>
  <c r="AY93" i="4"/>
  <c r="AX104" i="4"/>
  <c r="AW119" i="4"/>
  <c r="AY74" i="4"/>
  <c r="AW110" i="4"/>
  <c r="AY108" i="4"/>
  <c r="AV103" i="4"/>
  <c r="AZ73" i="4"/>
  <c r="AV115" i="4"/>
  <c r="AW81" i="4"/>
  <c r="AY105" i="4"/>
  <c r="AZ112" i="4"/>
  <c r="AZ93" i="4"/>
  <c r="AV83" i="4"/>
  <c r="AW104" i="4"/>
  <c r="AW101" i="4"/>
  <c r="AV82" i="4"/>
  <c r="AX98" i="4"/>
  <c r="AY99" i="4"/>
  <c r="AW80" i="4"/>
  <c r="AY91" i="4"/>
  <c r="AY106" i="4"/>
  <c r="AZ113" i="4"/>
  <c r="AW99" i="4"/>
  <c r="AW103" i="4"/>
  <c r="AZ88" i="4"/>
  <c r="AV85" i="4"/>
  <c r="AW115" i="4"/>
  <c r="AX111" i="4"/>
  <c r="AV110" i="4"/>
  <c r="AZ95" i="4"/>
  <c r="AW109" i="4"/>
  <c r="AY94" i="4"/>
  <c r="AX113" i="4"/>
  <c r="AY75" i="4"/>
  <c r="AV117" i="4"/>
  <c r="AV108" i="4"/>
  <c r="AW107" i="4"/>
  <c r="AW114" i="4"/>
  <c r="AX116" i="4"/>
  <c r="AV118" i="4"/>
  <c r="AW117" i="4"/>
  <c r="AW106" i="4"/>
  <c r="AW83" i="4"/>
  <c r="AY96" i="4"/>
  <c r="AV113" i="4"/>
  <c r="AY102" i="4"/>
  <c r="AX99" i="4"/>
  <c r="AX102" i="4"/>
  <c r="AX107" i="4"/>
  <c r="AX80" i="4"/>
  <c r="AZ89" i="4"/>
  <c r="AV106" i="4"/>
  <c r="AV81" i="4"/>
  <c r="AX100" i="4"/>
  <c r="AY76" i="4"/>
  <c r="AW79" i="4"/>
  <c r="AZ108" i="4"/>
  <c r="AY92" i="4"/>
  <c r="AV104" i="4"/>
  <c r="AZ109" i="4"/>
  <c r="AX115" i="4"/>
  <c r="AZ96" i="4"/>
  <c r="AV80" i="4"/>
  <c r="AY114" i="4"/>
  <c r="AY107" i="4"/>
  <c r="AX103" i="4"/>
  <c r="AZ114" i="4"/>
  <c r="AW105" i="4"/>
  <c r="AY113" i="4"/>
  <c r="AX76" i="4"/>
  <c r="AY112" i="4"/>
  <c r="AZ91" i="4"/>
  <c r="AV109" i="4"/>
  <c r="AZ74" i="4"/>
  <c r="CW6" i="4" l="1"/>
  <c r="CT8" i="4"/>
  <c r="CU7" i="4"/>
  <c r="CW9" i="4"/>
  <c r="CU8" i="4"/>
  <c r="CU10" i="4"/>
  <c r="CV8" i="4"/>
  <c r="CV9" i="4"/>
  <c r="CV10" i="4"/>
  <c r="CT12" i="4"/>
  <c r="CT10" i="4"/>
  <c r="CT11" i="4"/>
  <c r="CT6" i="4"/>
  <c r="CW5" i="4"/>
  <c r="DB5" i="4" s="1"/>
  <c r="CU12" i="4"/>
  <c r="CT9" i="4"/>
  <c r="CV12" i="4"/>
  <c r="CW10" i="4"/>
  <c r="CT13" i="4"/>
  <c r="CW12" i="4"/>
  <c r="CU11" i="4"/>
  <c r="CU13" i="4"/>
  <c r="CW7" i="4"/>
  <c r="CV5" i="4"/>
  <c r="DA5" i="4" s="1"/>
  <c r="CV7" i="4"/>
  <c r="CV11" i="4"/>
  <c r="CV6" i="4"/>
  <c r="CU6" i="4"/>
  <c r="CW8" i="4"/>
  <c r="CU5" i="4"/>
  <c r="CZ5" i="4" s="1"/>
  <c r="CU9" i="4"/>
  <c r="CW11" i="4"/>
  <c r="CT5" i="4"/>
  <c r="CY5" i="4" s="1"/>
  <c r="CT7" i="4"/>
  <c r="DA6" i="4" l="1"/>
  <c r="DA10" i="4"/>
  <c r="CZ12" i="4"/>
  <c r="CY13" i="4"/>
  <c r="CZ8" i="4"/>
  <c r="DB12" i="4"/>
  <c r="DB10" i="4"/>
  <c r="DA12" i="4"/>
  <c r="CY6" i="4"/>
  <c r="CY10" i="4"/>
  <c r="CY12" i="4"/>
  <c r="DA8" i="4"/>
  <c r="DB8" i="4"/>
  <c r="CZ11" i="4"/>
  <c r="CY8" i="4"/>
  <c r="CZ13" i="4"/>
  <c r="CY11" i="4"/>
  <c r="DB11" i="4"/>
  <c r="DA11" i="4"/>
  <c r="DA7" i="4"/>
  <c r="CY9" i="4"/>
  <c r="CZ10" i="4"/>
  <c r="DB9" i="4"/>
  <c r="CY7" i="4"/>
  <c r="CZ7" i="4"/>
  <c r="CZ6" i="4"/>
  <c r="DB7" i="4"/>
  <c r="DA9" i="4"/>
  <c r="DB6" i="4"/>
  <c r="CZ9" i="4"/>
  <c r="L70" i="4" l="1"/>
  <c r="L92" i="4"/>
  <c r="L84" i="4"/>
  <c r="L71" i="4"/>
  <c r="L89" i="4"/>
  <c r="L85" i="4"/>
  <c r="L83" i="4"/>
  <c r="L81" i="4"/>
  <c r="L82" i="4"/>
  <c r="L100" i="4"/>
  <c r="L80" i="4"/>
  <c r="L95" i="4"/>
  <c r="L101" i="4"/>
  <c r="L86" i="4"/>
  <c r="L90" i="4"/>
  <c r="L98" i="4"/>
  <c r="L74" i="4"/>
  <c r="L79" i="4"/>
  <c r="L91" i="4"/>
  <c r="L78" i="4"/>
  <c r="L87" i="4"/>
  <c r="L97" i="4"/>
  <c r="L96" i="4"/>
  <c r="L72" i="4"/>
  <c r="L105" i="4"/>
  <c r="L102" i="4"/>
  <c r="L104" i="4"/>
  <c r="L94" i="4"/>
  <c r="L76" i="4"/>
  <c r="L103" i="4"/>
  <c r="L99" i="4"/>
  <c r="L75" i="4"/>
  <c r="L88" i="4"/>
  <c r="L93" i="4"/>
  <c r="L73" i="4"/>
  <c r="L77" i="4"/>
  <c r="BS129" i="4" l="1"/>
  <c r="BS14" i="4"/>
  <c r="BR46" i="4"/>
  <c r="BT98" i="4"/>
  <c r="BS15" i="4"/>
  <c r="BT147" i="4"/>
  <c r="BQ142" i="4"/>
  <c r="BR25" i="4"/>
  <c r="BT134" i="4"/>
  <c r="BT121" i="4"/>
  <c r="BT49" i="4"/>
  <c r="BR128" i="4"/>
  <c r="BS35" i="4"/>
  <c r="BQ62" i="4"/>
  <c r="BQ102" i="4"/>
  <c r="BR81" i="4"/>
  <c r="BQ115" i="4"/>
  <c r="BT152" i="4"/>
  <c r="BS113" i="4"/>
  <c r="BS132" i="4"/>
  <c r="BQ44" i="4"/>
  <c r="BQ71" i="4"/>
  <c r="BR142" i="4"/>
  <c r="BR15" i="4"/>
  <c r="BS73" i="4"/>
  <c r="BT116" i="4"/>
  <c r="BT35" i="4"/>
  <c r="BQ145" i="4"/>
  <c r="BR139" i="4"/>
  <c r="BQ66" i="4"/>
  <c r="BT113" i="4"/>
  <c r="BQ51" i="4"/>
  <c r="BT78" i="4"/>
  <c r="BR67" i="4"/>
  <c r="BS111" i="4"/>
  <c r="BT120" i="4"/>
  <c r="BQ77" i="4"/>
  <c r="BR151" i="4"/>
  <c r="BT114" i="4"/>
  <c r="BR103" i="4"/>
  <c r="BQ138" i="4"/>
  <c r="BQ135" i="4"/>
  <c r="BS142" i="4"/>
  <c r="BS127" i="4"/>
  <c r="BT149" i="4"/>
  <c r="BR63" i="4"/>
  <c r="BR44" i="4"/>
  <c r="BR73" i="4"/>
  <c r="BT124" i="4"/>
  <c r="BS136" i="4"/>
  <c r="BT15" i="4"/>
  <c r="BR90" i="4"/>
  <c r="BR161" i="4"/>
  <c r="BT128" i="4"/>
  <c r="BR76" i="4"/>
  <c r="BR40" i="4"/>
  <c r="BQ120" i="4"/>
  <c r="BR108" i="4"/>
  <c r="BQ88" i="4"/>
  <c r="BT41" i="4"/>
  <c r="BT79" i="4"/>
  <c r="BS19" i="4"/>
  <c r="BS87" i="4"/>
  <c r="BT155" i="4"/>
  <c r="BR14" i="4"/>
  <c r="BS57" i="4"/>
  <c r="BT61" i="4"/>
  <c r="BQ38" i="4"/>
  <c r="BR105" i="4"/>
  <c r="BQ148" i="4"/>
  <c r="BT73" i="4"/>
  <c r="BT88" i="4"/>
  <c r="BR120" i="4"/>
  <c r="BR91" i="4"/>
  <c r="BQ48" i="4"/>
  <c r="BS135" i="4"/>
  <c r="BP72" i="4"/>
  <c r="BP161" i="4"/>
  <c r="BP89" i="4"/>
  <c r="BP82" i="4"/>
  <c r="BP128" i="4"/>
  <c r="BP114" i="4"/>
  <c r="BP26" i="4"/>
  <c r="BP5" i="4"/>
  <c r="BP159" i="4"/>
  <c r="BP105" i="4"/>
  <c r="BP22" i="4"/>
  <c r="BP71" i="4"/>
  <c r="BP25" i="4"/>
  <c r="BP46" i="4"/>
  <c r="BP154" i="4"/>
  <c r="BP129" i="4"/>
  <c r="BP58" i="4"/>
  <c r="BP36" i="4"/>
  <c r="BP130" i="4"/>
  <c r="BP32" i="4"/>
  <c r="BT109" i="4"/>
  <c r="BS29" i="4"/>
  <c r="BT93" i="4"/>
  <c r="BS43" i="4"/>
  <c r="BS37" i="4"/>
  <c r="BT67" i="4"/>
  <c r="BT58" i="4"/>
  <c r="BR70" i="4"/>
  <c r="BS61" i="4"/>
  <c r="BS139" i="4"/>
  <c r="BR148" i="4"/>
  <c r="BQ117" i="4"/>
  <c r="BP104" i="4"/>
  <c r="BP64" i="4"/>
  <c r="BP131" i="4"/>
  <c r="BP61" i="4"/>
  <c r="BP68" i="4"/>
  <c r="BP93" i="4"/>
  <c r="BP152" i="4"/>
  <c r="BQ18" i="4"/>
  <c r="BT69" i="4"/>
  <c r="BS55" i="4"/>
  <c r="BT38" i="4"/>
  <c r="BQ107" i="4"/>
  <c r="BQ152" i="4"/>
  <c r="BS134" i="4"/>
  <c r="BQ149" i="4"/>
  <c r="BS159" i="4"/>
  <c r="BQ32" i="4"/>
  <c r="BT163" i="4"/>
  <c r="BR125" i="4"/>
  <c r="BT32" i="4"/>
  <c r="BS147" i="4"/>
  <c r="BR154" i="4"/>
  <c r="BQ96" i="4"/>
  <c r="BQ137" i="4"/>
  <c r="BT148" i="4"/>
  <c r="BQ37" i="4"/>
  <c r="BT108" i="4"/>
  <c r="BT26" i="4"/>
  <c r="BS62" i="4"/>
  <c r="BS106" i="4"/>
  <c r="BR132" i="4"/>
  <c r="BS40" i="4"/>
  <c r="BT100" i="4"/>
  <c r="BR86" i="4"/>
  <c r="BT72" i="4"/>
  <c r="BS151" i="4"/>
  <c r="BS145" i="4"/>
  <c r="BS84" i="4"/>
  <c r="BS125" i="4"/>
  <c r="BT14" i="4"/>
  <c r="BR84" i="4"/>
  <c r="BS162" i="4"/>
  <c r="BT52" i="4"/>
  <c r="BR164" i="4"/>
  <c r="BR65" i="4"/>
  <c r="BT82" i="4"/>
  <c r="BQ86" i="4"/>
  <c r="BR27" i="4"/>
  <c r="BR41" i="4"/>
  <c r="BR50" i="4"/>
  <c r="BS30" i="4"/>
  <c r="BQ144" i="4"/>
  <c r="BR37" i="4"/>
  <c r="BQ29" i="4"/>
  <c r="BS146" i="4"/>
  <c r="BS109" i="4"/>
  <c r="BQ89" i="4"/>
  <c r="BS114" i="4"/>
  <c r="BR55" i="4"/>
  <c r="BR68" i="4"/>
  <c r="BQ163" i="4"/>
  <c r="BR157" i="4"/>
  <c r="BQ31" i="4"/>
  <c r="BT18" i="4"/>
  <c r="BQ161" i="4"/>
  <c r="BR114" i="4"/>
  <c r="BT137" i="4"/>
  <c r="BT51" i="4"/>
  <c r="BP62" i="4"/>
  <c r="BP107" i="4"/>
  <c r="BP134" i="4"/>
  <c r="BP125" i="4"/>
  <c r="BP145" i="4"/>
  <c r="BT47" i="4"/>
  <c r="BR119" i="4"/>
  <c r="BQ164" i="4"/>
  <c r="BT48" i="4"/>
  <c r="BQ109" i="4"/>
  <c r="BQ141" i="4"/>
  <c r="BQ55" i="4"/>
  <c r="BT90" i="4"/>
  <c r="BS22" i="4"/>
  <c r="BS103" i="4"/>
  <c r="BQ118" i="4"/>
  <c r="BQ123" i="4"/>
  <c r="BS76" i="4"/>
  <c r="BR85" i="4"/>
  <c r="BS119" i="4"/>
  <c r="BR143" i="4"/>
  <c r="BR16" i="4"/>
  <c r="BR78" i="4"/>
  <c r="BR147" i="4"/>
  <c r="BQ139" i="4"/>
  <c r="BR34" i="4"/>
  <c r="BT75" i="4"/>
  <c r="BT59" i="4"/>
  <c r="BQ49" i="4"/>
  <c r="BQ97" i="4"/>
  <c r="BR121" i="4"/>
  <c r="BS164" i="4"/>
  <c r="BQ70" i="4"/>
  <c r="BT13" i="4"/>
  <c r="BS34" i="4"/>
  <c r="BQ94" i="4"/>
  <c r="BR53" i="4"/>
  <c r="BT43" i="4"/>
  <c r="BS66" i="4"/>
  <c r="BT112" i="4"/>
  <c r="BT125" i="4"/>
  <c r="BS123" i="4"/>
  <c r="BT56" i="4"/>
  <c r="BT86" i="4"/>
  <c r="BQ85" i="4"/>
  <c r="BT96" i="4"/>
  <c r="BS56" i="4"/>
  <c r="BQ91" i="4"/>
  <c r="BR124" i="4"/>
  <c r="BT144" i="4"/>
  <c r="BS152" i="4"/>
  <c r="BR87" i="4"/>
  <c r="BT132" i="4"/>
  <c r="BR150" i="4"/>
  <c r="BR33" i="4"/>
  <c r="BQ98" i="4"/>
  <c r="BR75" i="4"/>
  <c r="BQ110" i="4"/>
  <c r="BS52" i="4"/>
  <c r="BR144" i="4"/>
  <c r="BT21" i="4"/>
  <c r="BR159" i="4"/>
  <c r="BS105" i="4"/>
  <c r="BT33" i="4"/>
  <c r="BQ111" i="4"/>
  <c r="BT19" i="4"/>
  <c r="BS13" i="4"/>
  <c r="BT130" i="4"/>
  <c r="BR43" i="4"/>
  <c r="BR62" i="4"/>
  <c r="BR48" i="4"/>
  <c r="BQ52" i="4"/>
  <c r="BQ69" i="4"/>
  <c r="BS95" i="4"/>
  <c r="BT44" i="4"/>
  <c r="BT129" i="4"/>
  <c r="BS150" i="4"/>
  <c r="BS68" i="4"/>
  <c r="BQ84" i="4"/>
  <c r="BT37" i="4"/>
  <c r="BT39" i="4"/>
  <c r="BQ87" i="4"/>
  <c r="BR94" i="4"/>
  <c r="BT135" i="4"/>
  <c r="BR38" i="4"/>
  <c r="BT102" i="4"/>
  <c r="BS51" i="4"/>
  <c r="BS155" i="4"/>
  <c r="BT107" i="4"/>
  <c r="BP17" i="4"/>
  <c r="BP77" i="4"/>
  <c r="BP28" i="4"/>
  <c r="BP42" i="4"/>
  <c r="BP13" i="4"/>
  <c r="BP73" i="4"/>
  <c r="BP39" i="4"/>
  <c r="BP79" i="4"/>
  <c r="BP116" i="4"/>
  <c r="BP142" i="4"/>
  <c r="BP29" i="4"/>
  <c r="BP80" i="4"/>
  <c r="BP20" i="4"/>
  <c r="BP163" i="4"/>
  <c r="BP60" i="4"/>
  <c r="BP92" i="4"/>
  <c r="BP139" i="4"/>
  <c r="BP133" i="4"/>
  <c r="BP19" i="4"/>
  <c r="BP59" i="4"/>
  <c r="BQ130" i="4"/>
  <c r="BQ57" i="4"/>
  <c r="BQ65" i="4"/>
  <c r="BT34" i="4"/>
  <c r="BT54" i="4"/>
  <c r="BR136" i="4"/>
  <c r="BT126" i="4"/>
  <c r="BR130" i="4"/>
  <c r="BQ40" i="4"/>
  <c r="BR145" i="4"/>
  <c r="BS28" i="4"/>
  <c r="BR51" i="4"/>
  <c r="BQ127" i="4"/>
  <c r="BR71" i="4"/>
  <c r="BS124" i="4"/>
  <c r="BR135" i="4"/>
  <c r="BT139" i="4"/>
  <c r="BT77" i="4"/>
  <c r="BR106" i="4"/>
  <c r="BT127" i="4"/>
  <c r="BS140" i="4"/>
  <c r="BQ113" i="4"/>
  <c r="BR21" i="4"/>
  <c r="BT55" i="4"/>
  <c r="BQ54" i="4"/>
  <c r="BQ82" i="4"/>
  <c r="BQ53" i="4"/>
  <c r="BR158" i="4"/>
  <c r="BS102" i="4"/>
  <c r="BS110" i="4"/>
  <c r="BT85" i="4"/>
  <c r="BS79" i="4"/>
  <c r="BR52" i="4"/>
  <c r="BS122" i="4"/>
  <c r="BQ146" i="4"/>
  <c r="BS25" i="4"/>
  <c r="BQ30" i="4"/>
  <c r="BR45" i="4"/>
  <c r="BS163" i="4"/>
  <c r="BR98" i="4"/>
  <c r="BR137" i="4"/>
  <c r="BT103" i="4"/>
  <c r="BQ151" i="4"/>
  <c r="BQ63" i="4"/>
  <c r="BS154" i="4"/>
  <c r="BT64" i="4"/>
  <c r="BS60" i="4"/>
  <c r="BS86" i="4"/>
  <c r="BT141" i="4"/>
  <c r="BR146" i="4"/>
  <c r="BQ154" i="4"/>
  <c r="BT140" i="4"/>
  <c r="BS130" i="4"/>
  <c r="BT136" i="4"/>
  <c r="BR160" i="4"/>
  <c r="BT45" i="4"/>
  <c r="BQ143" i="4"/>
  <c r="BQ78" i="4"/>
  <c r="BQ64" i="4"/>
  <c r="BT24" i="4"/>
  <c r="BS65" i="4"/>
  <c r="BS16" i="4"/>
  <c r="BS41" i="4"/>
  <c r="BR113" i="4"/>
  <c r="BR49" i="4"/>
  <c r="BQ119" i="4"/>
  <c r="BS54" i="4"/>
  <c r="BQ73" i="4"/>
  <c r="BR74" i="4"/>
  <c r="BT157" i="4"/>
  <c r="BT53" i="4"/>
  <c r="BQ46" i="4"/>
  <c r="BS99" i="4"/>
  <c r="BS64" i="4"/>
  <c r="BS153" i="4"/>
  <c r="BQ156" i="4"/>
  <c r="BT94" i="4"/>
  <c r="BT20" i="4"/>
  <c r="BS143" i="4"/>
  <c r="BT119" i="4"/>
  <c r="BT76" i="4"/>
  <c r="BT74" i="4"/>
  <c r="BQ132" i="4"/>
  <c r="BR20" i="4"/>
  <c r="BS33" i="4"/>
  <c r="BQ105" i="4"/>
  <c r="BR101" i="4"/>
  <c r="BT150" i="4"/>
  <c r="BT16" i="4"/>
  <c r="BQ95" i="4"/>
  <c r="BQ25" i="4"/>
  <c r="BS47" i="4"/>
  <c r="BS157" i="4"/>
  <c r="BR131" i="4"/>
  <c r="BQ81" i="4"/>
  <c r="BT95" i="4"/>
  <c r="BT118" i="4"/>
  <c r="BT57" i="4"/>
  <c r="BT71" i="4"/>
  <c r="BR92" i="4"/>
  <c r="BS96" i="4"/>
  <c r="BT158" i="4"/>
  <c r="BS101" i="4"/>
  <c r="BR69" i="4"/>
  <c r="BR18" i="4"/>
  <c r="BS18" i="4"/>
  <c r="BR83" i="4"/>
  <c r="BT31" i="4"/>
  <c r="BP112" i="4"/>
  <c r="BP108" i="4"/>
  <c r="BP119" i="4"/>
  <c r="BP30" i="4"/>
  <c r="BP94" i="4"/>
  <c r="BP69" i="4"/>
  <c r="BP55" i="4"/>
  <c r="BP74" i="4"/>
  <c r="BP101" i="4"/>
  <c r="BP151" i="4"/>
  <c r="BP38" i="4"/>
  <c r="BP123" i="4"/>
  <c r="BP51" i="4"/>
  <c r="BP95" i="4"/>
  <c r="BP83" i="4"/>
  <c r="BP132" i="4"/>
  <c r="BP143" i="4"/>
  <c r="BP148" i="4"/>
  <c r="BP96" i="4"/>
  <c r="BP140" i="4"/>
  <c r="BQ28" i="4"/>
  <c r="BT143" i="4"/>
  <c r="BT68" i="4"/>
  <c r="BS144" i="4"/>
  <c r="BT30" i="4"/>
  <c r="BT110" i="4"/>
  <c r="BT104" i="4"/>
  <c r="BT23" i="4"/>
  <c r="BQ101" i="4"/>
  <c r="BR29" i="4"/>
  <c r="BR54" i="4"/>
  <c r="BS100" i="4"/>
  <c r="BR59" i="4"/>
  <c r="BT133" i="4"/>
  <c r="BT142" i="4"/>
  <c r="BS158" i="4"/>
  <c r="BS149" i="4"/>
  <c r="BR107" i="4"/>
  <c r="BT40" i="4"/>
  <c r="BT161" i="4"/>
  <c r="BQ134" i="4"/>
  <c r="BQ24" i="4"/>
  <c r="BS85" i="4"/>
  <c r="BR23" i="4"/>
  <c r="BT89" i="4"/>
  <c r="BR47" i="4"/>
  <c r="BQ90" i="4"/>
  <c r="BQ76" i="4"/>
  <c r="BR36" i="4"/>
  <c r="BS45" i="4"/>
  <c r="BS46" i="4"/>
  <c r="BR77" i="4"/>
  <c r="BR126" i="4"/>
  <c r="BS133" i="4"/>
  <c r="BS31" i="4"/>
  <c r="BQ103" i="4"/>
  <c r="BR133" i="4"/>
  <c r="BT151" i="4"/>
  <c r="BS116" i="4"/>
  <c r="BQ162" i="4"/>
  <c r="BT66" i="4"/>
  <c r="BQ36" i="4"/>
  <c r="BS138" i="4"/>
  <c r="BR138" i="4"/>
  <c r="BQ125" i="4"/>
  <c r="BQ26" i="4"/>
  <c r="BR95" i="4"/>
  <c r="BQ136" i="4"/>
  <c r="BS20" i="4"/>
  <c r="BR97" i="4"/>
  <c r="BQ129" i="4"/>
  <c r="BR57" i="4"/>
  <c r="BS161" i="4"/>
  <c r="BS82" i="4"/>
  <c r="BT29" i="4"/>
  <c r="BQ67" i="4"/>
  <c r="BQ147" i="4"/>
  <c r="BR96" i="4"/>
  <c r="BS17" i="4"/>
  <c r="BQ60" i="4"/>
  <c r="BQ160" i="4"/>
  <c r="BT99" i="4"/>
  <c r="BQ131" i="4"/>
  <c r="BQ121" i="4"/>
  <c r="BQ17" i="4"/>
  <c r="BS59" i="4"/>
  <c r="BR79" i="4"/>
  <c r="BR58" i="4"/>
  <c r="BQ39" i="4"/>
  <c r="BS108" i="4"/>
  <c r="BT84" i="4"/>
  <c r="BS121" i="4"/>
  <c r="BT154" i="4"/>
  <c r="BS120" i="4"/>
  <c r="BT101" i="4"/>
  <c r="BQ72" i="4"/>
  <c r="BT145" i="4"/>
  <c r="BQ79" i="4"/>
  <c r="BR39" i="4"/>
  <c r="BQ114" i="4"/>
  <c r="BS72" i="4"/>
  <c r="BT122" i="4"/>
  <c r="BR93" i="4"/>
  <c r="BS92" i="4"/>
  <c r="BR17" i="4"/>
  <c r="BS49" i="4"/>
  <c r="BR104" i="4"/>
  <c r="BR112" i="4"/>
  <c r="BQ33" i="4"/>
  <c r="BR66" i="4"/>
  <c r="BQ35" i="4"/>
  <c r="BQ92" i="4"/>
  <c r="BR155" i="4"/>
  <c r="BR72" i="4"/>
  <c r="BS148" i="4"/>
  <c r="BT62" i="4"/>
  <c r="BQ140" i="4"/>
  <c r="BR22" i="4"/>
  <c r="BQ15" i="4"/>
  <c r="BT65" i="4"/>
  <c r="BS93" i="4"/>
  <c r="BQ106" i="4"/>
  <c r="BS70" i="4"/>
  <c r="BT153" i="4"/>
  <c r="BT28" i="4"/>
  <c r="BS44" i="4"/>
  <c r="BR122" i="4"/>
  <c r="BP124" i="4"/>
  <c r="BP47" i="4"/>
  <c r="BP115" i="4"/>
  <c r="BP49" i="4"/>
  <c r="BP88" i="4"/>
  <c r="BP53" i="4"/>
  <c r="BP90" i="4"/>
  <c r="BP162" i="4"/>
  <c r="BP126" i="4"/>
  <c r="BP147" i="4"/>
  <c r="BP97" i="4"/>
  <c r="BP66" i="4"/>
  <c r="BP84" i="4"/>
  <c r="BP121" i="4"/>
  <c r="BP35" i="4"/>
  <c r="BP141" i="4"/>
  <c r="BP18" i="4"/>
  <c r="BP12" i="4"/>
  <c r="BP117" i="4"/>
  <c r="BP155" i="4"/>
  <c r="BQ126" i="4"/>
  <c r="BT60" i="4"/>
  <c r="BS117" i="4"/>
  <c r="BT105" i="4"/>
  <c r="BT117" i="4"/>
  <c r="BR32" i="4"/>
  <c r="BR149" i="4"/>
  <c r="BS141" i="4"/>
  <c r="BQ100" i="4"/>
  <c r="BR163" i="4"/>
  <c r="BQ124" i="4"/>
  <c r="BQ133" i="4"/>
  <c r="BT123" i="4"/>
  <c r="BQ42" i="4"/>
  <c r="BT164" i="4"/>
  <c r="BR56" i="4"/>
  <c r="BT92" i="4"/>
  <c r="BS21" i="4"/>
  <c r="BT156" i="4"/>
  <c r="BQ158" i="4"/>
  <c r="BQ159" i="4"/>
  <c r="BR64" i="4"/>
  <c r="BS156" i="4"/>
  <c r="BS97" i="4"/>
  <c r="BQ108" i="4"/>
  <c r="BQ68" i="4"/>
  <c r="BR28" i="4"/>
  <c r="BQ157" i="4"/>
  <c r="BS81" i="4"/>
  <c r="BS98" i="4"/>
  <c r="BR118" i="4"/>
  <c r="BR162" i="4"/>
  <c r="BS48" i="4"/>
  <c r="BT97" i="4"/>
  <c r="BR127" i="4"/>
  <c r="BQ116" i="4"/>
  <c r="BS126" i="4"/>
  <c r="BR89" i="4"/>
  <c r="BS137" i="4"/>
  <c r="BS160" i="4"/>
  <c r="BT159" i="4"/>
  <c r="BT36" i="4"/>
  <c r="BS75" i="4"/>
  <c r="BS80" i="4"/>
  <c r="BS94" i="4"/>
  <c r="BQ16" i="4"/>
  <c r="BQ21" i="4"/>
  <c r="BQ20" i="4"/>
  <c r="BQ99" i="4"/>
  <c r="BR60" i="4"/>
  <c r="BR99" i="4"/>
  <c r="BR153" i="4"/>
  <c r="BQ112" i="4"/>
  <c r="BT22" i="4"/>
  <c r="BS38" i="4"/>
  <c r="BR115" i="4"/>
  <c r="BT87" i="4"/>
  <c r="BR82" i="4"/>
  <c r="BT160" i="4"/>
  <c r="BS26" i="4"/>
  <c r="BS131" i="4"/>
  <c r="BR19" i="4"/>
  <c r="BR80" i="4"/>
  <c r="BR129" i="4"/>
  <c r="BT80" i="4"/>
  <c r="BS112" i="4"/>
  <c r="BR26" i="4"/>
  <c r="BQ93" i="4"/>
  <c r="BQ14" i="4"/>
  <c r="BQ23" i="4"/>
  <c r="BR156" i="4"/>
  <c r="BS39" i="4"/>
  <c r="BS74" i="4"/>
  <c r="BR140" i="4"/>
  <c r="BT17" i="4"/>
  <c r="BS23" i="4"/>
  <c r="BT50" i="4"/>
  <c r="BS42" i="4"/>
  <c r="BS63" i="4"/>
  <c r="BQ80" i="4"/>
  <c r="BT83" i="4"/>
  <c r="BQ56" i="4"/>
  <c r="BT111" i="4"/>
  <c r="BS128" i="4"/>
  <c r="BS115" i="4"/>
  <c r="BQ61" i="4"/>
  <c r="BR88" i="4"/>
  <c r="BS36" i="4"/>
  <c r="BT81" i="4"/>
  <c r="BR30" i="4"/>
  <c r="BQ58" i="4"/>
  <c r="BR117" i="4"/>
  <c r="BR42" i="4"/>
  <c r="BR111" i="4"/>
  <c r="BQ74" i="4"/>
  <c r="BT63" i="4"/>
  <c r="BR24" i="4"/>
  <c r="BQ75" i="4"/>
  <c r="BT115" i="4"/>
  <c r="BR35" i="4"/>
  <c r="BS67" i="4"/>
  <c r="BR100" i="4"/>
  <c r="BS69" i="4"/>
  <c r="BS88" i="4"/>
  <c r="BS53" i="4"/>
  <c r="BS90" i="4"/>
  <c r="BP78" i="4"/>
  <c r="BP164" i="4"/>
  <c r="BP144" i="4"/>
  <c r="BP150" i="4"/>
  <c r="BP99" i="4"/>
  <c r="BP70" i="4"/>
  <c r="BP137" i="4"/>
  <c r="BP9" i="4"/>
  <c r="BP33" i="4"/>
  <c r="BP27" i="4"/>
  <c r="BP98" i="4"/>
  <c r="BP37" i="4"/>
  <c r="BP40" i="4"/>
  <c r="BP8" i="4"/>
  <c r="BP10" i="4"/>
  <c r="BP146" i="4"/>
  <c r="BP106" i="4"/>
  <c r="BP23" i="4"/>
  <c r="BP81" i="4"/>
  <c r="BP57" i="4"/>
  <c r="BS58" i="4"/>
  <c r="BQ104" i="4"/>
  <c r="BR31" i="4"/>
  <c r="BT162" i="4"/>
  <c r="BS83" i="4"/>
  <c r="BR152" i="4"/>
  <c r="BR61" i="4"/>
  <c r="BQ41" i="4"/>
  <c r="BS71" i="4"/>
  <c r="BS50" i="4"/>
  <c r="BT106" i="4"/>
  <c r="BP67" i="4"/>
  <c r="BP56" i="4"/>
  <c r="BP16" i="4"/>
  <c r="BP50" i="4"/>
  <c r="BP24" i="4"/>
  <c r="BP120" i="4"/>
  <c r="BP54" i="4"/>
  <c r="BS104" i="4"/>
  <c r="BS77" i="4"/>
  <c r="BQ34" i="4"/>
  <c r="BQ150" i="4"/>
  <c r="BS32" i="4"/>
  <c r="BT27" i="4"/>
  <c r="BR134" i="4"/>
  <c r="BR102" i="4"/>
  <c r="BR141" i="4"/>
  <c r="BS89" i="4"/>
  <c r="BT46" i="4"/>
  <c r="BT146" i="4"/>
  <c r="BP43" i="4"/>
  <c r="BP136" i="4"/>
  <c r="BP111" i="4"/>
  <c r="BP109" i="4"/>
  <c r="BP153" i="4"/>
  <c r="BR116" i="4"/>
  <c r="BQ59" i="4"/>
  <c r="BS27" i="4"/>
  <c r="BQ45" i="4"/>
  <c r="BP31" i="4"/>
  <c r="BP122" i="4"/>
  <c r="BP63" i="4"/>
  <c r="BQ43" i="4"/>
  <c r="BS91" i="4"/>
  <c r="BT25" i="4"/>
  <c r="BR110" i="4"/>
  <c r="BP76" i="4"/>
  <c r="BP48" i="4"/>
  <c r="BP113" i="4"/>
  <c r="BP86" i="4"/>
  <c r="BP103" i="4"/>
  <c r="BS118" i="4"/>
  <c r="BQ122" i="4"/>
  <c r="BQ19" i="4"/>
  <c r="BT42" i="4"/>
  <c r="BP138" i="4"/>
  <c r="BP11" i="4"/>
  <c r="BP52" i="4"/>
  <c r="BP21" i="4"/>
  <c r="BP158" i="4"/>
  <c r="BR109" i="4"/>
  <c r="BQ83" i="4"/>
  <c r="BR123" i="4"/>
  <c r="BQ47" i="4"/>
  <c r="BP149" i="4"/>
  <c r="BP127" i="4"/>
  <c r="BP157" i="4"/>
  <c r="BP41" i="4"/>
  <c r="BP14" i="4"/>
  <c r="BQ27" i="4"/>
  <c r="BS24" i="4"/>
  <c r="BP135" i="4"/>
  <c r="BP160" i="4"/>
  <c r="BT131" i="4"/>
  <c r="BT70" i="4"/>
  <c r="BQ22" i="4"/>
  <c r="BT91" i="4"/>
  <c r="BP110" i="4"/>
  <c r="BP118" i="4"/>
  <c r="BP44" i="4"/>
  <c r="BP15" i="4"/>
  <c r="BP85" i="4"/>
  <c r="BT138" i="4"/>
  <c r="BQ128" i="4"/>
  <c r="BP87" i="4"/>
  <c r="BS78" i="4"/>
  <c r="BQ155" i="4"/>
  <c r="BQ50" i="4"/>
  <c r="BS107" i="4"/>
  <c r="BP45" i="4"/>
  <c r="BP34" i="4"/>
  <c r="BP100" i="4"/>
  <c r="BP91" i="4"/>
  <c r="BP65" i="4"/>
  <c r="BQ153" i="4"/>
  <c r="BP7" i="4"/>
  <c r="BP75" i="4"/>
  <c r="BP156" i="4"/>
  <c r="BP102" i="4"/>
  <c r="BP6" i="4"/>
  <c r="CS6" i="4" l="1"/>
  <c r="CS102" i="4"/>
  <c r="CS156" i="4"/>
  <c r="CS75" i="4"/>
  <c r="CX75" i="4" s="1"/>
  <c r="CS7" i="4"/>
  <c r="CT153" i="4"/>
  <c r="CS65" i="4"/>
  <c r="CS91" i="4"/>
  <c r="CS100" i="4"/>
  <c r="CS34" i="4"/>
  <c r="CX34" i="4" s="1"/>
  <c r="CS45" i="4"/>
  <c r="CV107" i="4"/>
  <c r="CT50" i="4"/>
  <c r="CT155" i="4"/>
  <c r="CV78" i="4"/>
  <c r="CS87" i="4"/>
  <c r="CX87" i="4" s="1"/>
  <c r="CT128" i="4"/>
  <c r="CW138" i="4"/>
  <c r="CS85" i="4"/>
  <c r="CS15" i="4"/>
  <c r="CX15" i="4" s="1"/>
  <c r="CS44" i="4"/>
  <c r="CX44" i="4" s="1"/>
  <c r="CS118" i="4"/>
  <c r="CS110" i="4"/>
  <c r="CX110" i="4" s="1"/>
  <c r="CW91" i="4"/>
  <c r="CT22" i="4"/>
  <c r="CW70" i="4"/>
  <c r="CW131" i="4"/>
  <c r="CS160" i="4"/>
  <c r="CS135" i="4"/>
  <c r="CV24" i="4"/>
  <c r="CT27" i="4"/>
  <c r="CS14" i="4"/>
  <c r="CS41" i="4"/>
  <c r="CS157" i="4"/>
  <c r="CX157" i="4" s="1"/>
  <c r="CS127" i="4"/>
  <c r="CS149" i="4"/>
  <c r="CT47" i="4"/>
  <c r="CU123" i="4"/>
  <c r="CT83" i="4"/>
  <c r="CU109" i="4"/>
  <c r="CS158" i="4"/>
  <c r="CX158" i="4" s="1"/>
  <c r="CS21" i="4"/>
  <c r="CS52" i="4"/>
  <c r="CS11" i="4"/>
  <c r="CS138" i="4"/>
  <c r="CW42" i="4"/>
  <c r="CT19" i="4"/>
  <c r="CT122" i="4"/>
  <c r="CV118" i="4"/>
  <c r="CS103" i="4"/>
  <c r="CX103" i="4" s="1"/>
  <c r="CS86" i="4"/>
  <c r="CX86" i="4" s="1"/>
  <c r="CS113" i="4"/>
  <c r="CS48" i="4"/>
  <c r="CS76" i="4"/>
  <c r="CU110" i="4"/>
  <c r="CW25" i="4"/>
  <c r="CV91" i="4"/>
  <c r="CT43" i="4"/>
  <c r="CS63" i="4"/>
  <c r="CS122" i="4"/>
  <c r="CS31" i="4"/>
  <c r="CT45" i="4"/>
  <c r="CV27" i="4"/>
  <c r="CT59" i="4"/>
  <c r="CU116" i="4"/>
  <c r="CS153" i="4"/>
  <c r="CS109" i="4"/>
  <c r="CS111" i="4"/>
  <c r="CX111" i="4" s="1"/>
  <c r="CS136" i="4"/>
  <c r="CX136" i="4" s="1"/>
  <c r="CS43" i="4"/>
  <c r="CW146" i="4"/>
  <c r="CW46" i="4"/>
  <c r="CV89" i="4"/>
  <c r="CU141" i="4"/>
  <c r="CU102" i="4"/>
  <c r="CU134" i="4"/>
  <c r="CW27" i="4"/>
  <c r="CV32" i="4"/>
  <c r="CT150" i="4"/>
  <c r="CT34" i="4"/>
  <c r="CV77" i="4"/>
  <c r="CV104" i="4"/>
  <c r="CS54" i="4"/>
  <c r="CS120" i="4"/>
  <c r="CX120" i="4" s="1"/>
  <c r="CS24" i="4"/>
  <c r="CX24" i="4" s="1"/>
  <c r="CS50" i="4"/>
  <c r="CS16" i="4"/>
  <c r="CS56" i="4"/>
  <c r="CS67" i="4"/>
  <c r="CX67" i="4" s="1"/>
  <c r="CW106" i="4"/>
  <c r="CV50" i="4"/>
  <c r="CV71" i="4"/>
  <c r="CT41" i="4"/>
  <c r="CU61" i="4"/>
  <c r="CU152" i="4"/>
  <c r="CV83" i="4"/>
  <c r="CW162" i="4"/>
  <c r="CU31" i="4"/>
  <c r="CT104" i="4"/>
  <c r="CV58" i="4"/>
  <c r="CS57" i="4"/>
  <c r="CX57" i="4" s="1"/>
  <c r="CS81" i="4"/>
  <c r="CS23" i="4"/>
  <c r="CS106" i="4"/>
  <c r="CS146" i="4"/>
  <c r="CS10" i="4"/>
  <c r="CS8" i="4"/>
  <c r="CS40" i="4"/>
  <c r="CX40" i="4" s="1"/>
  <c r="CS37" i="4"/>
  <c r="CS98" i="4"/>
  <c r="CS27" i="4"/>
  <c r="CS33" i="4"/>
  <c r="CS9" i="4"/>
  <c r="CX9" i="4" s="1"/>
  <c r="CS137" i="4"/>
  <c r="CX137" i="4" s="1"/>
  <c r="CS70" i="4"/>
  <c r="CS99" i="4"/>
  <c r="CX99" i="4" s="1"/>
  <c r="CS150" i="4"/>
  <c r="CX150" i="4" s="1"/>
  <c r="CS144" i="4"/>
  <c r="CS164" i="4"/>
  <c r="CS78" i="4"/>
  <c r="CV90" i="4"/>
  <c r="DA90" i="4" s="1"/>
  <c r="CV53" i="4"/>
  <c r="CV88" i="4"/>
  <c r="CV69" i="4"/>
  <c r="CU100" i="4"/>
  <c r="CZ100" i="4" s="1"/>
  <c r="CV67" i="4"/>
  <c r="CU35" i="4"/>
  <c r="CW115" i="4"/>
  <c r="CT75" i="4"/>
  <c r="CU24" i="4"/>
  <c r="CW63" i="4"/>
  <c r="CT74" i="4"/>
  <c r="CU111" i="4"/>
  <c r="CZ111" i="4" s="1"/>
  <c r="CU42" i="4"/>
  <c r="CU117" i="4"/>
  <c r="CT58" i="4"/>
  <c r="CU30" i="4"/>
  <c r="CW81" i="4"/>
  <c r="CV36" i="4"/>
  <c r="CU88" i="4"/>
  <c r="CT61" i="4"/>
  <c r="CV115" i="4"/>
  <c r="CV128" i="4"/>
  <c r="CW111" i="4"/>
  <c r="CT56" i="4"/>
  <c r="CW83" i="4"/>
  <c r="CT80" i="4"/>
  <c r="CV63" i="4"/>
  <c r="CV42" i="4"/>
  <c r="CW50" i="4"/>
  <c r="CV23" i="4"/>
  <c r="CW17" i="4"/>
  <c r="CU140" i="4"/>
  <c r="CV74" i="4"/>
  <c r="CV39" i="4"/>
  <c r="CU156" i="4"/>
  <c r="CT23" i="4"/>
  <c r="CY23" i="4" s="1"/>
  <c r="CT14" i="4"/>
  <c r="CY14" i="4" s="1"/>
  <c r="CT93" i="4"/>
  <c r="CU26" i="4"/>
  <c r="CV112" i="4"/>
  <c r="CW80" i="4"/>
  <c r="CU129" i="4"/>
  <c r="CU80" i="4"/>
  <c r="CU19" i="4"/>
  <c r="CV131" i="4"/>
  <c r="CV26" i="4"/>
  <c r="CW160" i="4"/>
  <c r="CU82" i="4"/>
  <c r="CW87" i="4"/>
  <c r="CU115" i="4"/>
  <c r="CV38" i="4"/>
  <c r="CW22" i="4"/>
  <c r="CT112" i="4"/>
  <c r="CU153" i="4"/>
  <c r="CZ153" i="4" s="1"/>
  <c r="CU99" i="4"/>
  <c r="CU60" i="4"/>
  <c r="CT99" i="4"/>
  <c r="CT20" i="4"/>
  <c r="CY20" i="4" s="1"/>
  <c r="CT21" i="4"/>
  <c r="CT16" i="4"/>
  <c r="CY16" i="4" s="1"/>
  <c r="CV94" i="4"/>
  <c r="CV80" i="4"/>
  <c r="CV75" i="4"/>
  <c r="CW36" i="4"/>
  <c r="CW159" i="4"/>
  <c r="CV160" i="4"/>
  <c r="CV137" i="4"/>
  <c r="CU89" i="4"/>
  <c r="CZ89" i="4" s="1"/>
  <c r="CV126" i="4"/>
  <c r="CT116" i="4"/>
  <c r="CU127" i="4"/>
  <c r="CW97" i="4"/>
  <c r="CV48" i="4"/>
  <c r="CU162" i="4"/>
  <c r="CU118" i="4"/>
  <c r="CZ118" i="4" s="1"/>
  <c r="CV98" i="4"/>
  <c r="DA98" i="4" s="1"/>
  <c r="CV81" i="4"/>
  <c r="DA81" i="4" s="1"/>
  <c r="CT157" i="4"/>
  <c r="CU28" i="4"/>
  <c r="CT68" i="4"/>
  <c r="CT108" i="4"/>
  <c r="CV97" i="4"/>
  <c r="CV156" i="4"/>
  <c r="CU64" i="4"/>
  <c r="CT159" i="4"/>
  <c r="CT158" i="4"/>
  <c r="CY158" i="4" s="1"/>
  <c r="CW156" i="4"/>
  <c r="CV21" i="4"/>
  <c r="CW92" i="4"/>
  <c r="DB92" i="4" s="1"/>
  <c r="CU56" i="4"/>
  <c r="CW164" i="4"/>
  <c r="CT42" i="4"/>
  <c r="CY42" i="4" s="1"/>
  <c r="CW123" i="4"/>
  <c r="CT133" i="4"/>
  <c r="CT124" i="4"/>
  <c r="CU163" i="4"/>
  <c r="CT100" i="4"/>
  <c r="CY100" i="4" s="1"/>
  <c r="CV141" i="4"/>
  <c r="CU149" i="4"/>
  <c r="CU32" i="4"/>
  <c r="CZ32" i="4" s="1"/>
  <c r="CW117" i="4"/>
  <c r="CW105" i="4"/>
  <c r="CV117" i="4"/>
  <c r="CW60" i="4"/>
  <c r="CT126" i="4"/>
  <c r="CS155" i="4"/>
  <c r="CS117" i="4"/>
  <c r="CS12" i="4"/>
  <c r="CX12" i="4" s="1"/>
  <c r="CS18" i="4"/>
  <c r="CS141" i="4"/>
  <c r="CS35" i="4"/>
  <c r="CS121" i="4"/>
  <c r="CX121" i="4" s="1"/>
  <c r="CS84" i="4"/>
  <c r="CX84" i="4" s="1"/>
  <c r="CS66" i="4"/>
  <c r="CX66" i="4" s="1"/>
  <c r="CS97" i="4"/>
  <c r="CX97" i="4" s="1"/>
  <c r="CS147" i="4"/>
  <c r="CX147" i="4" s="1"/>
  <c r="CS126" i="4"/>
  <c r="CS162" i="4"/>
  <c r="CS90" i="4"/>
  <c r="CS53" i="4"/>
  <c r="CX53" i="4" s="1"/>
  <c r="CS88" i="4"/>
  <c r="CX88" i="4" s="1"/>
  <c r="CS49" i="4"/>
  <c r="CS115" i="4"/>
  <c r="CS47" i="4"/>
  <c r="CS124" i="4"/>
  <c r="CU122" i="4"/>
  <c r="CV44" i="4"/>
  <c r="CW28" i="4"/>
  <c r="CW153" i="4"/>
  <c r="CV70" i="4"/>
  <c r="CT106" i="4"/>
  <c r="CV93" i="4"/>
  <c r="DA93" i="4" s="1"/>
  <c r="CW65" i="4"/>
  <c r="CT15" i="4"/>
  <c r="CU22" i="4"/>
  <c r="CT140" i="4"/>
  <c r="CW62" i="4"/>
  <c r="CV148" i="4"/>
  <c r="CU72" i="4"/>
  <c r="CU155" i="4"/>
  <c r="CT92" i="4"/>
  <c r="CT35" i="4"/>
  <c r="CY35" i="4" s="1"/>
  <c r="CU66" i="4"/>
  <c r="CT33" i="4"/>
  <c r="CU112" i="4"/>
  <c r="CU104" i="4"/>
  <c r="CV49" i="4"/>
  <c r="DA49" i="4" s="1"/>
  <c r="CU17" i="4"/>
  <c r="CV92" i="4"/>
  <c r="CU93" i="4"/>
  <c r="CW122" i="4"/>
  <c r="CV72" i="4"/>
  <c r="DA72" i="4" s="1"/>
  <c r="CT114" i="4"/>
  <c r="CU39" i="4"/>
  <c r="CT79" i="4"/>
  <c r="CW145" i="4"/>
  <c r="CT72" i="4"/>
  <c r="CW101" i="4"/>
  <c r="CV120" i="4"/>
  <c r="CW154" i="4"/>
  <c r="DB154" i="4" s="1"/>
  <c r="CV121" i="4"/>
  <c r="DA121" i="4" s="1"/>
  <c r="CW84" i="4"/>
  <c r="CV108" i="4"/>
  <c r="DA108" i="4" s="1"/>
  <c r="CT39" i="4"/>
  <c r="CU58" i="4"/>
  <c r="CU79" i="4"/>
  <c r="CV59" i="4"/>
  <c r="CT17" i="4"/>
  <c r="CT121" i="4"/>
  <c r="CT131" i="4"/>
  <c r="CW99" i="4"/>
  <c r="CT160" i="4"/>
  <c r="CY160" i="4" s="1"/>
  <c r="CT60" i="4"/>
  <c r="CY60" i="4" s="1"/>
  <c r="CV17" i="4"/>
  <c r="CU96" i="4"/>
  <c r="CT147" i="4"/>
  <c r="CT67" i="4"/>
  <c r="CW29" i="4"/>
  <c r="CV82" i="4"/>
  <c r="CV161" i="4"/>
  <c r="DA161" i="4" s="1"/>
  <c r="CU57" i="4"/>
  <c r="CZ57" i="4" s="1"/>
  <c r="CT129" i="4"/>
  <c r="CU97" i="4"/>
  <c r="CZ97" i="4" s="1"/>
  <c r="CV20" i="4"/>
  <c r="CT136" i="4"/>
  <c r="CU95" i="4"/>
  <c r="CT26" i="4"/>
  <c r="CT125" i="4"/>
  <c r="CY125" i="4" s="1"/>
  <c r="CU138" i="4"/>
  <c r="CV138" i="4"/>
  <c r="CT36" i="4"/>
  <c r="CY36" i="4" s="1"/>
  <c r="CW66" i="4"/>
  <c r="CT162" i="4"/>
  <c r="CV116" i="4"/>
  <c r="DA116" i="4" s="1"/>
  <c r="CW151" i="4"/>
  <c r="CU133" i="4"/>
  <c r="CT103" i="4"/>
  <c r="CV31" i="4"/>
  <c r="CV133" i="4"/>
  <c r="CU126" i="4"/>
  <c r="CU77" i="4"/>
  <c r="CV46" i="4"/>
  <c r="CV45" i="4"/>
  <c r="DA45" i="4" s="1"/>
  <c r="CU36" i="4"/>
  <c r="CZ36" i="4" s="1"/>
  <c r="CT76" i="4"/>
  <c r="CT90" i="4"/>
  <c r="CU47" i="4"/>
  <c r="CW89" i="4"/>
  <c r="CU23" i="4"/>
  <c r="CZ23" i="4" s="1"/>
  <c r="CV85" i="4"/>
  <c r="CT24" i="4"/>
  <c r="CT134" i="4"/>
  <c r="CY134" i="4" s="1"/>
  <c r="CW161" i="4"/>
  <c r="DB161" i="4" s="1"/>
  <c r="CW40" i="4"/>
  <c r="CU107" i="4"/>
  <c r="CV149" i="4"/>
  <c r="CV158" i="4"/>
  <c r="CW142" i="4"/>
  <c r="CW133" i="4"/>
  <c r="CU59" i="4"/>
  <c r="CZ59" i="4" s="1"/>
  <c r="CV100" i="4"/>
  <c r="CU54" i="4"/>
  <c r="CU29" i="4"/>
  <c r="CZ29" i="4" s="1"/>
  <c r="CT101" i="4"/>
  <c r="CY101" i="4" s="1"/>
  <c r="CW23" i="4"/>
  <c r="CW104" i="4"/>
  <c r="CW110" i="4"/>
  <c r="CW30" i="4"/>
  <c r="DB30" i="4" s="1"/>
  <c r="CV144" i="4"/>
  <c r="CW68" i="4"/>
  <c r="CW143" i="4"/>
  <c r="CT28" i="4"/>
  <c r="CY28" i="4" s="1"/>
  <c r="CS140" i="4"/>
  <c r="CS96" i="4"/>
  <c r="CS148" i="4"/>
  <c r="CX148" i="4" s="1"/>
  <c r="CS143" i="4"/>
  <c r="CS132" i="4"/>
  <c r="CS83" i="4"/>
  <c r="CS95" i="4"/>
  <c r="CS51" i="4"/>
  <c r="CX51" i="4" s="1"/>
  <c r="CS123" i="4"/>
  <c r="CX123" i="4" s="1"/>
  <c r="CS38" i="4"/>
  <c r="CS151" i="4"/>
  <c r="CX151" i="4" s="1"/>
  <c r="CS101" i="4"/>
  <c r="CX101" i="4" s="1"/>
  <c r="CS74" i="4"/>
  <c r="CS55" i="4"/>
  <c r="CX55" i="4" s="1"/>
  <c r="CS69" i="4"/>
  <c r="CS94" i="4"/>
  <c r="CS30" i="4"/>
  <c r="CX30" i="4" s="1"/>
  <c r="CS119" i="4"/>
  <c r="CX119" i="4" s="1"/>
  <c r="CS108" i="4"/>
  <c r="CS112" i="4"/>
  <c r="CX112" i="4" s="1"/>
  <c r="CW31" i="4"/>
  <c r="CU83" i="4"/>
  <c r="CV18" i="4"/>
  <c r="DA18" i="4" s="1"/>
  <c r="CU18" i="4"/>
  <c r="CU69" i="4"/>
  <c r="CV101" i="4"/>
  <c r="CW158" i="4"/>
  <c r="CV96" i="4"/>
  <c r="CU92" i="4"/>
  <c r="CW71" i="4"/>
  <c r="CW57" i="4"/>
  <c r="CW118" i="4"/>
  <c r="CW95" i="4"/>
  <c r="CT81" i="4"/>
  <c r="CY81" i="4" s="1"/>
  <c r="CU131" i="4"/>
  <c r="CV157" i="4"/>
  <c r="DA157" i="4" s="1"/>
  <c r="CV47" i="4"/>
  <c r="DA47" i="4" s="1"/>
  <c r="CT25" i="4"/>
  <c r="CT95" i="4"/>
  <c r="CW16" i="4"/>
  <c r="CW150" i="4"/>
  <c r="CU101" i="4"/>
  <c r="CT105" i="4"/>
  <c r="CY105" i="4" s="1"/>
  <c r="CV33" i="4"/>
  <c r="DA33" i="4" s="1"/>
  <c r="CU20" i="4"/>
  <c r="CT132" i="4"/>
  <c r="CW74" i="4"/>
  <c r="CW76" i="4"/>
  <c r="CW119" i="4"/>
  <c r="CV143" i="4"/>
  <c r="CW20" i="4"/>
  <c r="CW94" i="4"/>
  <c r="CT156" i="4"/>
  <c r="CY156" i="4" s="1"/>
  <c r="CV153" i="4"/>
  <c r="CV64" i="4"/>
  <c r="CV99" i="4"/>
  <c r="CT46" i="4"/>
  <c r="CY46" i="4" s="1"/>
  <c r="CW53" i="4"/>
  <c r="CW157" i="4"/>
  <c r="DB157" i="4" s="1"/>
  <c r="CU74" i="4"/>
  <c r="CZ74" i="4" s="1"/>
  <c r="CT73" i="4"/>
  <c r="CY73" i="4" s="1"/>
  <c r="CV54" i="4"/>
  <c r="CT119" i="4"/>
  <c r="CU49" i="4"/>
  <c r="CU113" i="4"/>
  <c r="CZ113" i="4" s="1"/>
  <c r="CV41" i="4"/>
  <c r="CV16" i="4"/>
  <c r="CV65" i="4"/>
  <c r="DA65" i="4" s="1"/>
  <c r="CW24" i="4"/>
  <c r="CT64" i="4"/>
  <c r="CT78" i="4"/>
  <c r="CT143" i="4"/>
  <c r="CW45" i="4"/>
  <c r="CU160" i="4"/>
  <c r="CW136" i="4"/>
  <c r="CV130" i="4"/>
  <c r="CW140" i="4"/>
  <c r="CT154" i="4"/>
  <c r="CY154" i="4" s="1"/>
  <c r="CU146" i="4"/>
  <c r="CW141" i="4"/>
  <c r="CV86" i="4"/>
  <c r="CV60" i="4"/>
  <c r="DA60" i="4" s="1"/>
  <c r="CW64" i="4"/>
  <c r="DB64" i="4" s="1"/>
  <c r="CV154" i="4"/>
  <c r="DA154" i="4" s="1"/>
  <c r="CT63" i="4"/>
  <c r="CT151" i="4"/>
  <c r="CY151" i="4" s="1"/>
  <c r="CW103" i="4"/>
  <c r="CU137" i="4"/>
  <c r="CU98" i="4"/>
  <c r="CZ98" i="4" s="1"/>
  <c r="CV163" i="4"/>
  <c r="CU45" i="4"/>
  <c r="CT30" i="4"/>
  <c r="CV25" i="4"/>
  <c r="DA25" i="4" s="1"/>
  <c r="CT146" i="4"/>
  <c r="CV122" i="4"/>
  <c r="CU52" i="4"/>
  <c r="CV79" i="4"/>
  <c r="DA79" i="4" s="1"/>
  <c r="CW85" i="4"/>
  <c r="DB85" i="4" s="1"/>
  <c r="CV110" i="4"/>
  <c r="CV102" i="4"/>
  <c r="DA102" i="4" s="1"/>
  <c r="CU158" i="4"/>
  <c r="CT53" i="4"/>
  <c r="CT82" i="4"/>
  <c r="CT54" i="4"/>
  <c r="CY54" i="4" s="1"/>
  <c r="CW55" i="4"/>
  <c r="CU21" i="4"/>
  <c r="CZ21" i="4" s="1"/>
  <c r="CT113" i="4"/>
  <c r="CY113" i="4" s="1"/>
  <c r="CV140" i="4"/>
  <c r="CW127" i="4"/>
  <c r="CU106" i="4"/>
  <c r="CW77" i="4"/>
  <c r="CW139" i="4"/>
  <c r="DB139" i="4" s="1"/>
  <c r="CU135" i="4"/>
  <c r="CZ135" i="4" s="1"/>
  <c r="CV124" i="4"/>
  <c r="CU71" i="4"/>
  <c r="CT127" i="4"/>
  <c r="CY127" i="4" s="1"/>
  <c r="CU51" i="4"/>
  <c r="CV28" i="4"/>
  <c r="DA28" i="4" s="1"/>
  <c r="CU145" i="4"/>
  <c r="CT40" i="4"/>
  <c r="CU130" i="4"/>
  <c r="CZ130" i="4" s="1"/>
  <c r="CW126" i="4"/>
  <c r="CU136" i="4"/>
  <c r="CZ136" i="4" s="1"/>
  <c r="CW54" i="4"/>
  <c r="DB54" i="4" s="1"/>
  <c r="CW34" i="4"/>
  <c r="CT65" i="4"/>
  <c r="CY65" i="4" s="1"/>
  <c r="CT57" i="4"/>
  <c r="CY57" i="4" s="1"/>
  <c r="CT130" i="4"/>
  <c r="CY130" i="4" s="1"/>
  <c r="CS59" i="4"/>
  <c r="CS19" i="4"/>
  <c r="CX19" i="4" s="1"/>
  <c r="CS133" i="4"/>
  <c r="CX133" i="4" s="1"/>
  <c r="CS139" i="4"/>
  <c r="CX139" i="4" s="1"/>
  <c r="CS92" i="4"/>
  <c r="CX92" i="4" s="1"/>
  <c r="CS60" i="4"/>
  <c r="CS163" i="4"/>
  <c r="CX163" i="4" s="1"/>
  <c r="CS20" i="4"/>
  <c r="CX20" i="4" s="1"/>
  <c r="CS80" i="4"/>
  <c r="CX80" i="4" s="1"/>
  <c r="CS29" i="4"/>
  <c r="CS142" i="4"/>
  <c r="CX142" i="4" s="1"/>
  <c r="CS116" i="4"/>
  <c r="CX116" i="4" s="1"/>
  <c r="CS79" i="4"/>
  <c r="CX79" i="4" s="1"/>
  <c r="CS39" i="4"/>
  <c r="CX39" i="4" s="1"/>
  <c r="CS73" i="4"/>
  <c r="CS13" i="4"/>
  <c r="CX13" i="4" s="1"/>
  <c r="CS42" i="4"/>
  <c r="CX42" i="4" s="1"/>
  <c r="CS28" i="4"/>
  <c r="CX28" i="4" s="1"/>
  <c r="CS77" i="4"/>
  <c r="CX77" i="4" s="1"/>
  <c r="CS17" i="4"/>
  <c r="CX17" i="4" s="1"/>
  <c r="CW107" i="4"/>
  <c r="DB107" i="4" s="1"/>
  <c r="CV155" i="4"/>
  <c r="CV51" i="4"/>
  <c r="DA51" i="4" s="1"/>
  <c r="CW102" i="4"/>
  <c r="DB102" i="4" s="1"/>
  <c r="CU38" i="4"/>
  <c r="CW135" i="4"/>
  <c r="CU94" i="4"/>
  <c r="CZ94" i="4" s="1"/>
  <c r="CT87" i="4"/>
  <c r="CW39" i="4"/>
  <c r="CW37" i="4"/>
  <c r="CT84" i="4"/>
  <c r="CY84" i="4" s="1"/>
  <c r="CV68" i="4"/>
  <c r="DA68" i="4" s="1"/>
  <c r="CV150" i="4"/>
  <c r="DA150" i="4" s="1"/>
  <c r="CW129" i="4"/>
  <c r="CW44" i="4"/>
  <c r="CV95" i="4"/>
  <c r="DA95" i="4" s="1"/>
  <c r="CT69" i="4"/>
  <c r="CT52" i="4"/>
  <c r="CU48" i="4"/>
  <c r="CZ48" i="4" s="1"/>
  <c r="CU62" i="4"/>
  <c r="CZ62" i="4" s="1"/>
  <c r="CU43" i="4"/>
  <c r="CZ43" i="4" s="1"/>
  <c r="CW130" i="4"/>
  <c r="DB130" i="4" s="1"/>
  <c r="CV13" i="4"/>
  <c r="DA13" i="4" s="1"/>
  <c r="CW19" i="4"/>
  <c r="DB19" i="4" s="1"/>
  <c r="CT111" i="4"/>
  <c r="CW33" i="4"/>
  <c r="CV105" i="4"/>
  <c r="DA105" i="4" s="1"/>
  <c r="CU159" i="4"/>
  <c r="CW21" i="4"/>
  <c r="DB21" i="4" s="1"/>
  <c r="CU144" i="4"/>
  <c r="CV52" i="4"/>
  <c r="DA52" i="4" s="1"/>
  <c r="CT110" i="4"/>
  <c r="CU75" i="4"/>
  <c r="CT98" i="4"/>
  <c r="CU33" i="4"/>
  <c r="CU150" i="4"/>
  <c r="CZ150" i="4" s="1"/>
  <c r="CW132" i="4"/>
  <c r="DB132" i="4" s="1"/>
  <c r="CU87" i="4"/>
  <c r="CV152" i="4"/>
  <c r="CW144" i="4"/>
  <c r="DB144" i="4" s="1"/>
  <c r="CU124" i="4"/>
  <c r="CZ124" i="4" s="1"/>
  <c r="CT91" i="4"/>
  <c r="CY91" i="4" s="1"/>
  <c r="CV56" i="4"/>
  <c r="CW96" i="4"/>
  <c r="DB96" i="4" s="1"/>
  <c r="CT85" i="4"/>
  <c r="CY85" i="4" s="1"/>
  <c r="CW86" i="4"/>
  <c r="DB86" i="4" s="1"/>
  <c r="CW56" i="4"/>
  <c r="DB56" i="4" s="1"/>
  <c r="CV123" i="4"/>
  <c r="DA123" i="4" s="1"/>
  <c r="CW125" i="4"/>
  <c r="CW112" i="4"/>
  <c r="DB112" i="4" s="1"/>
  <c r="CV66" i="4"/>
  <c r="CW43" i="4"/>
  <c r="DB43" i="4" s="1"/>
  <c r="CU53" i="4"/>
  <c r="CZ53" i="4" s="1"/>
  <c r="CT94" i="4"/>
  <c r="CY94" i="4" s="1"/>
  <c r="CV34" i="4"/>
  <c r="CW13" i="4"/>
  <c r="DB13" i="4" s="1"/>
  <c r="CT70" i="4"/>
  <c r="CY70" i="4" s="1"/>
  <c r="CV164" i="4"/>
  <c r="CU121" i="4"/>
  <c r="CT97" i="4"/>
  <c r="CT49" i="4"/>
  <c r="CW59" i="4"/>
  <c r="CW75" i="4"/>
  <c r="DB75" i="4" s="1"/>
  <c r="CU34" i="4"/>
  <c r="CZ34" i="4" s="1"/>
  <c r="CT139" i="4"/>
  <c r="CU147" i="4"/>
  <c r="CZ147" i="4" s="1"/>
  <c r="CU78" i="4"/>
  <c r="CU16" i="4"/>
  <c r="CU143" i="4"/>
  <c r="CV119" i="4"/>
  <c r="DA119" i="4" s="1"/>
  <c r="CU85" i="4"/>
  <c r="CV76" i="4"/>
  <c r="DA76" i="4" s="1"/>
  <c r="CT123" i="4"/>
  <c r="CY123" i="4" s="1"/>
  <c r="CT118" i="4"/>
  <c r="CV103" i="4"/>
  <c r="CV22" i="4"/>
  <c r="DA22" i="4" s="1"/>
  <c r="CW90" i="4"/>
  <c r="DB90" i="4" s="1"/>
  <c r="CT55" i="4"/>
  <c r="CT141" i="4"/>
  <c r="CY141" i="4" s="1"/>
  <c r="CT109" i="4"/>
  <c r="CY109" i="4" s="1"/>
  <c r="CW48" i="4"/>
  <c r="CT164" i="4"/>
  <c r="CU119" i="4"/>
  <c r="CZ119" i="4" s="1"/>
  <c r="CW47" i="4"/>
  <c r="DB47" i="4" s="1"/>
  <c r="CS145" i="4"/>
  <c r="CX145" i="4" s="1"/>
  <c r="CS125" i="4"/>
  <c r="CX125" i="4" s="1"/>
  <c r="CS134" i="4"/>
  <c r="CX134" i="4" s="1"/>
  <c r="CS107" i="4"/>
  <c r="CX107" i="4" s="1"/>
  <c r="CS62" i="4"/>
  <c r="CW51" i="4"/>
  <c r="DB51" i="4" s="1"/>
  <c r="CW137" i="4"/>
  <c r="CU114" i="4"/>
  <c r="CZ114" i="4" s="1"/>
  <c r="CT161" i="4"/>
  <c r="CY161" i="4" s="1"/>
  <c r="CW18" i="4"/>
  <c r="DB18" i="4" s="1"/>
  <c r="CT31" i="4"/>
  <c r="CU157" i="4"/>
  <c r="CZ157" i="4" s="1"/>
  <c r="CT163" i="4"/>
  <c r="CU68" i="4"/>
  <c r="CU55" i="4"/>
  <c r="CZ55" i="4" s="1"/>
  <c r="CV114" i="4"/>
  <c r="CT89" i="4"/>
  <c r="CV109" i="4"/>
  <c r="CV146" i="4"/>
  <c r="CT29" i="4"/>
  <c r="CY29" i="4" s="1"/>
  <c r="CU37" i="4"/>
  <c r="CT144" i="4"/>
  <c r="CV30" i="4"/>
  <c r="CU50" i="4"/>
  <c r="CZ50" i="4" s="1"/>
  <c r="CU41" i="4"/>
  <c r="CU27" i="4"/>
  <c r="CZ27" i="4" s="1"/>
  <c r="CT86" i="4"/>
  <c r="CY86" i="4" s="1"/>
  <c r="CW82" i="4"/>
  <c r="DB82" i="4" s="1"/>
  <c r="CU65" i="4"/>
  <c r="CU164" i="4"/>
  <c r="CW52" i="4"/>
  <c r="DB52" i="4" s="1"/>
  <c r="CV162" i="4"/>
  <c r="DA162" i="4" s="1"/>
  <c r="CU84" i="4"/>
  <c r="CZ84" i="4" s="1"/>
  <c r="CW14" i="4"/>
  <c r="CV125" i="4"/>
  <c r="CV84" i="4"/>
  <c r="DA84" i="4" s="1"/>
  <c r="CV145" i="4"/>
  <c r="DA145" i="4" s="1"/>
  <c r="CV151" i="4"/>
  <c r="CW72" i="4"/>
  <c r="DB72" i="4" s="1"/>
  <c r="CU86" i="4"/>
  <c r="CW100" i="4"/>
  <c r="DB100" i="4" s="1"/>
  <c r="CV40" i="4"/>
  <c r="DA40" i="4" s="1"/>
  <c r="CU132" i="4"/>
  <c r="CZ132" i="4" s="1"/>
  <c r="CV106" i="4"/>
  <c r="DA106" i="4" s="1"/>
  <c r="CV62" i="4"/>
  <c r="CW26" i="4"/>
  <c r="DB26" i="4" s="1"/>
  <c r="CW108" i="4"/>
  <c r="CT37" i="4"/>
  <c r="CY37" i="4" s="1"/>
  <c r="CW148" i="4"/>
  <c r="CT137" i="4"/>
  <c r="CT96" i="4"/>
  <c r="CY96" i="4" s="1"/>
  <c r="CU154" i="4"/>
  <c r="CZ154" i="4" s="1"/>
  <c r="CV147" i="4"/>
  <c r="CW32" i="4"/>
  <c r="DB32" i="4" s="1"/>
  <c r="CU125" i="4"/>
  <c r="CW163" i="4"/>
  <c r="DB163" i="4" s="1"/>
  <c r="CT32" i="4"/>
  <c r="CY32" i="4" s="1"/>
  <c r="CV159" i="4"/>
  <c r="CT149" i="4"/>
  <c r="CV134" i="4"/>
  <c r="DA134" i="4" s="1"/>
  <c r="CT152" i="4"/>
  <c r="CY152" i="4" s="1"/>
  <c r="CT107" i="4"/>
  <c r="CW38" i="4"/>
  <c r="DB38" i="4" s="1"/>
  <c r="CV55" i="4"/>
  <c r="DA55" i="4" s="1"/>
  <c r="CW69" i="4"/>
  <c r="DB69" i="4" s="1"/>
  <c r="CT18" i="4"/>
  <c r="CS152" i="4"/>
  <c r="CX152" i="4" s="1"/>
  <c r="CS93" i="4"/>
  <c r="CX93" i="4" s="1"/>
  <c r="CS68" i="4"/>
  <c r="CX68" i="4" s="1"/>
  <c r="CS61" i="4"/>
  <c r="CX61" i="4" s="1"/>
  <c r="CS131" i="4"/>
  <c r="CS64" i="4"/>
  <c r="CX64" i="4" s="1"/>
  <c r="CS104" i="4"/>
  <c r="CX104" i="4" s="1"/>
  <c r="CT117" i="4"/>
  <c r="CY117" i="4" s="1"/>
  <c r="CU148" i="4"/>
  <c r="CZ148" i="4" s="1"/>
  <c r="CV139" i="4"/>
  <c r="DA139" i="4" s="1"/>
  <c r="CV61" i="4"/>
  <c r="DA61" i="4" s="1"/>
  <c r="CU70" i="4"/>
  <c r="CW58" i="4"/>
  <c r="DB58" i="4" s="1"/>
  <c r="CW67" i="4"/>
  <c r="DB67" i="4" s="1"/>
  <c r="CV37" i="4"/>
  <c r="DA37" i="4" s="1"/>
  <c r="CV43" i="4"/>
  <c r="DA43" i="4" s="1"/>
  <c r="CW93" i="4"/>
  <c r="DB93" i="4" s="1"/>
  <c r="CV29" i="4"/>
  <c r="DA29" i="4" s="1"/>
  <c r="CW109" i="4"/>
  <c r="CS32" i="4"/>
  <c r="CX32" i="4" s="1"/>
  <c r="CS130" i="4"/>
  <c r="CX130" i="4" s="1"/>
  <c r="CS36" i="4"/>
  <c r="CX36" i="4" s="1"/>
  <c r="CS58" i="4"/>
  <c r="CX58" i="4" s="1"/>
  <c r="CS129" i="4"/>
  <c r="CS154" i="4"/>
  <c r="CX154" i="4" s="1"/>
  <c r="CS46" i="4"/>
  <c r="CX46" i="4" s="1"/>
  <c r="CS25" i="4"/>
  <c r="CX25" i="4" s="1"/>
  <c r="CS71" i="4"/>
  <c r="CX71" i="4" s="1"/>
  <c r="CS22" i="4"/>
  <c r="CX22" i="4" s="1"/>
  <c r="CS105" i="4"/>
  <c r="CS159" i="4"/>
  <c r="CX159" i="4" s="1"/>
  <c r="CS5" i="4"/>
  <c r="CX5" i="4" s="1"/>
  <c r="CS26" i="4"/>
  <c r="CX26" i="4" s="1"/>
  <c r="CS114" i="4"/>
  <c r="CX114" i="4" s="1"/>
  <c r="CS128" i="4"/>
  <c r="CX128" i="4" s="1"/>
  <c r="CS82" i="4"/>
  <c r="CX82" i="4" s="1"/>
  <c r="CS89" i="4"/>
  <c r="CX89" i="4" s="1"/>
  <c r="CS161" i="4"/>
  <c r="CX161" i="4" s="1"/>
  <c r="CS72" i="4"/>
  <c r="CX72" i="4" s="1"/>
  <c r="CV135" i="4"/>
  <c r="CT48" i="4"/>
  <c r="CY48" i="4" s="1"/>
  <c r="CU91" i="4"/>
  <c r="CZ91" i="4" s="1"/>
  <c r="CU120" i="4"/>
  <c r="CZ120" i="4" s="1"/>
  <c r="CW88" i="4"/>
  <c r="DB88" i="4" s="1"/>
  <c r="CW73" i="4"/>
  <c r="DB73" i="4" s="1"/>
  <c r="CT148" i="4"/>
  <c r="CY148" i="4" s="1"/>
  <c r="CU105" i="4"/>
  <c r="CZ105" i="4" s="1"/>
  <c r="CT38" i="4"/>
  <c r="CW61" i="4"/>
  <c r="DB61" i="4" s="1"/>
  <c r="CV57" i="4"/>
  <c r="DA57" i="4" s="1"/>
  <c r="CU14" i="4"/>
  <c r="CZ14" i="4" s="1"/>
  <c r="CW155" i="4"/>
  <c r="DB155" i="4" s="1"/>
  <c r="CV87" i="4"/>
  <c r="CV19" i="4"/>
  <c r="DA19" i="4" s="1"/>
  <c r="CW79" i="4"/>
  <c r="CW41" i="4"/>
  <c r="DB41" i="4" s="1"/>
  <c r="CT88" i="4"/>
  <c r="CU108" i="4"/>
  <c r="CZ108" i="4" s="1"/>
  <c r="CT120" i="4"/>
  <c r="CY120" i="4" s="1"/>
  <c r="CU40" i="4"/>
  <c r="CZ40" i="4" s="1"/>
  <c r="CU76" i="4"/>
  <c r="CW128" i="4"/>
  <c r="DB128" i="4" s="1"/>
  <c r="CU161" i="4"/>
  <c r="CZ161" i="4" s="1"/>
  <c r="CU90" i="4"/>
  <c r="CZ90" i="4" s="1"/>
  <c r="CW15" i="4"/>
  <c r="CV136" i="4"/>
  <c r="DA136" i="4" s="1"/>
  <c r="CW124" i="4"/>
  <c r="DB124" i="4" s="1"/>
  <c r="CU73" i="4"/>
  <c r="CZ73" i="4" s="1"/>
  <c r="CU44" i="4"/>
  <c r="CU63" i="4"/>
  <c r="CZ63" i="4" s="1"/>
  <c r="CW149" i="4"/>
  <c r="DB149" i="4" s="1"/>
  <c r="CV127" i="4"/>
  <c r="DA127" i="4" s="1"/>
  <c r="CV142" i="4"/>
  <c r="DA142" i="4" s="1"/>
  <c r="CT135" i="4"/>
  <c r="CY135" i="4" s="1"/>
  <c r="CT138" i="4"/>
  <c r="CY138" i="4" s="1"/>
  <c r="CU103" i="4"/>
  <c r="CZ103" i="4" s="1"/>
  <c r="CW114" i="4"/>
  <c r="CU151" i="4"/>
  <c r="CZ151" i="4" s="1"/>
  <c r="CT77" i="4"/>
  <c r="CY77" i="4" s="1"/>
  <c r="CW120" i="4"/>
  <c r="CV111" i="4"/>
  <c r="DA111" i="4" s="1"/>
  <c r="CU67" i="4"/>
  <c r="CZ67" i="4" s="1"/>
  <c r="CW78" i="4"/>
  <c r="DB78" i="4" s="1"/>
  <c r="CT51" i="4"/>
  <c r="CY51" i="4" s="1"/>
  <c r="CW113" i="4"/>
  <c r="DB113" i="4" s="1"/>
  <c r="CT66" i="4"/>
  <c r="CY66" i="4" s="1"/>
  <c r="CU139" i="4"/>
  <c r="CZ139" i="4" s="1"/>
  <c r="CT145" i="4"/>
  <c r="CY145" i="4" s="1"/>
  <c r="CW35" i="4"/>
  <c r="DB35" i="4" s="1"/>
  <c r="CW116" i="4"/>
  <c r="DB116" i="4" s="1"/>
  <c r="CV73" i="4"/>
  <c r="DA73" i="4" s="1"/>
  <c r="CU15" i="4"/>
  <c r="CU142" i="4"/>
  <c r="CZ142" i="4" s="1"/>
  <c r="CT71" i="4"/>
  <c r="CY71" i="4" s="1"/>
  <c r="CT44" i="4"/>
  <c r="CY44" i="4" s="1"/>
  <c r="CV132" i="4"/>
  <c r="DA132" i="4" s="1"/>
  <c r="CV113" i="4"/>
  <c r="DA113" i="4" s="1"/>
  <c r="CW152" i="4"/>
  <c r="DB152" i="4" s="1"/>
  <c r="CT115" i="4"/>
  <c r="CY115" i="4" s="1"/>
  <c r="CU81" i="4"/>
  <c r="CZ81" i="4" s="1"/>
  <c r="CT102" i="4"/>
  <c r="CY102" i="4" s="1"/>
  <c r="CT62" i="4"/>
  <c r="CY62" i="4" s="1"/>
  <c r="CV35" i="4"/>
  <c r="DA35" i="4" s="1"/>
  <c r="CU128" i="4"/>
  <c r="CZ128" i="4" s="1"/>
  <c r="CW49" i="4"/>
  <c r="DB49" i="4" s="1"/>
  <c r="CW121" i="4"/>
  <c r="DB121" i="4" s="1"/>
  <c r="CW134" i="4"/>
  <c r="CU25" i="4"/>
  <c r="CZ25" i="4" s="1"/>
  <c r="CT142" i="4"/>
  <c r="CW147" i="4"/>
  <c r="DB147" i="4" s="1"/>
  <c r="CV15" i="4"/>
  <c r="CW98" i="4"/>
  <c r="DB98" i="4" s="1"/>
  <c r="CU46" i="4"/>
  <c r="CZ46" i="4" s="1"/>
  <c r="CV14" i="4"/>
  <c r="DA14" i="4" s="1"/>
  <c r="CV129" i="4"/>
  <c r="DA129" i="4" s="1"/>
  <c r="CZ76" i="4" l="1"/>
  <c r="CZ125" i="4"/>
  <c r="DB108" i="4"/>
  <c r="CZ145" i="4"/>
  <c r="CY82" i="4"/>
  <c r="DB143" i="4"/>
  <c r="CZ96" i="4"/>
  <c r="DA117" i="4"/>
  <c r="CZ15" i="4"/>
  <c r="DA164" i="4"/>
  <c r="CY64" i="4"/>
  <c r="CY132" i="4"/>
  <c r="CY15" i="4"/>
  <c r="DA130" i="4"/>
  <c r="CY39" i="4"/>
  <c r="DA42" i="4"/>
  <c r="CY61" i="4"/>
  <c r="DB15" i="4"/>
  <c r="CY88" i="4"/>
  <c r="CY149" i="4"/>
  <c r="DA125" i="4"/>
  <c r="DA146" i="4"/>
  <c r="CY31" i="4"/>
  <c r="CZ85" i="4"/>
  <c r="DA34" i="4"/>
  <c r="DA152" i="4"/>
  <c r="DB44" i="4"/>
  <c r="CZ71" i="4"/>
  <c r="DA110" i="4"/>
  <c r="CZ45" i="4"/>
  <c r="DB136" i="4"/>
  <c r="CZ131" i="4"/>
  <c r="DB110" i="4"/>
  <c r="CY24" i="4"/>
  <c r="DB151" i="4"/>
  <c r="CY26" i="4"/>
  <c r="DA82" i="4"/>
  <c r="CY79" i="4"/>
  <c r="DA156" i="4"/>
  <c r="CY21" i="4"/>
  <c r="CZ80" i="4"/>
  <c r="CZ88" i="4"/>
  <c r="CY74" i="4"/>
  <c r="DA71" i="4"/>
  <c r="DA101" i="4"/>
  <c r="DB79" i="4"/>
  <c r="DB148" i="4"/>
  <c r="CZ41" i="4"/>
  <c r="CZ143" i="4"/>
  <c r="CZ38" i="4"/>
  <c r="DA86" i="4"/>
  <c r="CZ69" i="4"/>
  <c r="DB23" i="4"/>
  <c r="CZ112" i="4"/>
  <c r="DA48" i="4"/>
  <c r="CY99" i="4"/>
  <c r="DB87" i="4"/>
  <c r="DB106" i="4"/>
  <c r="CZ16" i="4"/>
  <c r="CZ159" i="4"/>
  <c r="CY40" i="4"/>
  <c r="CZ52" i="4"/>
  <c r="DB141" i="4"/>
  <c r="CY143" i="4"/>
  <c r="CZ49" i="4"/>
  <c r="DA99" i="4"/>
  <c r="DB118" i="4"/>
  <c r="CZ18" i="4"/>
  <c r="DA149" i="4"/>
  <c r="DB89" i="4"/>
  <c r="CZ126" i="4"/>
  <c r="DB66" i="4"/>
  <c r="CY147" i="4"/>
  <c r="CY17" i="4"/>
  <c r="CY140" i="4"/>
  <c r="DB28" i="4"/>
  <c r="DB60" i="4"/>
  <c r="CZ163" i="4"/>
  <c r="CY56" i="4"/>
  <c r="CZ30" i="4"/>
  <c r="DB162" i="4"/>
  <c r="DA89" i="4"/>
  <c r="CZ116" i="4"/>
  <c r="DA118" i="4"/>
  <c r="CY97" i="4"/>
  <c r="CY142" i="4"/>
  <c r="CX131" i="4"/>
  <c r="DA30" i="4"/>
  <c r="DB137" i="4"/>
  <c r="DA103" i="4"/>
  <c r="CZ78" i="4"/>
  <c r="CZ121" i="4"/>
  <c r="DA66" i="4"/>
  <c r="DA56" i="4"/>
  <c r="CZ33" i="4"/>
  <c r="CX73" i="4"/>
  <c r="DB77" i="4"/>
  <c r="DA122" i="4"/>
  <c r="DB103" i="4"/>
  <c r="CZ146" i="4"/>
  <c r="CY78" i="4"/>
  <c r="CY119" i="4"/>
  <c r="DA64" i="4"/>
  <c r="DB74" i="4"/>
  <c r="CY95" i="4"/>
  <c r="DB57" i="4"/>
  <c r="CX69" i="4"/>
  <c r="CX95" i="4"/>
  <c r="CZ107" i="4"/>
  <c r="CZ47" i="4"/>
  <c r="DA133" i="4"/>
  <c r="DA59" i="4"/>
  <c r="DA120" i="4"/>
  <c r="DB122" i="4"/>
  <c r="CZ66" i="4"/>
  <c r="CZ22" i="4"/>
  <c r="DA44" i="4"/>
  <c r="CX90" i="4"/>
  <c r="CX35" i="4"/>
  <c r="CY124" i="4"/>
  <c r="DB156" i="4"/>
  <c r="CZ28" i="4"/>
  <c r="CZ127" i="4"/>
  <c r="DA75" i="4"/>
  <c r="CZ99" i="4"/>
  <c r="DB160" i="4"/>
  <c r="CZ26" i="4"/>
  <c r="DB17" i="4"/>
  <c r="DB111" i="4"/>
  <c r="CY58" i="4"/>
  <c r="DB115" i="4"/>
  <c r="CX78" i="4"/>
  <c r="CX33" i="4"/>
  <c r="CX106" i="4"/>
  <c r="DA83" i="4"/>
  <c r="CX56" i="4"/>
  <c r="CY34" i="4"/>
  <c r="DB46" i="4"/>
  <c r="CY59" i="4"/>
  <c r="DB25" i="4"/>
  <c r="CY122" i="4"/>
  <c r="CZ109" i="4"/>
  <c r="CX14" i="4"/>
  <c r="DB91" i="4"/>
  <c r="CX91" i="4"/>
  <c r="CZ86" i="4"/>
  <c r="DA114" i="4"/>
  <c r="DB114" i="4"/>
  <c r="DA87" i="4"/>
  <c r="CZ70" i="4"/>
  <c r="CY107" i="4"/>
  <c r="DA151" i="4"/>
  <c r="CZ164" i="4"/>
  <c r="CY144" i="4"/>
  <c r="CZ68" i="4"/>
  <c r="CY164" i="4"/>
  <c r="CY118" i="4"/>
  <c r="CY98" i="4"/>
  <c r="DB33" i="4"/>
  <c r="CY52" i="4"/>
  <c r="DB37" i="4"/>
  <c r="DA155" i="4"/>
  <c r="CX60" i="4"/>
  <c r="CZ106" i="4"/>
  <c r="CY53" i="4"/>
  <c r="CY146" i="4"/>
  <c r="DA54" i="4"/>
  <c r="DA153" i="4"/>
  <c r="CY25" i="4"/>
  <c r="DB71" i="4"/>
  <c r="CZ83" i="4"/>
  <c r="CX83" i="4"/>
  <c r="DB68" i="4"/>
  <c r="CZ54" i="4"/>
  <c r="DB40" i="4"/>
  <c r="CY90" i="4"/>
  <c r="DA31" i="4"/>
  <c r="DA138" i="4"/>
  <c r="CY129" i="4"/>
  <c r="DA17" i="4"/>
  <c r="CZ79" i="4"/>
  <c r="DB101" i="4"/>
  <c r="CZ93" i="4"/>
  <c r="CZ122" i="4"/>
  <c r="CX162" i="4"/>
  <c r="CX141" i="4"/>
  <c r="DB105" i="4"/>
  <c r="CY133" i="4"/>
  <c r="CY157" i="4"/>
  <c r="CY116" i="4"/>
  <c r="DA80" i="4"/>
  <c r="DA26" i="4"/>
  <c r="CY93" i="4"/>
  <c r="DA23" i="4"/>
  <c r="DA128" i="4"/>
  <c r="CZ117" i="4"/>
  <c r="CZ35" i="4"/>
  <c r="CX164" i="4"/>
  <c r="CX27" i="4"/>
  <c r="CX23" i="4"/>
  <c r="CZ152" i="4"/>
  <c r="CX16" i="4"/>
  <c r="CY150" i="4"/>
  <c r="DB146" i="4"/>
  <c r="DA27" i="4"/>
  <c r="CZ110" i="4"/>
  <c r="CY19" i="4"/>
  <c r="CY83" i="4"/>
  <c r="CY27" i="4"/>
  <c r="DA78" i="4"/>
  <c r="CX65" i="4"/>
  <c r="DA15" i="4"/>
  <c r="DB76" i="4"/>
  <c r="CZ44" i="4"/>
  <c r="DB134" i="4"/>
  <c r="DB109" i="4"/>
  <c r="DA147" i="4"/>
  <c r="DA62" i="4"/>
  <c r="CZ65" i="4"/>
  <c r="CZ37" i="4"/>
  <c r="CY163" i="4"/>
  <c r="CX62" i="4"/>
  <c r="DB48" i="4"/>
  <c r="CY139" i="4"/>
  <c r="DB125" i="4"/>
  <c r="CZ75" i="4"/>
  <c r="CY111" i="4"/>
  <c r="CY69" i="4"/>
  <c r="DB39" i="4"/>
  <c r="DB34" i="4"/>
  <c r="CZ51" i="4"/>
  <c r="DB127" i="4"/>
  <c r="CZ158" i="4"/>
  <c r="CY63" i="4"/>
  <c r="DB140" i="4"/>
  <c r="DB24" i="4"/>
  <c r="CZ20" i="4"/>
  <c r="CZ92" i="4"/>
  <c r="DB31" i="4"/>
  <c r="CX74" i="4"/>
  <c r="CX132" i="4"/>
  <c r="DA144" i="4"/>
  <c r="DA100" i="4"/>
  <c r="CY76" i="4"/>
  <c r="CY103" i="4"/>
  <c r="CZ138" i="4"/>
  <c r="CZ58" i="4"/>
  <c r="CY72" i="4"/>
  <c r="DA92" i="4"/>
  <c r="CY92" i="4"/>
  <c r="DB65" i="4"/>
  <c r="CX124" i="4"/>
  <c r="CX126" i="4"/>
  <c r="CX18" i="4"/>
  <c r="DB117" i="4"/>
  <c r="DB123" i="4"/>
  <c r="CY159" i="4"/>
  <c r="DA126" i="4"/>
  <c r="DA94" i="4"/>
  <c r="CY112" i="4"/>
  <c r="DA131" i="4"/>
  <c r="DB50" i="4"/>
  <c r="DA115" i="4"/>
  <c r="CZ42" i="4"/>
  <c r="DA67" i="4"/>
  <c r="CX144" i="4"/>
  <c r="CX98" i="4"/>
  <c r="CX81" i="4"/>
  <c r="CZ61" i="4"/>
  <c r="CX50" i="4"/>
  <c r="DA32" i="4"/>
  <c r="CX43" i="4"/>
  <c r="CY45" i="4"/>
  <c r="CX76" i="4"/>
  <c r="DB42" i="4"/>
  <c r="CZ123" i="4"/>
  <c r="DA24" i="4"/>
  <c r="CX118" i="4"/>
  <c r="CY155" i="4"/>
  <c r="CY153" i="4"/>
  <c r="CY110" i="4"/>
  <c r="CY87" i="4"/>
  <c r="DA140" i="4"/>
  <c r="CY30" i="4"/>
  <c r="DB94" i="4"/>
  <c r="DA96" i="4"/>
  <c r="CX143" i="4"/>
  <c r="CZ133" i="4"/>
  <c r="DB145" i="4"/>
  <c r="CZ17" i="4"/>
  <c r="CZ155" i="4"/>
  <c r="CX47" i="4"/>
  <c r="CZ64" i="4"/>
  <c r="DB22" i="4"/>
  <c r="CZ19" i="4"/>
  <c r="CX37" i="4"/>
  <c r="CY41" i="4"/>
  <c r="DB27" i="4"/>
  <c r="CX31" i="4"/>
  <c r="CX48" i="4"/>
  <c r="CX138" i="4"/>
  <c r="CY47" i="4"/>
  <c r="CX135" i="4"/>
  <c r="CY50" i="4"/>
  <c r="CX7" i="4"/>
  <c r="DA16" i="4"/>
  <c r="DB158" i="4"/>
  <c r="CX108" i="4"/>
  <c r="DB133" i="4"/>
  <c r="DB99" i="4"/>
  <c r="CZ72" i="4"/>
  <c r="CY106" i="4"/>
  <c r="CX115" i="4"/>
  <c r="CX117" i="4"/>
  <c r="CZ149" i="4"/>
  <c r="DB164" i="4"/>
  <c r="DA137" i="4"/>
  <c r="DA38" i="4"/>
  <c r="CZ156" i="4"/>
  <c r="DA63" i="4"/>
  <c r="DA69" i="4"/>
  <c r="DA58" i="4"/>
  <c r="CZ134" i="4"/>
  <c r="CX122" i="4"/>
  <c r="CX113" i="4"/>
  <c r="CX11" i="4"/>
  <c r="CX149" i="4"/>
  <c r="CX160" i="4"/>
  <c r="DA107" i="4"/>
  <c r="DB20" i="4"/>
  <c r="DB120" i="4"/>
  <c r="CY38" i="4"/>
  <c r="DA135" i="4"/>
  <c r="CX129" i="4"/>
  <c r="CY18" i="4"/>
  <c r="DA159" i="4"/>
  <c r="CY137" i="4"/>
  <c r="DB14" i="4"/>
  <c r="DA109" i="4"/>
  <c r="CY55" i="4"/>
  <c r="DB59" i="4"/>
  <c r="CZ87" i="4"/>
  <c r="CZ144" i="4"/>
  <c r="DB129" i="4"/>
  <c r="DB135" i="4"/>
  <c r="CX29" i="4"/>
  <c r="DB126" i="4"/>
  <c r="DA124" i="4"/>
  <c r="DA163" i="4"/>
  <c r="CZ160" i="4"/>
  <c r="DA41" i="4"/>
  <c r="DB53" i="4"/>
  <c r="DA143" i="4"/>
  <c r="CZ101" i="4"/>
  <c r="CX38" i="4"/>
  <c r="CX96" i="4"/>
  <c r="DB104" i="4"/>
  <c r="DB142" i="4"/>
  <c r="DA85" i="4"/>
  <c r="DA46" i="4"/>
  <c r="CZ95" i="4"/>
  <c r="DB29" i="4"/>
  <c r="CY131" i="4"/>
  <c r="DB84" i="4"/>
  <c r="CZ39" i="4"/>
  <c r="CZ104" i="4"/>
  <c r="DA148" i="4"/>
  <c r="DA70" i="4"/>
  <c r="CX49" i="4"/>
  <c r="CX155" i="4"/>
  <c r="DA141" i="4"/>
  <c r="CZ56" i="4"/>
  <c r="DA97" i="4"/>
  <c r="CZ162" i="4"/>
  <c r="DA160" i="4"/>
  <c r="CZ115" i="4"/>
  <c r="CZ129" i="4"/>
  <c r="DA39" i="4"/>
  <c r="CY80" i="4"/>
  <c r="DA36" i="4"/>
  <c r="DB63" i="4"/>
  <c r="DA88" i="4"/>
  <c r="CX70" i="4"/>
  <c r="CX8" i="4"/>
  <c r="CY104" i="4"/>
  <c r="DA50" i="4"/>
  <c r="CX54" i="4"/>
  <c r="CZ102" i="4"/>
  <c r="CX109" i="4"/>
  <c r="CX63" i="4"/>
  <c r="CX52" i="4"/>
  <c r="CX127" i="4"/>
  <c r="DB131" i="4"/>
  <c r="CX85" i="4"/>
  <c r="CX45" i="4"/>
  <c r="CX156" i="4"/>
  <c r="CY89" i="4"/>
  <c r="CY49" i="4"/>
  <c r="CX59" i="4"/>
  <c r="DB55" i="4"/>
  <c r="DB45" i="4"/>
  <c r="DB119" i="4"/>
  <c r="DB150" i="4"/>
  <c r="DB95" i="4"/>
  <c r="CX140" i="4"/>
  <c r="DA158" i="4"/>
  <c r="CZ77" i="4"/>
  <c r="CY162" i="4"/>
  <c r="CY136" i="4"/>
  <c r="CY67" i="4"/>
  <c r="CY121" i="4"/>
  <c r="CY114" i="4"/>
  <c r="DB62" i="4"/>
  <c r="DB153" i="4"/>
  <c r="CY126" i="4"/>
  <c r="CY108" i="4"/>
  <c r="DB159" i="4"/>
  <c r="DB80" i="4"/>
  <c r="DA74" i="4"/>
  <c r="DB83" i="4"/>
  <c r="DB81" i="4"/>
  <c r="CZ24" i="4"/>
  <c r="DA53" i="4"/>
  <c r="CX10" i="4"/>
  <c r="CZ31" i="4"/>
  <c r="DA104" i="4"/>
  <c r="CZ141" i="4"/>
  <c r="CX153" i="4"/>
  <c r="CY43" i="4"/>
  <c r="CX21" i="4"/>
  <c r="DB70" i="4"/>
  <c r="DB138" i="4"/>
  <c r="CX102" i="4"/>
  <c r="CX105" i="4"/>
  <c r="CZ137" i="4"/>
  <c r="DB16" i="4"/>
  <c r="CX94" i="4"/>
  <c r="DA20" i="4"/>
  <c r="CY33" i="4"/>
  <c r="DA21" i="4"/>
  <c r="CY68" i="4"/>
  <c r="DB97" i="4"/>
  <c r="DB36" i="4"/>
  <c r="CZ60" i="4"/>
  <c r="CZ82" i="4"/>
  <c r="DA112" i="4"/>
  <c r="CZ140" i="4"/>
  <c r="CY75" i="4"/>
  <c r="CX146" i="4"/>
  <c r="DA77" i="4"/>
  <c r="DA91" i="4"/>
  <c r="CX41" i="4"/>
  <c r="CY22" i="4"/>
  <c r="CY128" i="4"/>
  <c r="CX100" i="4"/>
  <c r="CX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E5" authorId="0" shapeId="0" xr:uid="{00000000-0006-0000-0300-000001000000}">
      <text>
        <r>
          <rPr>
            <b/>
            <sz val="9"/>
            <color indexed="81"/>
            <rFont val="宋体"/>
            <family val="3"/>
            <charset val="134"/>
          </rPr>
          <t>特殊难度节点给钻石
每章节大概3个</t>
        </r>
      </text>
    </comment>
    <comment ref="I5" authorId="0" shapeId="0" xr:uid="{00000000-0006-0000-0300-000002000000}">
      <text>
        <r>
          <rPr>
            <b/>
            <sz val="9"/>
            <color indexed="81"/>
            <rFont val="宋体"/>
            <family val="3"/>
            <charset val="134"/>
          </rPr>
          <t>4个宝箱的量</t>
        </r>
      </text>
    </comment>
    <comment ref="J5" authorId="0" shapeId="0" xr:uid="{00000000-0006-0000-0300-000003000000}">
      <text>
        <r>
          <rPr>
            <b/>
            <sz val="9"/>
            <color indexed="81"/>
            <rFont val="宋体"/>
            <family val="3"/>
            <charset val="134"/>
          </rPr>
          <t>2个宝箱的量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K5" authorId="0" shapeId="0" xr:uid="{00000000-0006-0000-0300-000004000000}">
      <text>
        <r>
          <rPr>
            <b/>
            <sz val="9"/>
            <color indexed="81"/>
            <rFont val="宋体"/>
            <family val="3"/>
            <charset val="134"/>
          </rPr>
          <t>1个</t>
        </r>
      </text>
    </comment>
    <comment ref="L5" authorId="0" shapeId="0" xr:uid="{00000000-0006-0000-0300-000005000000}">
      <text>
        <r>
          <rPr>
            <b/>
            <sz val="9"/>
            <color indexed="81"/>
            <rFont val="宋体"/>
            <family val="3"/>
            <charset val="134"/>
          </rPr>
          <t>1个</t>
        </r>
      </text>
    </comment>
    <comment ref="D39" authorId="0" shapeId="0" xr:uid="{F655431D-69F4-4D20-847A-FF641DB51ACE}">
      <text>
        <r>
          <rPr>
            <sz val="9"/>
            <color indexed="81"/>
            <rFont val="宋体"/>
            <family val="3"/>
            <charset val="134"/>
          </rPr>
          <t xml:space="preserve">二赛季未扩充武将等级，所以副本产出武将经验压一下
</t>
        </r>
      </text>
    </comment>
  </commentList>
</comments>
</file>

<file path=xl/sharedStrings.xml><?xml version="1.0" encoding="utf-8"?>
<sst xmlns="http://schemas.openxmlformats.org/spreadsheetml/2006/main" count="354" uniqueCount="102">
  <si>
    <t>大殿等级</t>
  </si>
  <si>
    <t>大殿等级累积停留时间(天）</t>
  </si>
  <si>
    <t>大殿等级阶段停留时间（天）</t>
  </si>
  <si>
    <t>非r累积时长大殿等级标准</t>
  </si>
  <si>
    <t>累积停留天数(标准）</t>
    <phoneticPr fontId="1" type="noConversion"/>
  </si>
  <si>
    <t>调整系数</t>
    <phoneticPr fontId="1" type="noConversion"/>
  </si>
  <si>
    <t>,</t>
    <phoneticPr fontId="1" type="noConversion"/>
  </si>
  <si>
    <t>天数对应大殿等级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</si>
  <si>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</si>
  <si>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</si>
  <si>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</si>
  <si>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</si>
  <si>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</si>
  <si>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天数</t>
    <phoneticPr fontId="1" type="noConversion"/>
  </si>
  <si>
    <t>等级</t>
    <phoneticPr fontId="1" type="noConversion"/>
  </si>
  <si>
    <t>累积天数</t>
    <phoneticPr fontId="1" type="noConversion"/>
  </si>
  <si>
    <t>调整值</t>
    <phoneticPr fontId="1" type="noConversion"/>
  </si>
  <si>
    <t>章节</t>
    <phoneticPr fontId="1" type="noConversion"/>
  </si>
  <si>
    <t>部队战力</t>
    <phoneticPr fontId="1" type="noConversion"/>
  </si>
  <si>
    <t>武将经验</t>
    <phoneticPr fontId="1" type="noConversion"/>
  </si>
  <si>
    <t>玩家经验</t>
    <phoneticPr fontId="1" type="noConversion"/>
  </si>
  <si>
    <t>银币</t>
    <phoneticPr fontId="1" type="noConversion"/>
  </si>
  <si>
    <t>钻石</t>
    <phoneticPr fontId="1" type="noConversion"/>
  </si>
  <si>
    <t>累积奖励</t>
    <phoneticPr fontId="1" type="noConversion"/>
  </si>
  <si>
    <t>宝箱奖励</t>
    <phoneticPr fontId="1" type="noConversion"/>
  </si>
  <si>
    <t>普通抽奖卷</t>
    <phoneticPr fontId="1" type="noConversion"/>
  </si>
  <si>
    <t>新兵</t>
    <phoneticPr fontId="1" type="noConversion"/>
  </si>
  <si>
    <t>普通抽将卷</t>
    <phoneticPr fontId="1" type="noConversion"/>
  </si>
  <si>
    <t>高级抽将卷</t>
    <phoneticPr fontId="1" type="noConversion"/>
  </si>
  <si>
    <t>关卡数</t>
    <phoneticPr fontId="1" type="noConversion"/>
  </si>
  <si>
    <t>阶段奖励</t>
    <phoneticPr fontId="1" type="noConversion"/>
  </si>
  <si>
    <t>日均</t>
    <phoneticPr fontId="1" type="noConversion"/>
  </si>
  <si>
    <t>钻石等价物（高级抽奖券）</t>
    <phoneticPr fontId="1" type="noConversion"/>
  </si>
  <si>
    <t>新兵阶段数量</t>
    <phoneticPr fontId="1" type="noConversion"/>
  </si>
  <si>
    <t>钻石总日均</t>
    <phoneticPr fontId="1" type="noConversion"/>
  </si>
  <si>
    <t>支线奖励</t>
    <phoneticPr fontId="1" type="noConversion"/>
  </si>
  <si>
    <t>主线关卡</t>
    <phoneticPr fontId="1" type="noConversion"/>
  </si>
  <si>
    <t>主线奖励</t>
    <phoneticPr fontId="1" type="noConversion"/>
  </si>
  <si>
    <t>大殿等级</t>
    <phoneticPr fontId="1" type="noConversion"/>
  </si>
  <si>
    <t>预估养成队伍数量</t>
    <phoneticPr fontId="1" type="noConversion"/>
  </si>
  <si>
    <t>最小大殿等级</t>
    <phoneticPr fontId="1" type="noConversion"/>
  </si>
  <si>
    <t>对应大殿等级</t>
    <phoneticPr fontId="1" type="noConversion"/>
  </si>
  <si>
    <t>资源</t>
    <phoneticPr fontId="1" type="noConversion"/>
  </si>
  <si>
    <t>加速令</t>
  </si>
  <si>
    <t>木石铜粮资源</t>
    <phoneticPr fontId="1" type="noConversion"/>
  </si>
  <si>
    <t>支线完成等级</t>
    <phoneticPr fontId="1" type="noConversion"/>
  </si>
  <si>
    <t>主线关卡&amp;主线完成度&amp;宝箱完成等级</t>
    <phoneticPr fontId="1" type="noConversion"/>
  </si>
  <si>
    <t>新兵累积奖励</t>
    <phoneticPr fontId="1" type="noConversion"/>
  </si>
  <si>
    <t>主线完成度</t>
    <phoneticPr fontId="1" type="noConversion"/>
  </si>
  <si>
    <t>红</t>
    <phoneticPr fontId="1" type="noConversion"/>
  </si>
  <si>
    <t>橙</t>
    <phoneticPr fontId="1" type="noConversion"/>
  </si>
  <si>
    <t>紫</t>
    <phoneticPr fontId="1" type="noConversion"/>
  </si>
  <si>
    <t>蓝</t>
    <phoneticPr fontId="1" type="noConversion"/>
  </si>
  <si>
    <t>绿</t>
    <phoneticPr fontId="1" type="noConversion"/>
  </si>
  <si>
    <t>预估生成装备个数/行军令</t>
  </si>
  <si>
    <t>定义等级</t>
  </si>
  <si>
    <t>定义等级累积停留天数（天）</t>
  </si>
  <si>
    <t>定义等级阶段停留天数（天）</t>
  </si>
  <si>
    <t>天数对应定义等级</t>
  </si>
  <si>
    <t>大殿等级对应定义等级</t>
  </si>
  <si>
    <t>定义等级对应大殿等级</t>
  </si>
  <si>
    <t>非r累积时长定义等级标准</t>
  </si>
  <si>
    <t>普通关卡预估完成所需定义等级</t>
  </si>
  <si>
    <t>定义等级</t>
    <phoneticPr fontId="1" type="noConversion"/>
  </si>
  <si>
    <t>加速时间</t>
    <phoneticPr fontId="1" type="noConversion"/>
  </si>
  <si>
    <t>主线战斗奖励</t>
    <phoneticPr fontId="1" type="noConversion"/>
  </si>
  <si>
    <t>通关奖励</t>
    <phoneticPr fontId="1" type="noConversion"/>
  </si>
  <si>
    <t>黄金</t>
    <phoneticPr fontId="1" type="noConversion"/>
  </si>
  <si>
    <t>城建时间</t>
    <phoneticPr fontId="1" type="noConversion"/>
  </si>
  <si>
    <t>木石铜粮</t>
    <phoneticPr fontId="1" type="noConversion"/>
  </si>
  <si>
    <t>支线关卡</t>
    <phoneticPr fontId="1" type="noConversion"/>
  </si>
  <si>
    <t>刀币</t>
    <phoneticPr fontId="1" type="noConversion"/>
  </si>
  <si>
    <t>宝箱类型</t>
    <phoneticPr fontId="1" type="noConversion"/>
  </si>
  <si>
    <t>数量</t>
    <phoneticPr fontId="1" type="noConversion"/>
  </si>
  <si>
    <t>黄金点将令</t>
    <phoneticPr fontId="1" type="noConversion"/>
  </si>
  <si>
    <t>大金宝箱</t>
    <phoneticPr fontId="1" type="noConversion"/>
  </si>
  <si>
    <t>价值</t>
    <phoneticPr fontId="1" type="noConversion"/>
  </si>
  <si>
    <t>金宝箱</t>
    <phoneticPr fontId="1" type="noConversion"/>
  </si>
  <si>
    <t>银宝箱</t>
    <phoneticPr fontId="1" type="noConversion"/>
  </si>
  <si>
    <t>铜宝箱</t>
    <phoneticPr fontId="1" type="noConversion"/>
  </si>
  <si>
    <t>简单</t>
    <phoneticPr fontId="1" type="noConversion"/>
  </si>
  <si>
    <t>普通</t>
    <phoneticPr fontId="1" type="noConversion"/>
  </si>
  <si>
    <t>困难</t>
    <phoneticPr fontId="1" type="noConversion"/>
  </si>
  <si>
    <t>奖励汇总</t>
    <phoneticPr fontId="1" type="noConversion"/>
  </si>
  <si>
    <t>活动副本-长平之战分为三个难度</t>
    <phoneticPr fontId="1" type="noConversion"/>
  </si>
  <si>
    <t>开启等级为玩家等级</t>
    <phoneticPr fontId="1" type="noConversion"/>
  </si>
  <si>
    <t>简单难度最后一关对应玩家等级</t>
    <phoneticPr fontId="1" type="noConversion"/>
  </si>
  <si>
    <t>普通难度最后一关对应玩家等级</t>
    <phoneticPr fontId="1" type="noConversion"/>
  </si>
  <si>
    <t>困难难度最后一关对应玩家等级</t>
    <phoneticPr fontId="1" type="noConversion"/>
  </si>
  <si>
    <t>难度</t>
    <phoneticPr fontId="1" type="noConversion"/>
  </si>
  <si>
    <t>难度等级</t>
    <phoneticPr fontId="1" type="noConversion"/>
  </si>
  <si>
    <t>黄金</t>
  </si>
  <si>
    <t>城建时间</t>
  </si>
  <si>
    <t>木石铜粮</t>
  </si>
  <si>
    <t>刀币</t>
  </si>
  <si>
    <t>黄金点将令</t>
  </si>
  <si>
    <t>累积黄金</t>
    <phoneticPr fontId="1" type="noConversion"/>
  </si>
  <si>
    <t>累积城建时间</t>
    <phoneticPr fontId="1" type="noConversion"/>
  </si>
  <si>
    <t>累积木石铜粮</t>
    <phoneticPr fontId="1" type="noConversion"/>
  </si>
  <si>
    <t>累积刀币</t>
    <phoneticPr fontId="1" type="noConversion"/>
  </si>
  <si>
    <t>对应各r战力等级</t>
    <phoneticPr fontId="1" type="noConversion"/>
  </si>
  <si>
    <t>普通关卡预估完成所需定义等级新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</si>
</sst>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9"/>
      <color indexed="81"/>
      <name val="宋体"/>
      <family val="3"/>
      <charset val="134"/>
    </font>
    <font>
      <sz val="9"/>
      <color rgb="FFFF0000"/>
      <name val="宋体"/>
      <family val="2"/>
      <scheme val="minor"/>
    </font>
    <font>
      <sz val="9"/>
      <color indexed="81"/>
      <name val="宋体"/>
      <family val="3"/>
      <charset val="134"/>
    </font>
    <font>
      <sz val="9"/>
      <color theme="1"/>
      <name val="宋体"/>
      <family val="3"/>
      <charset val="134"/>
    </font>
    <font>
      <sz val="9"/>
      <color theme="0" tint="-0.3499862666707357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>
      <alignment vertical="center"/>
    </xf>
  </cellStyleXfs>
  <cellXfs count="32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2" fillId="2" borderId="0" xfId="0" applyFont="1" applyFill="1"/>
    <xf numFmtId="0" fontId="7" fillId="0" borderId="0" xfId="0" applyFont="1" applyAlignment="1">
      <alignment horizontal="left" vertical="center"/>
    </xf>
    <xf numFmtId="9" fontId="2" fillId="0" borderId="0" xfId="1" applyFont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0" borderId="0" xfId="0" applyFont="1" applyAlignment="1">
      <alignment vertical="center"/>
    </xf>
    <xf numFmtId="0" fontId="9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slg_cehua\trunk\&#25968;&#20540;&#25991;&#26723;\&#25968;&#20540;&#35774;&#35745;\&#32463;&#27982;&#34920;.xlsm" TargetMode="External"/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59;&#25104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资源-熔炼石"/>
      <sheetName val="资源-星宫碎片"/>
      <sheetName val="资源-群星碎片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资源-将魂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资源-星宫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</sheetNames>
    <sheetDataSet>
      <sheetData sheetId="0"/>
      <sheetData sheetId="1">
        <row r="3">
          <cell r="F3">
            <v>1</v>
          </cell>
          <cell r="G3">
            <v>7.1773462536293131E-2</v>
          </cell>
          <cell r="I3">
            <v>1</v>
          </cell>
          <cell r="J3">
            <v>7.4349177498517554E-3</v>
          </cell>
          <cell r="K3">
            <v>0.1</v>
          </cell>
          <cell r="N3" t="str">
            <v>对应玩家等级</v>
          </cell>
        </row>
        <row r="4">
          <cell r="F4">
            <v>2</v>
          </cell>
          <cell r="G4">
            <v>0.1486983549970351</v>
          </cell>
          <cell r="I4">
            <v>2</v>
          </cell>
          <cell r="J4">
            <v>2.3963093307967063E-2</v>
          </cell>
          <cell r="K4">
            <v>0.15</v>
          </cell>
          <cell r="N4">
            <v>2</v>
          </cell>
          <cell r="O4">
            <v>1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V4">
            <v>1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C4">
            <v>1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L4">
            <v>1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S4">
            <v>1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AZ4">
            <v>1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  <cell r="BI4">
            <v>1</v>
          </cell>
          <cell r="BJ4">
            <v>0.3</v>
          </cell>
          <cell r="BK4">
            <v>0.30599999999999999</v>
          </cell>
          <cell r="BL4">
            <v>0.318</v>
          </cell>
          <cell r="BM4">
            <v>0.34199999999999997</v>
          </cell>
          <cell r="BN4">
            <v>0.42</v>
          </cell>
          <cell r="BP4">
            <v>1</v>
          </cell>
          <cell r="BQ4">
            <v>0.10358867312681475</v>
          </cell>
          <cell r="BR4">
            <v>9.9484920169810143E-2</v>
          </cell>
          <cell r="BS4">
            <v>9.5370882117675193E-2</v>
          </cell>
          <cell r="BT4">
            <v>9.1267553415695812E-2</v>
          </cell>
          <cell r="BU4">
            <v>8.7269311817030126E-2</v>
          </cell>
          <cell r="BW4">
            <v>1</v>
          </cell>
          <cell r="BX4">
            <v>3.4919352669146524</v>
          </cell>
          <cell r="BY4">
            <v>3.5640303448543476</v>
          </cell>
          <cell r="BZ4">
            <v>3.6425338741664604</v>
          </cell>
          <cell r="CA4">
            <v>3.7278827947172908</v>
          </cell>
          <cell r="CB4">
            <v>3.8187662869079366</v>
          </cell>
          <cell r="CC4">
            <v>3.8187662869079366</v>
          </cell>
          <cell r="CE4">
            <v>3</v>
          </cell>
          <cell r="CF4">
            <v>7</v>
          </cell>
        </row>
        <row r="5">
          <cell r="F5">
            <v>3</v>
          </cell>
          <cell r="G5">
            <v>0.23114441334491631</v>
          </cell>
          <cell r="I5">
            <v>3</v>
          </cell>
          <cell r="J5">
            <v>5.1571656651039799E-2</v>
          </cell>
          <cell r="K5">
            <v>0.2</v>
          </cell>
          <cell r="N5">
            <v>4</v>
          </cell>
          <cell r="O5">
            <v>2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V5">
            <v>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C5">
            <v>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L5">
            <v>2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S5">
            <v>2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AZ5">
            <v>2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  <cell r="BI5">
            <v>2</v>
          </cell>
          <cell r="BJ5">
            <v>0.47499999999999998</v>
          </cell>
          <cell r="BK5">
            <v>0.48449999999999999</v>
          </cell>
          <cell r="BL5">
            <v>0.50349999999999995</v>
          </cell>
          <cell r="BM5">
            <v>0.54149999999999998</v>
          </cell>
          <cell r="BN5">
            <v>0.66499999999999992</v>
          </cell>
          <cell r="BP5">
            <v>2</v>
          </cell>
          <cell r="BQ5">
            <v>0.33387121731586833</v>
          </cell>
          <cell r="BR5">
            <v>0.3206446264738233</v>
          </cell>
          <cell r="BS5">
            <v>0.30738488628129679</v>
          </cell>
          <cell r="BT5">
            <v>0.29415966283336437</v>
          </cell>
          <cell r="BU5">
            <v>0.2812731401144638</v>
          </cell>
          <cell r="BW5">
            <v>2</v>
          </cell>
          <cell r="BX5">
            <v>4.977308377450588</v>
          </cell>
          <cell r="BY5">
            <v>5.0895603019048199</v>
          </cell>
          <cell r="BZ5">
            <v>5.2088085130582007</v>
          </cell>
          <cell r="CA5">
            <v>5.348253402094703</v>
          </cell>
          <cell r="CB5">
            <v>5.5020994005782997</v>
          </cell>
          <cell r="CC5">
            <v>5.5020994005782997</v>
          </cell>
          <cell r="CE5">
            <v>8</v>
          </cell>
          <cell r="CF5">
            <v>12</v>
          </cell>
        </row>
        <row r="6">
          <cell r="F6">
            <v>4</v>
          </cell>
          <cell r="G6">
            <v>0.3195079107728942</v>
          </cell>
          <cell r="I6">
            <v>4</v>
          </cell>
          <cell r="J6">
            <v>9.2637640824031031E-2</v>
          </cell>
          <cell r="K6">
            <v>0.25</v>
          </cell>
          <cell r="N6">
            <v>6</v>
          </cell>
          <cell r="O6">
            <v>3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V6">
            <v>3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C6">
            <v>3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L6">
            <v>3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S6">
            <v>3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AZ6">
            <v>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  <cell r="BI6">
            <v>3</v>
          </cell>
          <cell r="BJ6">
            <v>0.65</v>
          </cell>
          <cell r="BK6">
            <v>0.66300000000000003</v>
          </cell>
          <cell r="BL6">
            <v>0.68900000000000006</v>
          </cell>
          <cell r="BM6">
            <v>0.74099999999999999</v>
          </cell>
          <cell r="BN6">
            <v>0.90999999999999992</v>
          </cell>
          <cell r="BP6">
            <v>3</v>
          </cell>
          <cell r="BQ6">
            <v>0.71853377040242361</v>
          </cell>
          <cell r="BR6">
            <v>0.69006844696511282</v>
          </cell>
          <cell r="BS6">
            <v>0.66153178186505168</v>
          </cell>
          <cell r="BT6">
            <v>0.63306940123561561</v>
          </cell>
          <cell r="BU6">
            <v>0.60533594810650693</v>
          </cell>
          <cell r="BW6">
            <v>3</v>
          </cell>
          <cell r="BX6">
            <v>6.1165253069520942</v>
          </cell>
          <cell r="BY6">
            <v>6.2666264078379221</v>
          </cell>
          <cell r="BZ6">
            <v>6.4370802003692873</v>
          </cell>
          <cell r="CA6">
            <v>6.6323388358436492</v>
          </cell>
          <cell r="CB6">
            <v>6.8403179035964721</v>
          </cell>
          <cell r="CC6">
            <v>6.8403179035964721</v>
          </cell>
          <cell r="CE6">
            <v>13</v>
          </cell>
          <cell r="CF6">
            <v>15</v>
          </cell>
        </row>
        <row r="7">
          <cell r="F7">
            <v>5</v>
          </cell>
          <cell r="G7">
            <v>0.41421356237309515</v>
          </cell>
          <cell r="I7">
            <v>5</v>
          </cell>
          <cell r="J7">
            <v>0.15</v>
          </cell>
          <cell r="K7">
            <v>0.3</v>
          </cell>
          <cell r="N7">
            <v>8</v>
          </cell>
          <cell r="O7">
            <v>4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V7">
            <v>4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C7">
            <v>4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L7">
            <v>4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S7">
            <v>4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AZ7">
            <v>4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  <cell r="BI7">
            <v>4</v>
          </cell>
          <cell r="BJ7">
            <v>0.82499999999999996</v>
          </cell>
          <cell r="BK7">
            <v>0.84149999999999991</v>
          </cell>
          <cell r="BL7">
            <v>0.87449999999999994</v>
          </cell>
          <cell r="BM7">
            <v>0.94049999999999989</v>
          </cell>
          <cell r="BN7">
            <v>1.1549999999999998</v>
          </cell>
          <cell r="BP7">
            <v>4</v>
          </cell>
          <cell r="BQ7">
            <v>1.2712279162221225</v>
          </cell>
          <cell r="BR7">
            <v>1.2194461831474863</v>
          </cell>
          <cell r="BS7">
            <v>1.1691695709192234</v>
          </cell>
          <cell r="BT7">
            <v>1.1200180669001034</v>
          </cell>
          <cell r="BU7">
            <v>1.0742533268514161</v>
          </cell>
          <cell r="BW7">
            <v>4</v>
          </cell>
          <cell r="BX7">
            <v>7.0702756195404151</v>
          </cell>
          <cell r="BY7">
            <v>7.2477985806027867</v>
          </cell>
          <cell r="BZ7">
            <v>7.4530595043311552</v>
          </cell>
          <cell r="CA7">
            <v>7.6839780435255705</v>
          </cell>
          <cell r="CB7">
            <v>7.9454083416525796</v>
          </cell>
          <cell r="CC7">
            <v>7.9454083416525796</v>
          </cell>
          <cell r="CE7">
            <v>18</v>
          </cell>
          <cell r="CF7">
            <v>18</v>
          </cell>
        </row>
        <row r="8">
          <cell r="B8">
            <v>10</v>
          </cell>
          <cell r="C8">
            <v>1</v>
          </cell>
          <cell r="D8">
            <v>1</v>
          </cell>
          <cell r="F8">
            <v>6</v>
          </cell>
          <cell r="G8">
            <v>0.51571656651039799</v>
          </cell>
          <cell r="I8">
            <v>6</v>
          </cell>
          <cell r="J8">
            <v>0.22055744069899194</v>
          </cell>
          <cell r="K8">
            <v>0.34</v>
          </cell>
          <cell r="N8">
            <v>10</v>
          </cell>
          <cell r="O8">
            <v>5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V8">
            <v>5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C8">
            <v>5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L8">
            <v>5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S8">
            <v>5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AZ8">
            <v>5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  <cell r="BI8">
            <v>5</v>
          </cell>
          <cell r="BJ8">
            <v>1</v>
          </cell>
          <cell r="BK8">
            <v>1.02</v>
          </cell>
          <cell r="BL8">
            <v>1.06</v>
          </cell>
          <cell r="BM8">
            <v>1.1399999999999999</v>
          </cell>
          <cell r="BN8">
            <v>1.4</v>
          </cell>
          <cell r="BP8">
            <v>5</v>
          </cell>
          <cell r="BQ8">
            <v>2.0157878378790723</v>
          </cell>
          <cell r="BR8">
            <v>1.9225452774961409</v>
          </cell>
          <cell r="BS8">
            <v>1.830216243198636</v>
          </cell>
          <cell r="BT8">
            <v>1.7360956328017618</v>
          </cell>
          <cell r="BU8">
            <v>1.6465506273391022</v>
          </cell>
          <cell r="BW8">
            <v>5</v>
          </cell>
          <cell r="BX8">
            <v>7.8924592775257718</v>
          </cell>
          <cell r="BY8">
            <v>8.0964284787133458</v>
          </cell>
          <cell r="BZ8">
            <v>8.3140998912475936</v>
          </cell>
          <cell r="CA8">
            <v>8.5599968276049641</v>
          </cell>
          <cell r="CB8">
            <v>8.8384248761652557</v>
          </cell>
          <cell r="CC8">
            <v>8.8384248761652557</v>
          </cell>
          <cell r="CE8">
            <v>23</v>
          </cell>
          <cell r="CF8">
            <v>21</v>
          </cell>
        </row>
        <row r="9">
          <cell r="B9">
            <v>20</v>
          </cell>
          <cell r="C9">
            <v>3</v>
          </cell>
          <cell r="D9">
            <v>2</v>
          </cell>
          <cell r="F9">
            <v>7</v>
          </cell>
          <cell r="G9">
            <v>0.62450479271247095</v>
          </cell>
          <cell r="I9">
            <v>7</v>
          </cell>
          <cell r="J9">
            <v>0.31141300609369982</v>
          </cell>
          <cell r="K9">
            <v>0.38</v>
          </cell>
          <cell r="N9">
            <v>12</v>
          </cell>
          <cell r="O9">
            <v>6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V9">
            <v>6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C9">
            <v>6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L9">
            <v>6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S9">
            <v>6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AZ9">
            <v>6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  <cell r="BI9">
            <v>6</v>
          </cell>
          <cell r="BJ9">
            <v>1.0333333333333334</v>
          </cell>
          <cell r="BK9">
            <v>1.054</v>
          </cell>
          <cell r="BL9">
            <v>1.0953333333333335</v>
          </cell>
          <cell r="BM9">
            <v>1.1779999999999999</v>
          </cell>
          <cell r="BN9">
            <v>1.4466666666666668</v>
          </cell>
          <cell r="BP9">
            <v>6</v>
          </cell>
          <cell r="BQ9">
            <v>2.871589098883871</v>
          </cell>
          <cell r="BR9">
            <v>2.7261617729946108</v>
          </cell>
          <cell r="BS9">
            <v>2.5843312604883417</v>
          </cell>
          <cell r="BT9">
            <v>2.4445753343885266</v>
          </cell>
          <cell r="BU9">
            <v>2.3151343284372583</v>
          </cell>
          <cell r="BW9">
            <v>6</v>
          </cell>
          <cell r="BX9">
            <v>8.6175479890862157</v>
          </cell>
          <cell r="BY9">
            <v>8.849843797743457</v>
          </cell>
          <cell r="BZ9">
            <v>9.1007395721182949</v>
          </cell>
          <cell r="CA9">
            <v>9.3635025505897787</v>
          </cell>
          <cell r="CB9">
            <v>9.6752186318997833</v>
          </cell>
          <cell r="CC9">
            <v>9.6752186318997833</v>
          </cell>
          <cell r="CE9">
            <v>28</v>
          </cell>
          <cell r="CF9">
            <v>24</v>
          </cell>
        </row>
        <row r="10">
          <cell r="B10">
            <v>30</v>
          </cell>
          <cell r="C10">
            <v>7</v>
          </cell>
          <cell r="D10">
            <v>4</v>
          </cell>
          <cell r="F10">
            <v>8</v>
          </cell>
          <cell r="G10">
            <v>0.74110112659224825</v>
          </cell>
          <cell r="I10">
            <v>8</v>
          </cell>
          <cell r="J10">
            <v>0.42660095793436714</v>
          </cell>
          <cell r="K10">
            <v>0.42</v>
          </cell>
          <cell r="N10">
            <v>14</v>
          </cell>
          <cell r="O10">
            <v>7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V10">
            <v>7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C10">
            <v>7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L10">
            <v>7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S10">
            <v>7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AZ10">
            <v>7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  <cell r="BI10">
            <v>7</v>
          </cell>
          <cell r="BJ10">
            <v>1.0666666666666669</v>
          </cell>
          <cell r="BK10">
            <v>1.0880000000000003</v>
          </cell>
          <cell r="BL10">
            <v>1.1306666666666669</v>
          </cell>
          <cell r="BM10">
            <v>1.2160000000000002</v>
          </cell>
          <cell r="BN10">
            <v>1.4933333333333336</v>
          </cell>
          <cell r="BP10">
            <v>7</v>
          </cell>
          <cell r="BQ10">
            <v>3.9083908523902386</v>
          </cell>
          <cell r="BR10">
            <v>3.7000938700170019</v>
          </cell>
          <cell r="BS10">
            <v>3.4949550680198662</v>
          </cell>
          <cell r="BT10">
            <v>3.2977452115900578</v>
          </cell>
          <cell r="BU10">
            <v>3.1175616442680676</v>
          </cell>
          <cell r="BW10">
            <v>7</v>
          </cell>
          <cell r="BX10">
            <v>9.2992754060675331</v>
          </cell>
          <cell r="BY10">
            <v>9.5403165281128111</v>
          </cell>
          <cell r="BZ10">
            <v>9.8205867658616608</v>
          </cell>
          <cell r="CA10">
            <v>10.128686248037246</v>
          </cell>
          <cell r="CB10">
            <v>10.460138723751793</v>
          </cell>
          <cell r="CC10">
            <v>10.460138723751793</v>
          </cell>
          <cell r="CE10">
            <v>33</v>
          </cell>
          <cell r="CF10">
            <v>26</v>
          </cell>
        </row>
        <row r="11">
          <cell r="B11">
            <v>40</v>
          </cell>
          <cell r="C11">
            <v>15</v>
          </cell>
          <cell r="D11">
            <v>8</v>
          </cell>
          <cell r="F11">
            <v>9</v>
          </cell>
          <cell r="G11">
            <v>0.86606598307361482</v>
          </cell>
          <cell r="I11">
            <v>9</v>
          </cell>
          <cell r="J11">
            <v>0.57090651823243421</v>
          </cell>
          <cell r="K11">
            <v>0.46</v>
          </cell>
          <cell r="N11">
            <v>16</v>
          </cell>
          <cell r="O11">
            <v>8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V11">
            <v>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C11">
            <v>8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L11">
            <v>8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S11">
            <v>8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AZ11">
            <v>8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  <cell r="BI11">
            <v>8</v>
          </cell>
          <cell r="BJ11">
            <v>1.1000000000000003</v>
          </cell>
          <cell r="BK11">
            <v>1.1220000000000003</v>
          </cell>
          <cell r="BL11">
            <v>1.1660000000000004</v>
          </cell>
          <cell r="BM11">
            <v>1.2540000000000002</v>
          </cell>
          <cell r="BN11">
            <v>1.5400000000000003</v>
          </cell>
          <cell r="BP11">
            <v>8</v>
          </cell>
          <cell r="BQ11">
            <v>5.1220396939633002</v>
          </cell>
          <cell r="BR11">
            <v>4.8616228494416447</v>
          </cell>
          <cell r="BS11">
            <v>4.5815795834661612</v>
          </cell>
          <cell r="BT11">
            <v>4.3105632736922681</v>
          </cell>
          <cell r="BU11">
            <v>4.0494061619177515</v>
          </cell>
          <cell r="BW11">
            <v>8</v>
          </cell>
          <cell r="BX11">
            <v>9.9503115729287064</v>
          </cell>
          <cell r="BY11">
            <v>10.209179596854964</v>
          </cell>
          <cell r="BZ11">
            <v>10.501003645853389</v>
          </cell>
          <cell r="CA11">
            <v>10.838817158161019</v>
          </cell>
          <cell r="CB11">
            <v>11.201197012273351</v>
          </cell>
          <cell r="CC11">
            <v>11.201197012273351</v>
          </cell>
          <cell r="CE11">
            <v>38</v>
          </cell>
          <cell r="CF11">
            <v>28</v>
          </cell>
        </row>
        <row r="12">
          <cell r="B12">
            <v>50</v>
          </cell>
          <cell r="C12">
            <v>31</v>
          </cell>
          <cell r="D12">
            <v>16</v>
          </cell>
          <cell r="F12">
            <v>10</v>
          </cell>
          <cell r="G12">
            <v>1</v>
          </cell>
          <cell r="I12">
            <v>10</v>
          </cell>
          <cell r="J12">
            <v>0.75</v>
          </cell>
          <cell r="K12">
            <v>0.5</v>
          </cell>
          <cell r="N12">
            <v>18</v>
          </cell>
          <cell r="O12">
            <v>9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V12">
            <v>9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C12">
            <v>9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L12">
            <v>9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S12">
            <v>9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AZ12">
            <v>9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  <cell r="BI12">
            <v>9</v>
          </cell>
          <cell r="BJ12">
            <v>1.1333333333333337</v>
          </cell>
          <cell r="BK12">
            <v>1.1560000000000004</v>
          </cell>
          <cell r="BL12">
            <v>1.2013333333333338</v>
          </cell>
          <cell r="BM12">
            <v>1.2920000000000003</v>
          </cell>
          <cell r="BN12">
            <v>1.5866666666666671</v>
          </cell>
          <cell r="BP12">
            <v>9</v>
          </cell>
          <cell r="BQ12">
            <v>6.5073154848533106</v>
          </cell>
          <cell r="BR12">
            <v>6.182955000821134</v>
          </cell>
          <cell r="BS12">
            <v>5.8458242478885518</v>
          </cell>
          <cell r="BT12">
            <v>5.4937555014634736</v>
          </cell>
          <cell r="BU12">
            <v>5.1616447031846953</v>
          </cell>
          <cell r="BW12">
            <v>9</v>
          </cell>
          <cell r="BX12">
            <v>10.62858551654854</v>
          </cell>
          <cell r="BY12">
            <v>10.92759887154785</v>
          </cell>
          <cell r="BZ12">
            <v>11.242219885173299</v>
          </cell>
          <cell r="CA12">
            <v>11.610247668732617</v>
          </cell>
          <cell r="CB12">
            <v>12.017497952687538</v>
          </cell>
          <cell r="CC12">
            <v>12.017497952687538</v>
          </cell>
          <cell r="CE12">
            <v>43</v>
          </cell>
          <cell r="CF12">
            <v>30</v>
          </cell>
        </row>
        <row r="13">
          <cell r="B13">
            <v>60</v>
          </cell>
          <cell r="C13">
            <v>63</v>
          </cell>
          <cell r="D13">
            <v>32</v>
          </cell>
          <cell r="F13">
            <v>11</v>
          </cell>
          <cell r="G13">
            <v>1.1435469250725863</v>
          </cell>
          <cell r="I13">
            <v>11</v>
          </cell>
          <cell r="J13">
            <v>0.93464628919691628</v>
          </cell>
          <cell r="K13">
            <v>0.52</v>
          </cell>
          <cell r="N13">
            <v>20</v>
          </cell>
          <cell r="O13">
            <v>10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V13">
            <v>10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C13">
            <v>10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L13">
            <v>10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S13">
            <v>10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AZ13">
            <v>10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  <cell r="BI13">
            <v>10</v>
          </cell>
          <cell r="BJ13">
            <v>1.1666666666666672</v>
          </cell>
          <cell r="BK13">
            <v>1.1900000000000006</v>
          </cell>
          <cell r="BL13">
            <v>1.2366666666666672</v>
          </cell>
          <cell r="BM13">
            <v>1.3300000000000005</v>
          </cell>
          <cell r="BN13">
            <v>1.633333333333334</v>
          </cell>
          <cell r="BP13">
            <v>10</v>
          </cell>
          <cell r="BQ13">
            <v>8.071211008105136</v>
          </cell>
          <cell r="BR13">
            <v>7.6806609280366285</v>
          </cell>
          <cell r="BS13">
            <v>7.2577959560771719</v>
          </cell>
          <cell r="BT13">
            <v>6.8275081581253696</v>
          </cell>
          <cell r="BU13">
            <v>6.4063898414553373</v>
          </cell>
          <cell r="BW13">
            <v>10</v>
          </cell>
          <cell r="BX13">
            <v>11.296493250964016</v>
          </cell>
          <cell r="BY13">
            <v>11.607260419981094</v>
          </cell>
          <cell r="BZ13">
            <v>11.973224677412396</v>
          </cell>
          <cell r="CA13">
            <v>12.359692277800681</v>
          </cell>
          <cell r="CB13">
            <v>12.803444306803474</v>
          </cell>
          <cell r="CC13">
            <v>12.803444306803474</v>
          </cell>
          <cell r="CE13">
            <v>48</v>
          </cell>
          <cell r="CF13">
            <v>33</v>
          </cell>
        </row>
        <row r="14">
          <cell r="B14">
            <v>70</v>
          </cell>
          <cell r="C14">
            <v>127</v>
          </cell>
          <cell r="D14">
            <v>64</v>
          </cell>
          <cell r="F14">
            <v>12</v>
          </cell>
          <cell r="G14">
            <v>1.2973967099940702</v>
          </cell>
          <cell r="I14">
            <v>12</v>
          </cell>
          <cell r="J14">
            <v>1.1550685436347259</v>
          </cell>
          <cell r="K14">
            <v>0.54</v>
          </cell>
          <cell r="N14">
            <v>21</v>
          </cell>
          <cell r="O14">
            <v>11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V14">
            <v>11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C14">
            <v>11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L14">
            <v>11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S14">
            <v>11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AZ14">
            <v>11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  <cell r="BI14">
            <v>11</v>
          </cell>
          <cell r="BJ14">
            <v>1.2000000000000006</v>
          </cell>
          <cell r="BK14">
            <v>1.2240000000000006</v>
          </cell>
          <cell r="BL14">
            <v>1.2720000000000007</v>
          </cell>
          <cell r="BM14">
            <v>1.3680000000000005</v>
          </cell>
          <cell r="BN14">
            <v>1.6800000000000008</v>
          </cell>
          <cell r="BP14">
            <v>11</v>
          </cell>
          <cell r="BQ14">
            <v>9.5120454660969038</v>
          </cell>
          <cell r="BR14">
            <v>9.0908055284315381</v>
          </cell>
          <cell r="BS14">
            <v>8.6331257373661145</v>
          </cell>
          <cell r="BT14">
            <v>8.1811718053632738</v>
          </cell>
          <cell r="BU14">
            <v>7.6920934414083888</v>
          </cell>
          <cell r="BW14">
            <v>11</v>
          </cell>
          <cell r="BX14">
            <v>11.947729331634296</v>
          </cell>
          <cell r="BY14">
            <v>12.268098330256127</v>
          </cell>
          <cell r="BZ14">
            <v>12.644330976574002</v>
          </cell>
          <cell r="CA14">
            <v>13.069974059992543</v>
          </cell>
          <cell r="CB14">
            <v>13.547253897167892</v>
          </cell>
          <cell r="CC14">
            <v>13.547253897167892</v>
          </cell>
          <cell r="CE14">
            <v>53</v>
          </cell>
          <cell r="CF14">
            <v>35</v>
          </cell>
        </row>
        <row r="15">
          <cell r="B15">
            <v>80</v>
          </cell>
          <cell r="C15">
            <v>255</v>
          </cell>
          <cell r="D15">
            <v>128</v>
          </cell>
          <cell r="F15">
            <v>13</v>
          </cell>
          <cell r="G15">
            <v>1.4622888266898326</v>
          </cell>
          <cell r="I15">
            <v>13</v>
          </cell>
          <cell r="J15">
            <v>1.417602554491646</v>
          </cell>
          <cell r="K15">
            <v>0.56000000000000005</v>
          </cell>
          <cell r="N15">
            <v>22</v>
          </cell>
          <cell r="O15">
            <v>12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V15">
            <v>12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C15">
            <v>12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L15">
            <v>12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S15">
            <v>12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AZ15">
            <v>12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  <cell r="BI15">
            <v>12</v>
          </cell>
          <cell r="BJ15">
            <v>1.2333333333333341</v>
          </cell>
          <cell r="BK15">
            <v>1.2580000000000007</v>
          </cell>
          <cell r="BL15">
            <v>1.3073333333333341</v>
          </cell>
          <cell r="BM15">
            <v>1.4060000000000008</v>
          </cell>
          <cell r="BN15">
            <v>1.7266666666666677</v>
          </cell>
          <cell r="BP15">
            <v>12</v>
          </cell>
          <cell r="BQ15">
            <v>11.074888753130331</v>
          </cell>
          <cell r="BR15">
            <v>10.551555449265667</v>
          </cell>
          <cell r="BS15">
            <v>10.033713322824047</v>
          </cell>
          <cell r="BT15">
            <v>9.4763743598650301</v>
          </cell>
          <cell r="BU15">
            <v>8.9745731744178503</v>
          </cell>
          <cell r="BW15">
            <v>12</v>
          </cell>
          <cell r="BX15">
            <v>12.542132297048981</v>
          </cell>
          <cell r="BY15">
            <v>12.897943579612605</v>
          </cell>
          <cell r="BZ15">
            <v>13.295232951964469</v>
          </cell>
          <cell r="CA15">
            <v>13.76223932139796</v>
          </cell>
          <cell r="CB15">
            <v>14.265591764569512</v>
          </cell>
          <cell r="CC15">
            <v>14.265591764569512</v>
          </cell>
          <cell r="CE15">
            <v>58</v>
          </cell>
          <cell r="CF15">
            <v>37</v>
          </cell>
        </row>
        <row r="16">
          <cell r="B16">
            <v>90</v>
          </cell>
          <cell r="C16">
            <v>511</v>
          </cell>
          <cell r="D16">
            <v>256</v>
          </cell>
          <cell r="F16">
            <v>14</v>
          </cell>
          <cell r="G16">
            <v>1.6390158215457884</v>
          </cell>
          <cell r="I16">
            <v>14</v>
          </cell>
          <cell r="J16">
            <v>1.7296773068470075</v>
          </cell>
          <cell r="K16">
            <v>0.57999999999999996</v>
          </cell>
          <cell r="N16">
            <v>23</v>
          </cell>
          <cell r="O16">
            <v>13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V16">
            <v>13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C16">
            <v>13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L16">
            <v>13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S16">
            <v>13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AZ16">
            <v>13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  <cell r="BI16">
            <v>13</v>
          </cell>
          <cell r="BJ16">
            <v>1.2666666666666675</v>
          </cell>
          <cell r="BK16">
            <v>1.2920000000000009</v>
          </cell>
          <cell r="BL16">
            <v>1.3426666666666676</v>
          </cell>
          <cell r="BM16">
            <v>1.4440000000000008</v>
          </cell>
          <cell r="BN16">
            <v>1.7733333333333343</v>
          </cell>
          <cell r="BP16">
            <v>13</v>
          </cell>
          <cell r="BQ16">
            <v>12.728996915718925</v>
          </cell>
          <cell r="BR16">
            <v>12.142721275836225</v>
          </cell>
          <cell r="BS16">
            <v>11.503343391504416</v>
          </cell>
          <cell r="BT16">
            <v>10.885031205321049</v>
          </cell>
          <cell r="BU16">
            <v>10.232039772979649</v>
          </cell>
          <cell r="BW16">
            <v>13</v>
          </cell>
          <cell r="BX16">
            <v>13.143190924164548</v>
          </cell>
          <cell r="BY16">
            <v>13.515704114816591</v>
          </cell>
          <cell r="BZ16">
            <v>13.955379012797932</v>
          </cell>
          <cell r="CA16">
            <v>14.429987921274376</v>
          </cell>
          <cell r="CB16">
            <v>14.981817088938907</v>
          </cell>
          <cell r="CC16">
            <v>14.981817088938907</v>
          </cell>
          <cell r="CE16">
            <v>63</v>
          </cell>
          <cell r="CF16">
            <v>39</v>
          </cell>
        </row>
        <row r="17">
          <cell r="B17">
            <v>100</v>
          </cell>
          <cell r="C17">
            <v>1023</v>
          </cell>
          <cell r="D17">
            <v>512</v>
          </cell>
          <cell r="F17">
            <v>15</v>
          </cell>
          <cell r="G17">
            <v>1.8284271247461898</v>
          </cell>
          <cell r="I17">
            <v>15</v>
          </cell>
          <cell r="J17">
            <v>2.1</v>
          </cell>
          <cell r="K17">
            <v>0.6</v>
          </cell>
          <cell r="N17">
            <v>24</v>
          </cell>
          <cell r="O17">
            <v>14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V17">
            <v>14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C17">
            <v>14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L17">
            <v>14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S17">
            <v>14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AZ17">
            <v>14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  <cell r="BI17">
            <v>14</v>
          </cell>
          <cell r="BJ17">
            <v>1.3000000000000009</v>
          </cell>
          <cell r="BK17">
            <v>1.326000000000001</v>
          </cell>
          <cell r="BL17">
            <v>1.378000000000001</v>
          </cell>
          <cell r="BM17">
            <v>1.4820000000000009</v>
          </cell>
          <cell r="BN17">
            <v>1.8200000000000012</v>
          </cell>
          <cell r="BP17">
            <v>14</v>
          </cell>
          <cell r="BQ17">
            <v>14.478648759442287</v>
          </cell>
          <cell r="BR17">
            <v>13.801686811891411</v>
          </cell>
          <cell r="BS17">
            <v>13.066802237788149</v>
          </cell>
          <cell r="BT17">
            <v>12.317859861087916</v>
          </cell>
          <cell r="BU17">
            <v>11.589582338965862</v>
          </cell>
          <cell r="BW17">
            <v>14</v>
          </cell>
          <cell r="BX17">
            <v>13.709487920387797</v>
          </cell>
          <cell r="BY17">
            <v>14.100956885571147</v>
          </cell>
          <cell r="BZ17">
            <v>14.525291242595772</v>
          </cell>
          <cell r="CA17">
            <v>15.034528001908788</v>
          </cell>
          <cell r="CB17">
            <v>15.548154022600523</v>
          </cell>
          <cell r="CC17">
            <v>15.548154022600523</v>
          </cell>
          <cell r="CE17">
            <v>68</v>
          </cell>
          <cell r="CF17">
            <v>42</v>
          </cell>
        </row>
        <row r="18">
          <cell r="F18">
            <v>16</v>
          </cell>
          <cell r="G18">
            <v>2.031433133020796</v>
          </cell>
          <cell r="I18">
            <v>16</v>
          </cell>
          <cell r="J18">
            <v>2.5387719203926467</v>
          </cell>
          <cell r="K18">
            <v>0.62</v>
          </cell>
          <cell r="N18">
            <v>25</v>
          </cell>
          <cell r="O18">
            <v>15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V18">
            <v>15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C18">
            <v>15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L18">
            <v>15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S18">
            <v>15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AZ18">
            <v>15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  <cell r="BI18">
            <v>15</v>
          </cell>
          <cell r="BJ18">
            <v>1.3333333333333344</v>
          </cell>
          <cell r="BK18">
            <v>1.360000000000001</v>
          </cell>
          <cell r="BL18">
            <v>1.4133333333333344</v>
          </cell>
          <cell r="BM18">
            <v>1.5200000000000011</v>
          </cell>
          <cell r="BN18">
            <v>1.866666666666668</v>
          </cell>
          <cell r="BP18">
            <v>15</v>
          </cell>
          <cell r="BQ18">
            <v>16.315139190025224</v>
          </cell>
          <cell r="BR18">
            <v>15.561358773741674</v>
          </cell>
          <cell r="BS18">
            <v>14.762349831349963</v>
          </cell>
          <cell r="BT18">
            <v>13.933035582501875</v>
          </cell>
          <cell r="BU18">
            <v>13.02723395474071</v>
          </cell>
          <cell r="BW18">
            <v>15</v>
          </cell>
          <cell r="BX18">
            <v>14.266658834916136</v>
          </cell>
          <cell r="BY18">
            <v>14.660415593263824</v>
          </cell>
          <cell r="BZ18">
            <v>15.124897159472612</v>
          </cell>
          <cell r="CA18">
            <v>15.620787661421978</v>
          </cell>
          <cell r="CB18">
            <v>16.186655799493046</v>
          </cell>
          <cell r="CC18">
            <v>16.186655799493046</v>
          </cell>
          <cell r="CE18">
            <v>73</v>
          </cell>
          <cell r="CF18">
            <v>44</v>
          </cell>
        </row>
        <row r="19">
          <cell r="F19">
            <v>17</v>
          </cell>
          <cell r="G19">
            <v>2.2490095854249419</v>
          </cell>
          <cell r="I19">
            <v>17</v>
          </cell>
          <cell r="J19">
            <v>3.0579402515786085</v>
          </cell>
          <cell r="K19">
            <v>0.64</v>
          </cell>
          <cell r="N19">
            <v>26</v>
          </cell>
          <cell r="O19">
            <v>16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V19">
            <v>16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C19">
            <v>16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L19">
            <v>16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S19">
            <v>16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AZ19">
            <v>16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  <cell r="BI19">
            <v>16</v>
          </cell>
          <cell r="BJ19">
            <v>1.3666666666666678</v>
          </cell>
          <cell r="BK19">
            <v>1.3940000000000012</v>
          </cell>
          <cell r="BL19">
            <v>1.4486666666666679</v>
          </cell>
          <cell r="BM19">
            <v>1.5580000000000012</v>
          </cell>
          <cell r="BN19">
            <v>1.9133333333333349</v>
          </cell>
          <cell r="BP19">
            <v>16</v>
          </cell>
          <cell r="BQ19">
            <v>18.226342304552581</v>
          </cell>
          <cell r="BR19">
            <v>17.420973982667814</v>
          </cell>
          <cell r="BS19">
            <v>16.55360159735687</v>
          </cell>
          <cell r="BT19">
            <v>15.589627930182091</v>
          </cell>
          <cell r="BU19">
            <v>14.671687356650759</v>
          </cell>
          <cell r="BW19">
            <v>16</v>
          </cell>
          <cell r="BX19">
            <v>14.814845624513547</v>
          </cell>
          <cell r="BY19">
            <v>15.223953663630512</v>
          </cell>
          <cell r="BZ19">
            <v>15.68326996451129</v>
          </cell>
          <cell r="CA19">
            <v>16.223055450854915</v>
          </cell>
          <cell r="CB19">
            <v>16.836396297114952</v>
          </cell>
          <cell r="CC19">
            <v>16.836396297114952</v>
          </cell>
          <cell r="CE19">
            <v>78</v>
          </cell>
          <cell r="CF19">
            <v>46</v>
          </cell>
        </row>
        <row r="20">
          <cell r="F20">
            <v>18</v>
          </cell>
          <cell r="G20">
            <v>2.4822022531844965</v>
          </cell>
          <cell r="I20">
            <v>18</v>
          </cell>
          <cell r="J20">
            <v>3.671491735587451</v>
          </cell>
          <cell r="K20">
            <v>0.66</v>
          </cell>
          <cell r="N20">
            <v>27</v>
          </cell>
          <cell r="O20">
            <v>17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V20">
            <v>17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C20">
            <v>17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L20">
            <v>17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S20">
            <v>17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AZ20">
            <v>17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  <cell r="BI20">
            <v>17</v>
          </cell>
          <cell r="BJ20">
            <v>1.4000000000000012</v>
          </cell>
          <cell r="BK20">
            <v>1.4280000000000013</v>
          </cell>
          <cell r="BL20">
            <v>1.4840000000000013</v>
          </cell>
          <cell r="BM20">
            <v>1.5960000000000012</v>
          </cell>
          <cell r="BN20">
            <v>1.9600000000000015</v>
          </cell>
          <cell r="BP20">
            <v>17</v>
          </cell>
          <cell r="BQ20">
            <v>20.20181641490861</v>
          </cell>
          <cell r="BR20">
            <v>19.316761289213389</v>
          </cell>
          <cell r="BS20">
            <v>18.361080760620879</v>
          </cell>
          <cell r="BT20">
            <v>17.369785176246889</v>
          </cell>
          <cell r="BU20">
            <v>16.290326765372022</v>
          </cell>
          <cell r="BW20">
            <v>17</v>
          </cell>
          <cell r="BX20">
            <v>15.339606019664149</v>
          </cell>
          <cell r="BY20">
            <v>15.750302066190816</v>
          </cell>
          <cell r="BZ20">
            <v>16.215846584296784</v>
          </cell>
          <cell r="CA20">
            <v>16.764198848718195</v>
          </cell>
          <cell r="CB20">
            <v>17.338393226762065</v>
          </cell>
          <cell r="CC20">
            <v>17.338393226762065</v>
          </cell>
          <cell r="CE20">
            <v>83</v>
          </cell>
          <cell r="CF20">
            <v>49</v>
          </cell>
        </row>
        <row r="21">
          <cell r="F21">
            <v>19</v>
          </cell>
          <cell r="G21">
            <v>2.7321319661472296</v>
          </cell>
          <cell r="I21">
            <v>19</v>
          </cell>
          <cell r="J21">
            <v>4.3957950643309154</v>
          </cell>
          <cell r="K21">
            <v>0.68</v>
          </cell>
          <cell r="N21">
            <v>28</v>
          </cell>
          <cell r="O21">
            <v>18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V21">
            <v>18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C21">
            <v>18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L21">
            <v>18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S21">
            <v>18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AZ21">
            <v>18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  <cell r="BI21">
            <v>18</v>
          </cell>
          <cell r="BJ21">
            <v>1.4333333333333347</v>
          </cell>
          <cell r="BK21">
            <v>1.4620000000000013</v>
          </cell>
          <cell r="BL21">
            <v>1.5193333333333348</v>
          </cell>
          <cell r="BM21">
            <v>1.6340000000000015</v>
          </cell>
          <cell r="BN21">
            <v>2.0066666666666686</v>
          </cell>
          <cell r="BP21">
            <v>18</v>
          </cell>
          <cell r="BQ21">
            <v>22.23257120211764</v>
          </cell>
          <cell r="BR21">
            <v>21.313236761787984</v>
          </cell>
          <cell r="BS21">
            <v>20.31364557414641</v>
          </cell>
          <cell r="BT21">
            <v>19.206606162403641</v>
          </cell>
          <cell r="BU21">
            <v>18.113419670820548</v>
          </cell>
          <cell r="BW21">
            <v>18</v>
          </cell>
          <cell r="BX21">
            <v>15.871072726902106</v>
          </cell>
          <cell r="BY21">
            <v>16.290260811148702</v>
          </cell>
          <cell r="BZ21">
            <v>16.78909022643807</v>
          </cell>
          <cell r="CA21">
            <v>17.340049562343136</v>
          </cell>
          <cell r="CB21">
            <v>17.928688718553115</v>
          </cell>
          <cell r="CC21">
            <v>17.928688718553115</v>
          </cell>
          <cell r="CE21">
            <v>88</v>
          </cell>
          <cell r="CF21">
            <v>51</v>
          </cell>
        </row>
        <row r="22">
          <cell r="F22">
            <v>20</v>
          </cell>
          <cell r="G22">
            <v>3</v>
          </cell>
          <cell r="I22">
            <v>20</v>
          </cell>
          <cell r="J22">
            <v>5.25</v>
          </cell>
          <cell r="K22">
            <v>0.7</v>
          </cell>
          <cell r="N22">
            <v>29</v>
          </cell>
          <cell r="O22">
            <v>19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V22">
            <v>19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C22">
            <v>19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L22">
            <v>19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S22">
            <v>19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AZ22">
            <v>19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  <cell r="BI22">
            <v>19</v>
          </cell>
          <cell r="BJ22">
            <v>1.4666666666666681</v>
          </cell>
          <cell r="BK22">
            <v>1.4960000000000016</v>
          </cell>
          <cell r="BL22">
            <v>1.5546666666666682</v>
          </cell>
          <cell r="BM22">
            <v>1.6720000000000015</v>
          </cell>
          <cell r="BN22">
            <v>2.0533333333333355</v>
          </cell>
          <cell r="BP22">
            <v>19</v>
          </cell>
          <cell r="BQ22">
            <v>24.310866931512376</v>
          </cell>
          <cell r="BR22">
            <v>23.346355732194773</v>
          </cell>
          <cell r="BS22">
            <v>22.270075478919804</v>
          </cell>
          <cell r="BT22">
            <v>21.127034033068878</v>
          </cell>
          <cell r="BU22">
            <v>19.990401674856564</v>
          </cell>
          <cell r="BW22">
            <v>19</v>
          </cell>
          <cell r="BX22">
            <v>16.372441911687645</v>
          </cell>
          <cell r="BY22">
            <v>16.824360525554045</v>
          </cell>
          <cell r="BZ22">
            <v>17.315787914321945</v>
          </cell>
          <cell r="CA22">
            <v>17.881687348051518</v>
          </cell>
          <cell r="CB22">
            <v>18.472191841608893</v>
          </cell>
          <cell r="CC22">
            <v>18.472191841608893</v>
          </cell>
          <cell r="CE22">
            <v>93</v>
          </cell>
          <cell r="CF22">
            <v>53</v>
          </cell>
        </row>
        <row r="23">
          <cell r="F23">
            <v>21</v>
          </cell>
          <cell r="G23">
            <v>3.2870938501451725</v>
          </cell>
          <cell r="I23">
            <v>21</v>
          </cell>
          <cell r="J23">
            <v>6.2565025247829205</v>
          </cell>
          <cell r="K23">
            <v>0.72</v>
          </cell>
          <cell r="N23">
            <v>30</v>
          </cell>
          <cell r="O23">
            <v>20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V23">
            <v>20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C23">
            <v>20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L23">
            <v>20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S23">
            <v>20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AZ23">
            <v>20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  <cell r="BI23">
            <v>20</v>
          </cell>
          <cell r="BJ23">
            <v>1.5000000000000016</v>
          </cell>
          <cell r="BK23">
            <v>1.5300000000000016</v>
          </cell>
          <cell r="BL23">
            <v>1.5900000000000016</v>
          </cell>
          <cell r="BM23">
            <v>1.7100000000000015</v>
          </cell>
          <cell r="BN23">
            <v>2.1000000000000019</v>
          </cell>
          <cell r="BP23">
            <v>20</v>
          </cell>
          <cell r="BQ23">
            <v>26.430041330048915</v>
          </cell>
          <cell r="BR23">
            <v>25.411137335118717</v>
          </cell>
          <cell r="BS23">
            <v>24.291601023356559</v>
          </cell>
          <cell r="BT23">
            <v>23.104674507319633</v>
          </cell>
          <cell r="BU23">
            <v>21.807019312177008</v>
          </cell>
          <cell r="BW23">
            <v>20</v>
          </cell>
          <cell r="BX23">
            <v>16.888397947066121</v>
          </cell>
          <cell r="BY23">
            <v>17.320567635394323</v>
          </cell>
          <cell r="BZ23">
            <v>17.821544339079665</v>
          </cell>
          <cell r="CA23">
            <v>18.384863983569073</v>
          </cell>
          <cell r="CB23">
            <v>19.004337291338853</v>
          </cell>
          <cell r="CC23">
            <v>19.004337291338853</v>
          </cell>
          <cell r="CE23">
            <v>98</v>
          </cell>
          <cell r="CF23">
            <v>55</v>
          </cell>
        </row>
        <row r="24">
          <cell r="B24">
            <v>5</v>
          </cell>
          <cell r="C24">
            <v>0.5</v>
          </cell>
          <cell r="D24">
            <v>0.5</v>
          </cell>
          <cell r="F24">
            <v>22</v>
          </cell>
          <cell r="G24">
            <v>3.5947934199881395</v>
          </cell>
          <cell r="I24">
            <v>22</v>
          </cell>
          <cell r="J24">
            <v>7.4414868317755332</v>
          </cell>
          <cell r="K24">
            <v>0.74</v>
          </cell>
          <cell r="N24">
            <v>31</v>
          </cell>
          <cell r="O24">
            <v>21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V24">
            <v>21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C24">
            <v>21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L24">
            <v>21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S24">
            <v>21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AZ24">
            <v>21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  <cell r="BI24">
            <v>21</v>
          </cell>
          <cell r="BJ24">
            <v>1.533333333333335</v>
          </cell>
          <cell r="BK24">
            <v>1.5640000000000016</v>
          </cell>
          <cell r="BL24">
            <v>1.6253333333333351</v>
          </cell>
          <cell r="BM24">
            <v>1.7480000000000018</v>
          </cell>
          <cell r="BN24">
            <v>2.1466666666666687</v>
          </cell>
          <cell r="BP24">
            <v>21</v>
          </cell>
          <cell r="BQ24">
            <v>28.584360328652647</v>
          </cell>
          <cell r="BR24">
            <v>27.538147336025965</v>
          </cell>
          <cell r="BS24">
            <v>26.374084715154964</v>
          </cell>
          <cell r="BT24">
            <v>25.113701488415835</v>
          </cell>
          <cell r="BU24">
            <v>23.834029842136172</v>
          </cell>
          <cell r="BW24">
            <v>21</v>
          </cell>
          <cell r="BX24">
            <v>17.373487155583607</v>
          </cell>
          <cell r="BY24">
            <v>17.826194772754434</v>
          </cell>
          <cell r="BZ24">
            <v>18.330803528855718</v>
          </cell>
          <cell r="CA24">
            <v>18.92494047784373</v>
          </cell>
          <cell r="CB24">
            <v>19.541473862851607</v>
          </cell>
          <cell r="CC24">
            <v>19.541473862851607</v>
          </cell>
          <cell r="CE24">
            <v>103</v>
          </cell>
          <cell r="CF24">
            <v>58</v>
          </cell>
        </row>
        <row r="25">
          <cell r="B25">
            <v>10</v>
          </cell>
          <cell r="C25">
            <v>1.5</v>
          </cell>
          <cell r="D25">
            <v>1</v>
          </cell>
          <cell r="F25">
            <v>23</v>
          </cell>
          <cell r="G25">
            <v>3.9245776533796644</v>
          </cell>
          <cell r="I25">
            <v>23</v>
          </cell>
          <cell r="J25">
            <v>8.8355567243832152</v>
          </cell>
          <cell r="K25">
            <v>0.76</v>
          </cell>
          <cell r="N25">
            <v>32</v>
          </cell>
          <cell r="O25">
            <v>22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V25">
            <v>22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C25">
            <v>22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L25">
            <v>22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S25">
            <v>22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AZ25">
            <v>22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  <cell r="BI25">
            <v>22</v>
          </cell>
          <cell r="BJ25">
            <v>1.5666666666666684</v>
          </cell>
          <cell r="BK25">
            <v>1.5980000000000019</v>
          </cell>
          <cell r="BL25">
            <v>1.6606666666666685</v>
          </cell>
          <cell r="BM25">
            <v>1.7860000000000018</v>
          </cell>
          <cell r="BN25">
            <v>2.1933333333333356</v>
          </cell>
          <cell r="BP25">
            <v>22</v>
          </cell>
          <cell r="BQ25">
            <v>30.768889392009427</v>
          </cell>
          <cell r="BR25">
            <v>29.682299134892848</v>
          </cell>
          <cell r="BS25">
            <v>28.504605619902428</v>
          </cell>
          <cell r="BT25">
            <v>27.228985792746204</v>
          </cell>
          <cell r="BU25">
            <v>25.905106178844033</v>
          </cell>
          <cell r="BW25">
            <v>22</v>
          </cell>
          <cell r="BX25">
            <v>17.874992861074709</v>
          </cell>
          <cell r="BY25">
            <v>18.322795653110926</v>
          </cell>
          <cell r="BZ25">
            <v>18.856122636792893</v>
          </cell>
          <cell r="CA25">
            <v>19.437362382301988</v>
          </cell>
          <cell r="CB25">
            <v>20.093055324260185</v>
          </cell>
          <cell r="CC25">
            <v>20.093055324260185</v>
          </cell>
          <cell r="CE25">
            <v>108</v>
          </cell>
          <cell r="CF25">
            <v>60</v>
          </cell>
        </row>
        <row r="26">
          <cell r="B26">
            <v>15</v>
          </cell>
          <cell r="C26">
            <v>3.5</v>
          </cell>
          <cell r="D26">
            <v>2</v>
          </cell>
          <cell r="F26">
            <v>24</v>
          </cell>
          <cell r="G26">
            <v>4.2780316430915768</v>
          </cell>
          <cell r="I26">
            <v>24</v>
          </cell>
          <cell r="J26">
            <v>10.47447102993563</v>
          </cell>
          <cell r="K26">
            <v>0.78</v>
          </cell>
          <cell r="N26">
            <v>33</v>
          </cell>
          <cell r="O26">
            <v>23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V26">
            <v>23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C26">
            <v>23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L26">
            <v>23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S26">
            <v>23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AZ26">
            <v>23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  <cell r="BI26">
            <v>23</v>
          </cell>
          <cell r="BJ26">
            <v>1.6000000000000019</v>
          </cell>
          <cell r="BK26">
            <v>1.6320000000000019</v>
          </cell>
          <cell r="BL26">
            <v>1.6960000000000022</v>
          </cell>
          <cell r="BM26">
            <v>1.8240000000000021</v>
          </cell>
          <cell r="BN26">
            <v>2.2400000000000024</v>
          </cell>
          <cell r="BP26">
            <v>23</v>
          </cell>
          <cell r="BQ26">
            <v>32.979382606869549</v>
          </cell>
          <cell r="BR26">
            <v>31.845462834406923</v>
          </cell>
          <cell r="BS26">
            <v>30.615521552489891</v>
          </cell>
          <cell r="BT26">
            <v>29.279653557700659</v>
          </cell>
          <cell r="BU26">
            <v>27.953695907743711</v>
          </cell>
          <cell r="BW26">
            <v>23</v>
          </cell>
          <cell r="BX26">
            <v>18.349419791058079</v>
          </cell>
          <cell r="BY26">
            <v>18.812694466249869</v>
          </cell>
          <cell r="BZ26">
            <v>19.32971877176227</v>
          </cell>
          <cell r="CA26">
            <v>19.940393983271228</v>
          </cell>
          <cell r="CB26">
            <v>20.55086831448148</v>
          </cell>
          <cell r="CC26">
            <v>20.55086831448148</v>
          </cell>
          <cell r="CE26">
            <v>113</v>
          </cell>
          <cell r="CF26">
            <v>62</v>
          </cell>
        </row>
        <row r="27">
          <cell r="B27">
            <v>20</v>
          </cell>
          <cell r="C27">
            <v>7.5</v>
          </cell>
          <cell r="D27">
            <v>4</v>
          </cell>
          <cell r="F27">
            <v>25</v>
          </cell>
          <cell r="G27">
            <v>4.6568542494923806</v>
          </cell>
          <cell r="I27">
            <v>25</v>
          </cell>
          <cell r="J27">
            <v>12.4</v>
          </cell>
          <cell r="K27">
            <v>0.8</v>
          </cell>
          <cell r="N27">
            <v>34</v>
          </cell>
          <cell r="O27">
            <v>24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V27">
            <v>24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C27">
            <v>24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L27">
            <v>24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S27">
            <v>24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AZ27">
            <v>24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  <cell r="BI27">
            <v>24</v>
          </cell>
          <cell r="BJ27">
            <v>1.6333333333333353</v>
          </cell>
          <cell r="BK27">
            <v>1.6660000000000021</v>
          </cell>
          <cell r="BL27">
            <v>1.7313333333333356</v>
          </cell>
          <cell r="BM27">
            <v>1.8620000000000021</v>
          </cell>
          <cell r="BN27">
            <v>2.2866666666666693</v>
          </cell>
          <cell r="BP27">
            <v>24</v>
          </cell>
          <cell r="BQ27">
            <v>35.197977552877902</v>
          </cell>
          <cell r="BR27">
            <v>34.072116335246974</v>
          </cell>
          <cell r="BS27">
            <v>32.816661243819851</v>
          </cell>
          <cell r="BT27">
            <v>31.412793977181359</v>
          </cell>
          <cell r="BU27">
            <v>29.964600225621755</v>
          </cell>
          <cell r="BW27">
            <v>24</v>
          </cell>
          <cell r="BX27">
            <v>18.837411459307198</v>
          </cell>
          <cell r="BY27">
            <v>19.299728534552713</v>
          </cell>
          <cell r="BZ27">
            <v>19.843744575465458</v>
          </cell>
          <cell r="CA27">
            <v>20.432690473143754</v>
          </cell>
          <cell r="CB27">
            <v>21.075914438033141</v>
          </cell>
          <cell r="CC27">
            <v>21.075914438033141</v>
          </cell>
          <cell r="CE27">
            <v>118</v>
          </cell>
          <cell r="CF27">
            <v>65</v>
          </cell>
        </row>
        <row r="28">
          <cell r="B28">
            <v>25</v>
          </cell>
          <cell r="C28">
            <v>15.5</v>
          </cell>
          <cell r="D28">
            <v>8</v>
          </cell>
          <cell r="F28">
            <v>26</v>
          </cell>
          <cell r="G28">
            <v>5.062866266041592</v>
          </cell>
          <cell r="I28">
            <v>26</v>
          </cell>
          <cell r="J28">
            <v>14.6609224175611</v>
          </cell>
          <cell r="K28">
            <v>0.82</v>
          </cell>
          <cell r="N28">
            <v>35</v>
          </cell>
          <cell r="O28">
            <v>25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V28">
            <v>25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C28">
            <v>25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L28">
            <v>25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S28">
            <v>25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AZ28">
            <v>25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  <cell r="BI28">
            <v>25</v>
          </cell>
          <cell r="BJ28">
            <v>1.6666666666666687</v>
          </cell>
          <cell r="BK28">
            <v>1.7000000000000022</v>
          </cell>
          <cell r="BL28">
            <v>1.766666666666669</v>
          </cell>
          <cell r="BM28">
            <v>1.9000000000000021</v>
          </cell>
          <cell r="BN28">
            <v>2.3333333333333361</v>
          </cell>
          <cell r="BP28">
            <v>25</v>
          </cell>
          <cell r="BQ28">
            <v>37.433077144085807</v>
          </cell>
          <cell r="BR28">
            <v>36.256047084538473</v>
          </cell>
          <cell r="BS28">
            <v>34.973799799710449</v>
          </cell>
          <cell r="BT28">
            <v>33.570278782515963</v>
          </cell>
          <cell r="BU28">
            <v>32.075561469230017</v>
          </cell>
          <cell r="BW28">
            <v>25</v>
          </cell>
          <cell r="BX28">
            <v>19.305616573096692</v>
          </cell>
          <cell r="BY28">
            <v>19.786727569248686</v>
          </cell>
          <cell r="BZ28">
            <v>20.32215968530463</v>
          </cell>
          <cell r="CA28">
            <v>20.939833289691578</v>
          </cell>
          <cell r="CB28">
            <v>21.544273429748305</v>
          </cell>
          <cell r="CC28">
            <v>21.544273429748305</v>
          </cell>
          <cell r="CE28">
            <v>123</v>
          </cell>
          <cell r="CF28">
            <v>67</v>
          </cell>
        </row>
        <row r="29">
          <cell r="B29">
            <v>30</v>
          </cell>
          <cell r="C29">
            <v>31.5</v>
          </cell>
          <cell r="D29">
            <v>16</v>
          </cell>
          <cell r="F29">
            <v>27</v>
          </cell>
          <cell r="G29">
            <v>5.4980191708498847</v>
          </cell>
          <cell r="I29">
            <v>27</v>
          </cell>
          <cell r="J29">
            <v>17.314186320787698</v>
          </cell>
          <cell r="K29">
            <v>0.84</v>
          </cell>
          <cell r="N29">
            <v>36</v>
          </cell>
          <cell r="O29">
            <v>26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V29">
            <v>26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C29">
            <v>26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L29">
            <v>26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S29">
            <v>26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AZ29">
            <v>26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  <cell r="BI29">
            <v>26</v>
          </cell>
          <cell r="BJ29">
            <v>1.7000000000000022</v>
          </cell>
          <cell r="BK29">
            <v>1.7340000000000022</v>
          </cell>
          <cell r="BL29">
            <v>1.8020000000000025</v>
          </cell>
          <cell r="BM29">
            <v>1.9380000000000024</v>
          </cell>
          <cell r="BN29">
            <v>2.380000000000003</v>
          </cell>
          <cell r="BP29">
            <v>26</v>
          </cell>
          <cell r="BQ29">
            <v>39.683540456879165</v>
          </cell>
          <cell r="BR29">
            <v>38.510750823022413</v>
          </cell>
          <cell r="BS29">
            <v>37.198506294230036</v>
          </cell>
          <cell r="BT29">
            <v>35.753927091474367</v>
          </cell>
          <cell r="BU29">
            <v>34.222396456091865</v>
          </cell>
          <cell r="BW29">
            <v>26</v>
          </cell>
          <cell r="BX29">
            <v>19.780926419241737</v>
          </cell>
          <cell r="BY29">
            <v>20.259244188823619</v>
          </cell>
          <cell r="BZ29">
            <v>20.806693001307259</v>
          </cell>
          <cell r="CA29">
            <v>21.398356957135043</v>
          </cell>
          <cell r="CB29">
            <v>22.040613536331495</v>
          </cell>
          <cell r="CC29">
            <v>22.040613536331495</v>
          </cell>
          <cell r="CE29">
            <v>128</v>
          </cell>
          <cell r="CF29">
            <v>69</v>
          </cell>
        </row>
        <row r="30">
          <cell r="B30">
            <v>35</v>
          </cell>
          <cell r="C30">
            <v>63.5</v>
          </cell>
          <cell r="D30">
            <v>32</v>
          </cell>
          <cell r="F30">
            <v>28</v>
          </cell>
          <cell r="G30">
            <v>5.9644045063689921</v>
          </cell>
          <cell r="I30">
            <v>28</v>
          </cell>
          <cell r="J30">
            <v>20.42625995518307</v>
          </cell>
          <cell r="K30">
            <v>0.86</v>
          </cell>
          <cell r="N30">
            <v>37</v>
          </cell>
          <cell r="O30">
            <v>27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V30">
            <v>27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C30">
            <v>27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L30">
            <v>27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S30">
            <v>27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AZ30">
            <v>27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  <cell r="BI30">
            <v>27</v>
          </cell>
          <cell r="BJ30">
            <v>1.7333333333333356</v>
          </cell>
          <cell r="BK30">
            <v>1.7680000000000025</v>
          </cell>
          <cell r="BL30">
            <v>1.8373333333333359</v>
          </cell>
          <cell r="BM30">
            <v>1.9760000000000024</v>
          </cell>
          <cell r="BN30">
            <v>2.4266666666666699</v>
          </cell>
          <cell r="BP30">
            <v>27</v>
          </cell>
          <cell r="BQ30">
            <v>41.947199016886806</v>
          </cell>
          <cell r="BR30">
            <v>40.787439392565133</v>
          </cell>
          <cell r="BS30">
            <v>39.486304880774611</v>
          </cell>
          <cell r="BT30">
            <v>38.056251761612167</v>
          </cell>
          <cell r="BU30">
            <v>36.474789469426575</v>
          </cell>
          <cell r="BW30">
            <v>27</v>
          </cell>
          <cell r="BX30">
            <v>20.246416839245761</v>
          </cell>
          <cell r="BY30">
            <v>20.730530825071739</v>
          </cell>
          <cell r="BZ30">
            <v>21.274723266233853</v>
          </cell>
          <cell r="CA30">
            <v>21.881755925323187</v>
          </cell>
          <cell r="CB30">
            <v>22.50487323022379</v>
          </cell>
          <cell r="CC30">
            <v>22.50487323022379</v>
          </cell>
          <cell r="CE30">
            <v>133</v>
          </cell>
          <cell r="CF30">
            <v>72</v>
          </cell>
        </row>
        <row r="31">
          <cell r="B31">
            <v>40</v>
          </cell>
          <cell r="C31">
            <v>127.5</v>
          </cell>
          <cell r="D31">
            <v>64</v>
          </cell>
          <cell r="F31">
            <v>29</v>
          </cell>
          <cell r="G31">
            <v>6.4642639322944575</v>
          </cell>
          <cell r="I31">
            <v>29</v>
          </cell>
          <cell r="J31">
            <v>24.074703862418847</v>
          </cell>
          <cell r="K31">
            <v>0.88</v>
          </cell>
          <cell r="N31">
            <v>38</v>
          </cell>
          <cell r="O31">
            <v>28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V31">
            <v>28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C31">
            <v>28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L31">
            <v>28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S31">
            <v>28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AZ31">
            <v>28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  <cell r="BI31">
            <v>28</v>
          </cell>
          <cell r="BJ31">
            <v>1.766666666666669</v>
          </cell>
          <cell r="BK31">
            <v>1.8020000000000025</v>
          </cell>
          <cell r="BL31">
            <v>1.8726666666666694</v>
          </cell>
          <cell r="BM31">
            <v>2.0140000000000025</v>
          </cell>
          <cell r="BN31">
            <v>2.4733333333333367</v>
          </cell>
          <cell r="BP31">
            <v>28</v>
          </cell>
          <cell r="BQ31">
            <v>44.207309026381338</v>
          </cell>
          <cell r="BR31">
            <v>43.001962251090099</v>
          </cell>
          <cell r="BS31">
            <v>41.684581461949612</v>
          </cell>
          <cell r="BT31">
            <v>40.269613788949812</v>
          </cell>
          <cell r="BU31">
            <v>38.716188571600512</v>
          </cell>
          <cell r="BW31">
            <v>28</v>
          </cell>
          <cell r="BX31">
            <v>20.709789085251497</v>
          </cell>
          <cell r="BY31">
            <v>21.196432625118295</v>
          </cell>
          <cell r="BZ31">
            <v>21.73332002826092</v>
          </cell>
          <cell r="CA31">
            <v>22.338424098785335</v>
          </cell>
          <cell r="CB31">
            <v>23.020448156730307</v>
          </cell>
          <cell r="CC31">
            <v>23.020448156730307</v>
          </cell>
          <cell r="CE31">
            <v>138</v>
          </cell>
          <cell r="CF31">
            <v>74</v>
          </cell>
        </row>
        <row r="32">
          <cell r="B32">
            <v>45</v>
          </cell>
          <cell r="C32">
            <v>255.5</v>
          </cell>
          <cell r="D32">
            <v>128</v>
          </cell>
          <cell r="F32">
            <v>30</v>
          </cell>
          <cell r="G32">
            <v>7</v>
          </cell>
          <cell r="I32">
            <v>30</v>
          </cell>
          <cell r="J32">
            <v>28.35</v>
          </cell>
          <cell r="K32">
            <v>0.9</v>
          </cell>
          <cell r="N32">
            <v>39</v>
          </cell>
          <cell r="O32">
            <v>29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V32">
            <v>29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C32">
            <v>29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L32">
            <v>29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S32">
            <v>29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AZ32">
            <v>29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  <cell r="BI32">
            <v>29</v>
          </cell>
          <cell r="BJ32">
            <v>1.8000000000000025</v>
          </cell>
          <cell r="BK32">
            <v>1.8360000000000025</v>
          </cell>
          <cell r="BL32">
            <v>1.9080000000000028</v>
          </cell>
          <cell r="BM32">
            <v>2.0520000000000027</v>
          </cell>
          <cell r="BN32">
            <v>2.5200000000000031</v>
          </cell>
          <cell r="BP32">
            <v>29</v>
          </cell>
          <cell r="BQ32">
            <v>46.472959498348729</v>
          </cell>
          <cell r="BR32">
            <v>45.255017621525596</v>
          </cell>
          <cell r="BS32">
            <v>43.924726999026539</v>
          </cell>
          <cell r="BT32">
            <v>42.440671676816109</v>
          </cell>
          <cell r="BU32">
            <v>40.873232138623273</v>
          </cell>
          <cell r="BW32">
            <v>29</v>
          </cell>
          <cell r="BX32">
            <v>21.175328404170024</v>
          </cell>
          <cell r="BY32">
            <v>21.66151840648989</v>
          </cell>
          <cell r="BZ32">
            <v>22.222544796364009</v>
          </cell>
          <cell r="CA32">
            <v>22.854718731192797</v>
          </cell>
          <cell r="CB32">
            <v>23.517361184365331</v>
          </cell>
          <cell r="CC32">
            <v>23.517361184365331</v>
          </cell>
          <cell r="CE32">
            <v>143</v>
          </cell>
          <cell r="CF32">
            <v>76</v>
          </cell>
        </row>
        <row r="33">
          <cell r="B33">
            <v>50</v>
          </cell>
          <cell r="C33">
            <v>511.5</v>
          </cell>
          <cell r="D33">
            <v>256</v>
          </cell>
          <cell r="F33">
            <v>31</v>
          </cell>
          <cell r="G33">
            <v>7.5741877002903433</v>
          </cell>
          <cell r="I33">
            <v>31</v>
          </cell>
          <cell r="J33">
            <v>33.357679571112705</v>
          </cell>
          <cell r="K33">
            <v>0.92</v>
          </cell>
          <cell r="N33">
            <v>40</v>
          </cell>
          <cell r="O33">
            <v>30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V33">
            <v>30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C33">
            <v>30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L33">
            <v>30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S33">
            <v>30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AZ33">
            <v>30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  <cell r="BI33">
            <v>30</v>
          </cell>
          <cell r="BJ33">
            <v>1.8333333333333359</v>
          </cell>
          <cell r="BK33">
            <v>1.8700000000000028</v>
          </cell>
          <cell r="BL33">
            <v>1.9433333333333362</v>
          </cell>
          <cell r="BM33">
            <v>2.090000000000003</v>
          </cell>
          <cell r="BN33">
            <v>2.56666666666667</v>
          </cell>
          <cell r="BP33">
            <v>30</v>
          </cell>
          <cell r="BQ33">
            <v>48.746400836475651</v>
          </cell>
          <cell r="BR33">
            <v>47.534861085979394</v>
          </cell>
          <cell r="BS33">
            <v>46.203853617695223</v>
          </cell>
          <cell r="BT33">
            <v>44.710696649522191</v>
          </cell>
          <cell r="BU33">
            <v>43.073827164214144</v>
          </cell>
          <cell r="BW33">
            <v>30</v>
          </cell>
          <cell r="BX33">
            <v>21.627432338833255</v>
          </cell>
          <cell r="BY33">
            <v>22.133969730796721</v>
          </cell>
          <cell r="BZ33">
            <v>22.690075277664143</v>
          </cell>
          <cell r="CA33">
            <v>23.318316384114386</v>
          </cell>
          <cell r="CB33">
            <v>24.015075841763835</v>
          </cell>
          <cell r="CC33">
            <v>24.015075841763835</v>
          </cell>
          <cell r="CE33">
            <v>148</v>
          </cell>
          <cell r="CF33">
            <v>79</v>
          </cell>
        </row>
        <row r="34">
          <cell r="B34">
            <v>55</v>
          </cell>
          <cell r="C34">
            <v>1023.5</v>
          </cell>
          <cell r="D34">
            <v>512</v>
          </cell>
          <cell r="F34">
            <v>32</v>
          </cell>
          <cell r="G34">
            <v>8.189586839976279</v>
          </cell>
          <cell r="I34">
            <v>32</v>
          </cell>
          <cell r="J34">
            <v>39.220797956048642</v>
          </cell>
          <cell r="K34">
            <v>0.94</v>
          </cell>
          <cell r="N34">
            <v>41</v>
          </cell>
          <cell r="O34">
            <v>31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V34">
            <v>31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C34">
            <v>31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L34">
            <v>31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S34">
            <v>31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AZ34">
            <v>31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  <cell r="BI34">
            <v>31</v>
          </cell>
          <cell r="BJ34">
            <v>1.8666666666666694</v>
          </cell>
          <cell r="BK34">
            <v>1.9040000000000028</v>
          </cell>
          <cell r="BL34">
            <v>1.9786666666666697</v>
          </cell>
          <cell r="BM34">
            <v>2.1280000000000028</v>
          </cell>
          <cell r="BN34">
            <v>2.6133333333333368</v>
          </cell>
          <cell r="BP34">
            <v>31</v>
          </cell>
          <cell r="BQ34">
            <v>51.024751728602688</v>
          </cell>
          <cell r="BR34">
            <v>49.81327866937707</v>
          </cell>
          <cell r="BS34">
            <v>48.49295716189016</v>
          </cell>
          <cell r="BT34">
            <v>47.007818211309306</v>
          </cell>
          <cell r="BU34">
            <v>45.378719658137989</v>
          </cell>
          <cell r="BW34">
            <v>31</v>
          </cell>
          <cell r="BX34">
            <v>22.095189537639744</v>
          </cell>
          <cell r="BY34">
            <v>22.590285126353667</v>
          </cell>
          <cell r="BZ34">
            <v>23.164669534623123</v>
          </cell>
          <cell r="CA34">
            <v>23.790108012583765</v>
          </cell>
          <cell r="CB34">
            <v>24.476288482572343</v>
          </cell>
          <cell r="CC34">
            <v>24.476288482572343</v>
          </cell>
          <cell r="CE34">
            <v>153</v>
          </cell>
          <cell r="CF34">
            <v>80</v>
          </cell>
        </row>
        <row r="35">
          <cell r="B35">
            <v>60</v>
          </cell>
          <cell r="C35">
            <v>2047.5</v>
          </cell>
          <cell r="D35">
            <v>1024</v>
          </cell>
          <cell r="F35">
            <v>33</v>
          </cell>
          <cell r="G35">
            <v>8.8491553067593287</v>
          </cell>
          <cell r="I35">
            <v>33</v>
          </cell>
          <cell r="J35">
            <v>46.082812923199413</v>
          </cell>
          <cell r="K35">
            <v>0.96</v>
          </cell>
          <cell r="N35">
            <v>42</v>
          </cell>
          <cell r="O35">
            <v>32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V35">
            <v>32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C35">
            <v>32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L35">
            <v>32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S35">
            <v>32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AZ35">
            <v>32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  <cell r="BI35">
            <v>32</v>
          </cell>
          <cell r="BJ35">
            <v>1.9000000000000028</v>
          </cell>
          <cell r="BK35">
            <v>1.9380000000000028</v>
          </cell>
          <cell r="BL35">
            <v>2.0140000000000029</v>
          </cell>
          <cell r="BM35">
            <v>2.166000000000003</v>
          </cell>
          <cell r="BN35">
            <v>2.6600000000000037</v>
          </cell>
          <cell r="BP35">
            <v>32</v>
          </cell>
          <cell r="BQ35">
            <v>53.291472423922521</v>
          </cell>
          <cell r="BR35">
            <v>52.125901161769718</v>
          </cell>
          <cell r="BS35">
            <v>50.840747976078326</v>
          </cell>
          <cell r="BT35">
            <v>49.375604977850649</v>
          </cell>
          <cell r="BU35">
            <v>47.775197036238126</v>
          </cell>
          <cell r="BW35">
            <v>32</v>
          </cell>
          <cell r="BX35">
            <v>22.536630202092223</v>
          </cell>
          <cell r="BY35">
            <v>23.063701323157773</v>
          </cell>
          <cell r="BZ35">
            <v>23.615240622314541</v>
          </cell>
          <cell r="CA35">
            <v>24.25413190852499</v>
          </cell>
          <cell r="CB35">
            <v>24.96122010782668</v>
          </cell>
          <cell r="CC35">
            <v>24.96122010782668</v>
          </cell>
          <cell r="CE35">
            <v>158</v>
          </cell>
          <cell r="CF35">
            <v>80</v>
          </cell>
        </row>
        <row r="36">
          <cell r="F36">
            <v>34</v>
          </cell>
          <cell r="G36">
            <v>9.5560632861831518</v>
          </cell>
          <cell r="I36">
            <v>34</v>
          </cell>
          <cell r="J36">
            <v>54.110931329932889</v>
          </cell>
          <cell r="K36">
            <v>0.98</v>
          </cell>
          <cell r="N36">
            <v>43</v>
          </cell>
          <cell r="O36">
            <v>33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V36">
            <v>33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C36">
            <v>33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L36">
            <v>33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S36">
            <v>33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AZ36">
            <v>33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  <cell r="BI36">
            <v>33</v>
          </cell>
          <cell r="BJ36">
            <v>1.9333333333333362</v>
          </cell>
          <cell r="BK36">
            <v>1.9720000000000031</v>
          </cell>
          <cell r="BL36">
            <v>2.0493333333333363</v>
          </cell>
          <cell r="BM36">
            <v>2.2040000000000033</v>
          </cell>
          <cell r="BN36">
            <v>2.7066666666666706</v>
          </cell>
          <cell r="BP36">
            <v>33</v>
          </cell>
          <cell r="BQ36">
            <v>55.562784736889313</v>
          </cell>
          <cell r="BR36">
            <v>54.355378546520704</v>
          </cell>
          <cell r="BS36">
            <v>53.035165520933894</v>
          </cell>
          <cell r="BT36">
            <v>51.629711452863589</v>
          </cell>
          <cell r="BU36">
            <v>50.042836137195067</v>
          </cell>
          <cell r="BW36">
            <v>33</v>
          </cell>
          <cell r="BX36">
            <v>23.008297311415273</v>
          </cell>
          <cell r="BY36">
            <v>23.490868763053822</v>
          </cell>
          <cell r="BZ36">
            <v>24.073520379044336</v>
          </cell>
          <cell r="CA36">
            <v>24.709259009726921</v>
          </cell>
          <cell r="CB36">
            <v>25.404062586103631</v>
          </cell>
          <cell r="CC36">
            <v>25.404062586103631</v>
          </cell>
        </row>
        <row r="37">
          <cell r="F37">
            <v>35</v>
          </cell>
          <cell r="G37">
            <v>10.313708498984759</v>
          </cell>
          <cell r="I37">
            <v>35</v>
          </cell>
          <cell r="J37">
            <v>63.5</v>
          </cell>
          <cell r="K37">
            <v>1</v>
          </cell>
          <cell r="N37">
            <v>44</v>
          </cell>
          <cell r="O37">
            <v>34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V37">
            <v>34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C37">
            <v>34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L37">
            <v>34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S37">
            <v>34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AZ37">
            <v>34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  <cell r="BI37">
            <v>34</v>
          </cell>
          <cell r="BJ37">
            <v>1.9666666666666697</v>
          </cell>
          <cell r="BK37">
            <v>2.0060000000000029</v>
          </cell>
          <cell r="BL37">
            <v>2.0846666666666698</v>
          </cell>
          <cell r="BM37">
            <v>2.2420000000000031</v>
          </cell>
          <cell r="BN37">
            <v>2.7533333333333374</v>
          </cell>
          <cell r="BP37">
            <v>34</v>
          </cell>
          <cell r="BQ37">
            <v>57.838035023028112</v>
          </cell>
          <cell r="BR37">
            <v>56.663402979853082</v>
          </cell>
          <cell r="BS37">
            <v>55.366968636624627</v>
          </cell>
          <cell r="BT37">
            <v>53.918275980301416</v>
          </cell>
          <cell r="BU37">
            <v>52.327997946582151</v>
          </cell>
          <cell r="BW37">
            <v>34</v>
          </cell>
          <cell r="BX37">
            <v>23.439624304552691</v>
          </cell>
          <cell r="BY37">
            <v>23.962932129146886</v>
          </cell>
          <cell r="BZ37">
            <v>24.525526780322963</v>
          </cell>
          <cell r="CA37">
            <v>25.186582215718527</v>
          </cell>
          <cell r="CB37">
            <v>25.887144728338249</v>
          </cell>
          <cell r="CC37">
            <v>25.887144728338249</v>
          </cell>
        </row>
        <row r="38">
          <cell r="F38">
            <v>36</v>
          </cell>
          <cell r="G38">
            <v>11.125732532083184</v>
          </cell>
          <cell r="I38">
            <v>36</v>
          </cell>
          <cell r="J38">
            <v>73.746861667008318</v>
          </cell>
          <cell r="K38">
            <v>1.01</v>
          </cell>
          <cell r="N38">
            <v>45</v>
          </cell>
          <cell r="O38">
            <v>35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V38">
            <v>35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C38">
            <v>35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L38">
            <v>35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S38">
            <v>35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AZ38">
            <v>35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  <cell r="BI38">
            <v>35</v>
          </cell>
          <cell r="BJ38">
            <v>2.0000000000000031</v>
          </cell>
          <cell r="BK38">
            <v>2.0400000000000031</v>
          </cell>
          <cell r="BL38">
            <v>2.1200000000000032</v>
          </cell>
          <cell r="BM38">
            <v>2.2800000000000034</v>
          </cell>
          <cell r="BN38">
            <v>2.8000000000000043</v>
          </cell>
          <cell r="BP38">
            <v>35</v>
          </cell>
          <cell r="BQ38">
            <v>60.108849423225884</v>
          </cell>
          <cell r="BR38">
            <v>58.959670032750353</v>
          </cell>
          <cell r="BS38">
            <v>57.686819122040689</v>
          </cell>
          <cell r="BT38">
            <v>56.279027610646125</v>
          </cell>
          <cell r="BU38">
            <v>54.706384157580409</v>
          </cell>
          <cell r="BW38">
            <v>35</v>
          </cell>
          <cell r="BX38">
            <v>23.901909129472951</v>
          </cell>
          <cell r="BY38">
            <v>24.40594174135834</v>
          </cell>
          <cell r="BZ38">
            <v>25.010872039771339</v>
          </cell>
          <cell r="CA38">
            <v>25.641910798382057</v>
          </cell>
          <cell r="CB38">
            <v>26.336246235371831</v>
          </cell>
          <cell r="CC38">
            <v>26.336246235371831</v>
          </cell>
        </row>
        <row r="39">
          <cell r="F39">
            <v>37</v>
          </cell>
          <cell r="G39">
            <v>11.996038341699768</v>
          </cell>
          <cell r="I39">
            <v>37</v>
          </cell>
          <cell r="J39">
            <v>85.62747641525452</v>
          </cell>
          <cell r="K39">
            <v>1.02</v>
          </cell>
          <cell r="N39">
            <v>46</v>
          </cell>
          <cell r="O39">
            <v>36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V39">
            <v>36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C39">
            <v>36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L39">
            <v>36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S39">
            <v>36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AZ39">
            <v>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  <cell r="BI39">
            <v>36</v>
          </cell>
          <cell r="BJ39">
            <v>2.0333333333333363</v>
          </cell>
          <cell r="BK39">
            <v>2.074000000000003</v>
          </cell>
          <cell r="BL39">
            <v>2.1553333333333367</v>
          </cell>
          <cell r="BM39">
            <v>2.3180000000000032</v>
          </cell>
          <cell r="BN39">
            <v>2.8466666666666707</v>
          </cell>
          <cell r="BP39">
            <v>36</v>
          </cell>
          <cell r="BQ39">
            <v>62.233138599165841</v>
          </cell>
          <cell r="BR39">
            <v>61.094363540297287</v>
          </cell>
          <cell r="BS39">
            <v>59.843011412474425</v>
          </cell>
          <cell r="BT39">
            <v>58.455174432146173</v>
          </cell>
          <cell r="BU39">
            <v>56.931905949406854</v>
          </cell>
          <cell r="BW39">
            <v>36</v>
          </cell>
          <cell r="BX39">
            <v>24.338224722802163</v>
          </cell>
          <cell r="BY39">
            <v>24.874135482075868</v>
          </cell>
          <cell r="BZ39">
            <v>25.442715250695745</v>
          </cell>
          <cell r="CA39">
            <v>26.0995934757591</v>
          </cell>
          <cell r="CB39">
            <v>26.766316250847538</v>
          </cell>
          <cell r="CC39">
            <v>26.766316250847538</v>
          </cell>
        </row>
        <row r="40">
          <cell r="F40">
            <v>38</v>
          </cell>
          <cell r="G40">
            <v>12.928809012737984</v>
          </cell>
          <cell r="I40">
            <v>38</v>
          </cell>
          <cell r="J40">
            <v>99.401036064365428</v>
          </cell>
          <cell r="K40">
            <v>1.03</v>
          </cell>
          <cell r="N40">
            <v>47</v>
          </cell>
          <cell r="O40">
            <v>37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V40">
            <v>37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C40">
            <v>37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L40">
            <v>37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S40">
            <v>37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AZ40">
            <v>37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  <cell r="BI40">
            <v>37</v>
          </cell>
          <cell r="BJ40">
            <v>2.0666666666666695</v>
          </cell>
          <cell r="BK40">
            <v>2.1080000000000028</v>
          </cell>
          <cell r="BL40">
            <v>2.1906666666666696</v>
          </cell>
          <cell r="BM40">
            <v>2.356000000000003</v>
          </cell>
          <cell r="BN40">
            <v>2.8933333333333371</v>
          </cell>
          <cell r="BP40">
            <v>37</v>
          </cell>
          <cell r="BQ40">
            <v>64.359497111737156</v>
          </cell>
          <cell r="BR40">
            <v>63.209317326948991</v>
          </cell>
          <cell r="BS40">
            <v>61.962579408406434</v>
          </cell>
          <cell r="BT40">
            <v>60.595449466932955</v>
          </cell>
          <cell r="BU40">
            <v>59.095772172790291</v>
          </cell>
          <cell r="BW40">
            <v>37</v>
          </cell>
          <cell r="BX40">
            <v>24.790207436719726</v>
          </cell>
          <cell r="BY40">
            <v>25.311453581089211</v>
          </cell>
          <cell r="BZ40">
            <v>25.904599594946017</v>
          </cell>
          <cell r="CA40">
            <v>26.520408035249631</v>
          </cell>
          <cell r="CB40">
            <v>27.220389775920598</v>
          </cell>
          <cell r="CC40">
            <v>27.220389775920598</v>
          </cell>
        </row>
        <row r="41">
          <cell r="F41">
            <v>39</v>
          </cell>
          <cell r="G41">
            <v>13.928527864588917</v>
          </cell>
          <cell r="I41">
            <v>39</v>
          </cell>
          <cell r="J41">
            <v>115.36769098598003</v>
          </cell>
          <cell r="K41">
            <v>1.04</v>
          </cell>
          <cell r="N41">
            <v>48</v>
          </cell>
          <cell r="O41">
            <v>38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V41">
            <v>38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C41">
            <v>38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L41">
            <v>38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S41">
            <v>38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AZ41">
            <v>38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  <cell r="BI41">
            <v>38</v>
          </cell>
          <cell r="BJ41">
            <v>2.1000000000000028</v>
          </cell>
          <cell r="BK41">
            <v>2.142000000000003</v>
          </cell>
          <cell r="BL41">
            <v>2.2260000000000031</v>
          </cell>
          <cell r="BM41">
            <v>2.3940000000000028</v>
          </cell>
          <cell r="BN41">
            <v>2.9400000000000035</v>
          </cell>
          <cell r="BP41">
            <v>38</v>
          </cell>
          <cell r="BQ41">
            <v>66.487641207576758</v>
          </cell>
          <cell r="BR41">
            <v>65.328126673719694</v>
          </cell>
          <cell r="BS41">
            <v>64.062055525287363</v>
          </cell>
          <cell r="BT41">
            <v>62.675920173751969</v>
          </cell>
          <cell r="BU41">
            <v>61.182714958690575</v>
          </cell>
          <cell r="BW41">
            <v>38</v>
          </cell>
          <cell r="BX41">
            <v>25.233890826430223</v>
          </cell>
          <cell r="BY41">
            <v>25.758552007948477</v>
          </cell>
          <cell r="BZ41">
            <v>26.328232260907932</v>
          </cell>
          <cell r="CA41">
            <v>26.972253230365787</v>
          </cell>
          <cell r="CB41">
            <v>27.655588848776532</v>
          </cell>
          <cell r="CC41">
            <v>27.655588848776532</v>
          </cell>
        </row>
        <row r="42">
          <cell r="F42">
            <v>40</v>
          </cell>
          <cell r="G42">
            <v>15</v>
          </cell>
          <cell r="I42">
            <v>40</v>
          </cell>
          <cell r="J42">
            <v>133.875</v>
          </cell>
          <cell r="K42">
            <v>1.05</v>
          </cell>
          <cell r="N42">
            <v>49</v>
          </cell>
          <cell r="O42">
            <v>39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V42">
            <v>39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C42">
            <v>39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L42">
            <v>39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S42">
            <v>39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AZ42">
            <v>39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  <cell r="BI42">
            <v>39</v>
          </cell>
          <cell r="BJ42">
            <v>2.133333333333336</v>
          </cell>
          <cell r="BK42">
            <v>2.1760000000000028</v>
          </cell>
          <cell r="BL42">
            <v>2.2613333333333361</v>
          </cell>
          <cell r="BM42">
            <v>2.4320000000000026</v>
          </cell>
          <cell r="BN42">
            <v>2.9866666666666704</v>
          </cell>
          <cell r="BP42">
            <v>39</v>
          </cell>
          <cell r="BQ42">
            <v>68.617325920549462</v>
          </cell>
          <cell r="BR42">
            <v>67.444013295864096</v>
          </cell>
          <cell r="BS42">
            <v>66.152018816255293</v>
          </cell>
          <cell r="BT42">
            <v>64.756218484668864</v>
          </cell>
          <cell r="BU42">
            <v>63.227467500622204</v>
          </cell>
          <cell r="BW42">
            <v>39</v>
          </cell>
          <cell r="BX42">
            <v>25.676063828071452</v>
          </cell>
          <cell r="BY42">
            <v>26.19708330565534</v>
          </cell>
          <cell r="BZ42">
            <v>26.766006813599326</v>
          </cell>
          <cell r="CA42">
            <v>27.396883495694844</v>
          </cell>
          <cell r="CB42">
            <v>28.116418470149469</v>
          </cell>
          <cell r="CC42">
            <v>28.116418470149469</v>
          </cell>
        </row>
        <row r="43">
          <cell r="F43">
            <v>41</v>
          </cell>
          <cell r="G43">
            <v>16.148375400580683</v>
          </cell>
          <cell r="I43">
            <v>41</v>
          </cell>
          <cell r="J43">
            <v>155.32539280599755</v>
          </cell>
          <cell r="K43">
            <v>1.06</v>
          </cell>
          <cell r="N43">
            <v>50</v>
          </cell>
          <cell r="O43">
            <v>40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V43">
            <v>40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C43">
            <v>40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L43">
            <v>40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S43">
            <v>40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AZ43">
            <v>40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  <cell r="BI43">
            <v>40</v>
          </cell>
          <cell r="BJ43">
            <v>2.1666666666666692</v>
          </cell>
          <cell r="BK43">
            <v>2.2100000000000026</v>
          </cell>
          <cell r="BL43">
            <v>2.2966666666666695</v>
          </cell>
          <cell r="BM43">
            <v>2.4700000000000029</v>
          </cell>
          <cell r="BN43">
            <v>3.0333333333333368</v>
          </cell>
          <cell r="BP43">
            <v>40</v>
          </cell>
          <cell r="BQ43">
            <v>70.748339784677938</v>
          </cell>
          <cell r="BR43">
            <v>69.615263433680354</v>
          </cell>
          <cell r="BS43">
            <v>68.367495331711169</v>
          </cell>
          <cell r="BT43">
            <v>66.978083215330415</v>
          </cell>
          <cell r="BU43">
            <v>65.42062527862636</v>
          </cell>
          <cell r="BW43">
            <v>40</v>
          </cell>
          <cell r="BX43">
            <v>26.127796402772656</v>
          </cell>
          <cell r="BY43">
            <v>26.626710211681832</v>
          </cell>
          <cell r="BZ43">
            <v>27.210732057225155</v>
          </cell>
          <cell r="CA43">
            <v>27.863833570485102</v>
          </cell>
          <cell r="CB43">
            <v>28.568390277483555</v>
          </cell>
          <cell r="CC43">
            <v>28.568390277483555</v>
          </cell>
        </row>
        <row r="44">
          <cell r="F44">
            <v>42</v>
          </cell>
          <cell r="G44">
            <v>17.379173679952558</v>
          </cell>
          <cell r="I44">
            <v>42</v>
          </cell>
          <cell r="J44">
            <v>180.18480345945557</v>
          </cell>
          <cell r="K44">
            <v>1.07</v>
          </cell>
          <cell r="N44">
            <v>51</v>
          </cell>
          <cell r="O44">
            <v>41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V44">
            <v>41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C44">
            <v>41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L44">
            <v>41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S44">
            <v>41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AZ44">
            <v>41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  <cell r="BI44">
            <v>41</v>
          </cell>
          <cell r="BJ44">
            <v>2.2000000000000024</v>
          </cell>
          <cell r="BK44">
            <v>2.2440000000000024</v>
          </cell>
          <cell r="BL44">
            <v>2.3320000000000025</v>
          </cell>
          <cell r="BM44">
            <v>2.5080000000000027</v>
          </cell>
          <cell r="BN44">
            <v>3.0800000000000032</v>
          </cell>
          <cell r="BP44">
            <v>41</v>
          </cell>
          <cell r="BQ44">
            <v>72.880500265925534</v>
          </cell>
          <cell r="BR44">
            <v>71.728439272842749</v>
          </cell>
          <cell r="BS44">
            <v>70.476853761910021</v>
          </cell>
          <cell r="BT44">
            <v>69.13548950479607</v>
          </cell>
          <cell r="BU44">
            <v>67.614538970700607</v>
          </cell>
          <cell r="BW44">
            <v>41</v>
          </cell>
          <cell r="BX44">
            <v>26.560612527540403</v>
          </cell>
          <cell r="BY44">
            <v>27.085909727083454</v>
          </cell>
          <cell r="BZ44">
            <v>27.660585260415356</v>
          </cell>
          <cell r="CA44">
            <v>28.314646355865854</v>
          </cell>
          <cell r="CB44">
            <v>29.053470241147885</v>
          </cell>
          <cell r="CC44">
            <v>29.053470241147885</v>
          </cell>
        </row>
        <row r="45">
          <cell r="F45">
            <v>43</v>
          </cell>
          <cell r="G45">
            <v>18.698310613518661</v>
          </cell>
          <cell r="I45">
            <v>43</v>
          </cell>
          <cell r="J45">
            <v>208.99265815439742</v>
          </cell>
          <cell r="K45">
            <v>1.08</v>
          </cell>
          <cell r="N45">
            <v>52</v>
          </cell>
          <cell r="O45">
            <v>42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V45">
            <v>42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C45">
            <v>42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L45">
            <v>42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S45">
            <v>42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AZ45">
            <v>42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  <cell r="BI45">
            <v>42</v>
          </cell>
          <cell r="BJ45">
            <v>2.2333333333333356</v>
          </cell>
          <cell r="BK45">
            <v>2.2780000000000022</v>
          </cell>
          <cell r="BL45">
            <v>2.367333333333336</v>
          </cell>
          <cell r="BM45">
            <v>2.5460000000000025</v>
          </cell>
          <cell r="BN45">
            <v>3.1266666666666696</v>
          </cell>
          <cell r="BP45">
            <v>42</v>
          </cell>
          <cell r="BQ45">
            <v>75.012735728019962</v>
          </cell>
          <cell r="BR45">
            <v>73.895779769437553</v>
          </cell>
          <cell r="BS45">
            <v>72.65984060067882</v>
          </cell>
          <cell r="BT45">
            <v>71.293724037797247</v>
          </cell>
          <cell r="BU45">
            <v>69.810299559768239</v>
          </cell>
          <cell r="BW45">
            <v>42</v>
          </cell>
          <cell r="BX45">
            <v>27.020882333389096</v>
          </cell>
          <cell r="BY45">
            <v>27.534650375663031</v>
          </cell>
          <cell r="BZ45">
            <v>28.133393592464987</v>
          </cell>
          <cell r="CA45">
            <v>28.789161632421735</v>
          </cell>
          <cell r="CB45">
            <v>29.507063914299049</v>
          </cell>
          <cell r="CC45">
            <v>29.507063914299049</v>
          </cell>
        </row>
        <row r="46">
          <cell r="F46">
            <v>44</v>
          </cell>
          <cell r="G46">
            <v>20.112126572366307</v>
          </cell>
          <cell r="I46">
            <v>44</v>
          </cell>
          <cell r="J46">
            <v>242.37342918215046</v>
          </cell>
          <cell r="K46">
            <v>1.0900000000000001</v>
          </cell>
          <cell r="N46">
            <v>53</v>
          </cell>
          <cell r="O46">
            <v>43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V46">
            <v>43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C46">
            <v>43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L46">
            <v>43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S46">
            <v>43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AZ46">
            <v>43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  <cell r="BI46">
            <v>43</v>
          </cell>
          <cell r="BJ46">
            <v>2.2666666666666688</v>
          </cell>
          <cell r="BK46">
            <v>2.3120000000000021</v>
          </cell>
          <cell r="BL46">
            <v>2.4026666666666689</v>
          </cell>
          <cell r="BM46">
            <v>2.5840000000000023</v>
          </cell>
          <cell r="BN46">
            <v>3.173333333333336</v>
          </cell>
          <cell r="BP46">
            <v>43</v>
          </cell>
          <cell r="BQ46">
            <v>77.137764615612369</v>
          </cell>
          <cell r="BR46">
            <v>76.018081402346411</v>
          </cell>
          <cell r="BS46">
            <v>74.771148405180824</v>
          </cell>
          <cell r="BT46">
            <v>73.446658299619131</v>
          </cell>
          <cell r="BU46">
            <v>71.964465094771541</v>
          </cell>
          <cell r="BW46">
            <v>43</v>
          </cell>
          <cell r="BX46">
            <v>27.444759493295177</v>
          </cell>
          <cell r="BY46">
            <v>27.999026312380973</v>
          </cell>
          <cell r="BZ46">
            <v>28.572743465906495</v>
          </cell>
          <cell r="CA46">
            <v>29.228371965502063</v>
          </cell>
          <cell r="CB46">
            <v>29.964225263024609</v>
          </cell>
          <cell r="CC46">
            <v>29.964225263024609</v>
          </cell>
        </row>
        <row r="47">
          <cell r="F47">
            <v>45</v>
          </cell>
          <cell r="G47">
            <v>21.627416997969519</v>
          </cell>
          <cell r="I47">
            <v>45</v>
          </cell>
          <cell r="J47">
            <v>281.05</v>
          </cell>
          <cell r="K47">
            <v>1.1000000000000001</v>
          </cell>
          <cell r="N47">
            <v>54</v>
          </cell>
          <cell r="O47">
            <v>44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V47">
            <v>44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C47">
            <v>44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L47">
            <v>44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S47">
            <v>44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AZ47">
            <v>44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  <cell r="BI47">
            <v>44</v>
          </cell>
          <cell r="BJ47">
            <v>2.300000000000002</v>
          </cell>
          <cell r="BK47">
            <v>2.3460000000000023</v>
          </cell>
          <cell r="BL47">
            <v>2.4380000000000024</v>
          </cell>
          <cell r="BM47">
            <v>2.6220000000000021</v>
          </cell>
          <cell r="BN47">
            <v>3.2200000000000029</v>
          </cell>
          <cell r="BP47">
            <v>44</v>
          </cell>
          <cell r="BQ47">
            <v>79.263479982320931</v>
          </cell>
          <cell r="BR47">
            <v>78.132225077256265</v>
          </cell>
          <cell r="BS47">
            <v>76.889385936298638</v>
          </cell>
          <cell r="BT47">
            <v>75.547388626818275</v>
          </cell>
          <cell r="BU47">
            <v>74.085064391446963</v>
          </cell>
          <cell r="BW47">
            <v>44</v>
          </cell>
          <cell r="BX47">
            <v>27.899059784657766</v>
          </cell>
          <cell r="BY47">
            <v>28.42242948848067</v>
          </cell>
          <cell r="BZ47">
            <v>29.029679451959648</v>
          </cell>
          <cell r="CA47">
            <v>29.665539289707144</v>
          </cell>
          <cell r="CB47">
            <v>30.383161594939057</v>
          </cell>
          <cell r="CC47">
            <v>30.383161594939057</v>
          </cell>
        </row>
        <row r="48">
          <cell r="F48">
            <v>46</v>
          </cell>
          <cell r="G48">
            <v>23.251465064166357</v>
          </cell>
          <cell r="I48">
            <v>46</v>
          </cell>
          <cell r="J48">
            <v>325.85912455595718</v>
          </cell>
          <cell r="K48">
            <v>1.1100000000000001</v>
          </cell>
          <cell r="N48">
            <v>55</v>
          </cell>
          <cell r="O48">
            <v>45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V48">
            <v>45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C48">
            <v>45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L48">
            <v>45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S48">
            <v>45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AZ48">
            <v>45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  <cell r="BI48">
            <v>45</v>
          </cell>
          <cell r="BJ48">
            <v>2.3333333333333353</v>
          </cell>
          <cell r="BK48">
            <v>2.3800000000000021</v>
          </cell>
          <cell r="BL48">
            <v>2.4733333333333354</v>
          </cell>
          <cell r="BM48">
            <v>2.6600000000000019</v>
          </cell>
          <cell r="BN48">
            <v>3.2666666666666693</v>
          </cell>
          <cell r="BP48">
            <v>45</v>
          </cell>
          <cell r="BQ48">
            <v>81.389787349771211</v>
          </cell>
          <cell r="BR48">
            <v>80.245839937472738</v>
          </cell>
          <cell r="BS48">
            <v>78.990840028799411</v>
          </cell>
          <cell r="BT48">
            <v>77.645290038760592</v>
          </cell>
          <cell r="BU48">
            <v>76.140895902703022</v>
          </cell>
          <cell r="BW48">
            <v>45</v>
          </cell>
          <cell r="BX48">
            <v>28.329224478524736</v>
          </cell>
          <cell r="BY48">
            <v>28.87680933825774</v>
          </cell>
          <cell r="BZ48">
            <v>29.451960522840583</v>
          </cell>
          <cell r="CA48">
            <v>30.116236887917406</v>
          </cell>
          <cell r="CB48">
            <v>30.827767428124027</v>
          </cell>
          <cell r="CC48">
            <v>30.827767428124027</v>
          </cell>
        </row>
        <row r="49">
          <cell r="F49">
            <v>47</v>
          </cell>
          <cell r="G49">
            <v>24.992076683399535</v>
          </cell>
          <cell r="I49">
            <v>47</v>
          </cell>
          <cell r="J49">
            <v>377.76930817680426</v>
          </cell>
          <cell r="K49">
            <v>1.1200000000000001</v>
          </cell>
          <cell r="N49">
            <v>56</v>
          </cell>
          <cell r="O49">
            <v>46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V49">
            <v>46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C49">
            <v>46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L49">
            <v>46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S49">
            <v>46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AZ49">
            <v>46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  <cell r="BI49">
            <v>46</v>
          </cell>
          <cell r="BJ49">
            <v>2.3666666666666685</v>
          </cell>
          <cell r="BK49">
            <v>2.4140000000000019</v>
          </cell>
          <cell r="BL49">
            <v>2.5086666666666688</v>
          </cell>
          <cell r="BM49">
            <v>2.6980000000000017</v>
          </cell>
          <cell r="BN49">
            <v>3.3133333333333357</v>
          </cell>
          <cell r="BP49">
            <v>46</v>
          </cell>
          <cell r="BQ49">
            <v>83.516605196495291</v>
          </cell>
          <cell r="BR49">
            <v>82.409830559291493</v>
          </cell>
          <cell r="BS49">
            <v>81.207352055772077</v>
          </cell>
          <cell r="BT49">
            <v>79.853954326796469</v>
          </cell>
          <cell r="BU49">
            <v>78.340013067243973</v>
          </cell>
          <cell r="BW49">
            <v>46</v>
          </cell>
          <cell r="BX49">
            <v>28.77435892693326</v>
          </cell>
          <cell r="BY49">
            <v>29.307110785373723</v>
          </cell>
          <cell r="BZ49">
            <v>29.901500340512762</v>
          </cell>
          <cell r="CA49">
            <v>30.541959062513101</v>
          </cell>
          <cell r="CB49">
            <v>31.241319778905254</v>
          </cell>
          <cell r="CC49">
            <v>31.241319778905254</v>
          </cell>
        </row>
        <row r="50">
          <cell r="F50">
            <v>48</v>
          </cell>
          <cell r="G50">
            <v>26.857618025475972</v>
          </cell>
          <cell r="I50">
            <v>48</v>
          </cell>
          <cell r="J50">
            <v>437.90148836012787</v>
          </cell>
          <cell r="K50">
            <v>1.1299999999999999</v>
          </cell>
          <cell r="N50">
            <v>57</v>
          </cell>
          <cell r="O50">
            <v>47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V50">
            <v>47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C50">
            <v>47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L50">
            <v>47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S50">
            <v>47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AZ50">
            <v>47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  <cell r="BI50">
            <v>47</v>
          </cell>
          <cell r="BJ50">
            <v>2.4000000000000017</v>
          </cell>
          <cell r="BK50">
            <v>2.4480000000000017</v>
          </cell>
          <cell r="BL50">
            <v>2.5440000000000018</v>
          </cell>
          <cell r="BM50">
            <v>2.7360000000000015</v>
          </cell>
          <cell r="BN50">
            <v>3.3600000000000021</v>
          </cell>
          <cell r="BP50">
            <v>47</v>
          </cell>
          <cell r="BQ50">
            <v>85.643863186592412</v>
          </cell>
          <cell r="BR50">
            <v>84.53544812855209</v>
          </cell>
          <cell r="BS50">
            <v>83.32493049129468</v>
          </cell>
          <cell r="BT50">
            <v>82.027450452783569</v>
          </cell>
          <cell r="BU50">
            <v>80.54663523468885</v>
          </cell>
          <cell r="BW50">
            <v>47</v>
          </cell>
          <cell r="BX50">
            <v>29.214575269515649</v>
          </cell>
          <cell r="BY50">
            <v>29.749456349782722</v>
          </cell>
          <cell r="BZ50">
            <v>30.328427037480733</v>
          </cell>
          <cell r="CA50">
            <v>30.996355742175876</v>
          </cell>
          <cell r="CB50">
            <v>31.657589077576048</v>
          </cell>
          <cell r="CC50">
            <v>31.657589077576048</v>
          </cell>
        </row>
        <row r="51">
          <cell r="F51">
            <v>49</v>
          </cell>
          <cell r="G51">
            <v>28.857055729177837</v>
          </cell>
          <cell r="I51">
            <v>49</v>
          </cell>
          <cell r="J51">
            <v>507.55295278468168</v>
          </cell>
          <cell r="K51">
            <v>1.1399999999999999</v>
          </cell>
          <cell r="N51">
            <v>58</v>
          </cell>
          <cell r="O51">
            <v>48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V51">
            <v>48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C51">
            <v>48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L51">
            <v>48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S51">
            <v>48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AZ51">
            <v>48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  <cell r="BI51">
            <v>48</v>
          </cell>
          <cell r="BJ51">
            <v>2.4333333333333349</v>
          </cell>
          <cell r="BK51">
            <v>2.4820000000000015</v>
          </cell>
          <cell r="BL51">
            <v>2.5793333333333353</v>
          </cell>
          <cell r="BM51">
            <v>2.7740000000000014</v>
          </cell>
          <cell r="BN51">
            <v>3.4066666666666685</v>
          </cell>
          <cell r="BP51">
            <v>48</v>
          </cell>
          <cell r="BQ51">
            <v>87.771500639866005</v>
          </cell>
          <cell r="BR51">
            <v>86.672065508292405</v>
          </cell>
          <cell r="BS51">
            <v>85.481735065071589</v>
          </cell>
          <cell r="BT51">
            <v>84.173317183629351</v>
          </cell>
          <cell r="BU51">
            <v>82.729418319864251</v>
          </cell>
          <cell r="BW51">
            <v>48</v>
          </cell>
          <cell r="BX51">
            <v>29.65092898211061</v>
          </cell>
          <cell r="BY51">
            <v>30.186017902912305</v>
          </cell>
          <cell r="BZ51">
            <v>30.771956904722533</v>
          </cell>
          <cell r="CA51">
            <v>31.395003378607552</v>
          </cell>
          <cell r="CB51">
            <v>32.084842711724434</v>
          </cell>
          <cell r="CC51">
            <v>32.084842711724434</v>
          </cell>
        </row>
        <row r="52">
          <cell r="F52">
            <v>50</v>
          </cell>
          <cell r="G52">
            <v>31</v>
          </cell>
          <cell r="I52">
            <v>50</v>
          </cell>
          <cell r="J52">
            <v>588.22499999999991</v>
          </cell>
          <cell r="K52">
            <v>1.1499999999999999</v>
          </cell>
          <cell r="N52">
            <v>59</v>
          </cell>
          <cell r="O52">
            <v>49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V52">
            <v>49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C52">
            <v>49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L52">
            <v>49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S52">
            <v>49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AZ52">
            <v>49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  <cell r="BI52">
            <v>49</v>
          </cell>
          <cell r="BJ52">
            <v>2.4666666666666681</v>
          </cell>
          <cell r="BK52">
            <v>2.5160000000000013</v>
          </cell>
          <cell r="BL52">
            <v>2.6146666666666682</v>
          </cell>
          <cell r="BM52">
            <v>2.8120000000000016</v>
          </cell>
          <cell r="BN52">
            <v>3.4533333333333354</v>
          </cell>
          <cell r="BP52">
            <v>49</v>
          </cell>
          <cell r="BQ52">
            <v>89.899465210602642</v>
          </cell>
          <cell r="BR52">
            <v>88.787413007435532</v>
          </cell>
          <cell r="BS52">
            <v>87.591558541772201</v>
          </cell>
          <cell r="BT52">
            <v>86.275030259152317</v>
          </cell>
          <cell r="BU52">
            <v>84.851224267970963</v>
          </cell>
          <cell r="BW52">
            <v>49</v>
          </cell>
          <cell r="BX52">
            <v>30.101255625879666</v>
          </cell>
          <cell r="BY52">
            <v>30.620606377192669</v>
          </cell>
          <cell r="BZ52">
            <v>31.200336585588083</v>
          </cell>
          <cell r="CA52">
            <v>31.820892668144523</v>
          </cell>
          <cell r="CB52">
            <v>32.512459036550872</v>
          </cell>
          <cell r="CC52">
            <v>32.512459036550872</v>
          </cell>
        </row>
        <row r="53">
          <cell r="F53">
            <v>51</v>
          </cell>
          <cell r="G53">
            <v>33.296750801161366</v>
          </cell>
          <cell r="I53">
            <v>51</v>
          </cell>
          <cell r="J53">
            <v>681.65492699983838</v>
          </cell>
          <cell r="K53">
            <v>1.1599999999999999</v>
          </cell>
          <cell r="N53">
            <v>60</v>
          </cell>
          <cell r="O53">
            <v>50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V53">
            <v>50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C53">
            <v>50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L53">
            <v>50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S53">
            <v>50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AZ53">
            <v>50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  <cell r="BI53">
            <v>50</v>
          </cell>
          <cell r="BJ53">
            <v>2.5000000000000013</v>
          </cell>
          <cell r="BK53">
            <v>2.5500000000000016</v>
          </cell>
          <cell r="BL53">
            <v>2.6500000000000017</v>
          </cell>
          <cell r="BM53">
            <v>2.8500000000000014</v>
          </cell>
          <cell r="BN53">
            <v>3.5000000000000018</v>
          </cell>
          <cell r="BP53">
            <v>50</v>
          </cell>
          <cell r="BQ53">
            <v>92.02585597384136</v>
          </cell>
          <cell r="BR53">
            <v>91.028813161489012</v>
          </cell>
          <cell r="BS53">
            <v>89.944796604838743</v>
          </cell>
          <cell r="BT53">
            <v>88.648964439402022</v>
          </cell>
          <cell r="BU53">
            <v>87.254811090446921</v>
          </cell>
          <cell r="BW53">
            <v>50</v>
          </cell>
          <cell r="BX53">
            <v>30.529187213831889</v>
          </cell>
          <cell r="BY53">
            <v>31.07439649010124</v>
          </cell>
          <cell r="BZ53">
            <v>31.622732396398735</v>
          </cell>
          <cell r="CA53">
            <v>32.254400792232055</v>
          </cell>
          <cell r="CB53">
            <v>32.979479362275733</v>
          </cell>
          <cell r="CC53">
            <v>32.979479362275733</v>
          </cell>
        </row>
        <row r="54">
          <cell r="F54">
            <v>52</v>
          </cell>
          <cell r="G54">
            <v>35.758347359905123</v>
          </cell>
          <cell r="I54">
            <v>52</v>
          </cell>
          <cell r="J54">
            <v>789.85301886939453</v>
          </cell>
          <cell r="K54">
            <v>1.17</v>
          </cell>
          <cell r="N54">
            <v>61</v>
          </cell>
          <cell r="O54">
            <v>51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V54">
            <v>51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C54">
            <v>51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AL54">
            <v>51</v>
          </cell>
          <cell r="AM54">
            <v>681.65492699983838</v>
          </cell>
          <cell r="AN54">
            <v>545.32394159987075</v>
          </cell>
          <cell r="AO54">
            <v>408.99295619990301</v>
          </cell>
          <cell r="AP54">
            <v>272.66197079993537</v>
          </cell>
          <cell r="AQ54">
            <v>136.33098539996769</v>
          </cell>
          <cell r="AS54">
            <v>51</v>
          </cell>
          <cell r="AT54">
            <v>93.429926999838472</v>
          </cell>
          <cell r="AU54">
            <v>74.743941599870823</v>
          </cell>
          <cell r="AV54">
            <v>56.05795619990306</v>
          </cell>
          <cell r="AW54">
            <v>37.371970799935411</v>
          </cell>
          <cell r="AX54">
            <v>18.685985399967706</v>
          </cell>
          <cell r="AZ54">
            <v>51</v>
          </cell>
          <cell r="BA54">
            <v>33.612495584603778</v>
          </cell>
          <cell r="BB54">
            <v>35.024397713965918</v>
          </cell>
          <cell r="BC54">
            <v>36.947184852926306</v>
          </cell>
          <cell r="BD54">
            <v>39.655541494705105</v>
          </cell>
          <cell r="BE54">
            <v>44.326465623783335</v>
          </cell>
          <cell r="BI54">
            <v>51</v>
          </cell>
          <cell r="BJ54">
            <v>2.5333333333333345</v>
          </cell>
          <cell r="BK54">
            <v>2.5840000000000014</v>
          </cell>
          <cell r="BL54">
            <v>2.6853333333333347</v>
          </cell>
          <cell r="BM54">
            <v>2.8880000000000012</v>
          </cell>
          <cell r="BN54">
            <v>3.5466666666666682</v>
          </cell>
          <cell r="BP54">
            <v>51</v>
          </cell>
          <cell r="BQ54">
            <v>94.145740969946885</v>
          </cell>
          <cell r="BR54">
            <v>93.183924727109627</v>
          </cell>
          <cell r="BS54">
            <v>92.135531632926771</v>
          </cell>
          <cell r="BT54">
            <v>91.002520783186228</v>
          </cell>
          <cell r="BU54">
            <v>89.726519272163628</v>
          </cell>
          <cell r="BW54">
            <v>51</v>
          </cell>
          <cell r="BX54">
            <v>30.987832933580094</v>
          </cell>
          <cell r="BY54">
            <v>31.478003617690753</v>
          </cell>
          <cell r="BZ54">
            <v>32.061058431778378</v>
          </cell>
          <cell r="CA54">
            <v>32.691861136941853</v>
          </cell>
          <cell r="CB54">
            <v>33.39192659810282</v>
          </cell>
          <cell r="CC54">
            <v>33.39192659810282</v>
          </cell>
        </row>
        <row r="55">
          <cell r="F55">
            <v>53</v>
          </cell>
          <cell r="G55">
            <v>38.396621227037308</v>
          </cell>
          <cell r="I55">
            <v>53</v>
          </cell>
          <cell r="J55">
            <v>915.14532082292135</v>
          </cell>
          <cell r="K55">
            <v>1.18</v>
          </cell>
          <cell r="N55">
            <v>62</v>
          </cell>
          <cell r="O55">
            <v>52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V55">
            <v>52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C55">
            <v>52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AL55">
            <v>52</v>
          </cell>
          <cell r="AM55">
            <v>789.85301886939453</v>
          </cell>
          <cell r="AN55">
            <v>631.88241509551563</v>
          </cell>
          <cell r="AO55">
            <v>473.91181132163672</v>
          </cell>
          <cell r="AP55">
            <v>315.94120754775781</v>
          </cell>
          <cell r="AQ55">
            <v>157.97060377387891</v>
          </cell>
          <cell r="AS55">
            <v>52</v>
          </cell>
          <cell r="AT55">
            <v>108.19809186955615</v>
          </cell>
          <cell r="AU55">
            <v>86.558473495644876</v>
          </cell>
          <cell r="AV55">
            <v>64.918855121733714</v>
          </cell>
          <cell r="AW55">
            <v>43.279236747822438</v>
          </cell>
          <cell r="AX55">
            <v>21.639618373911219</v>
          </cell>
          <cell r="AZ55">
            <v>52</v>
          </cell>
          <cell r="BA55">
            <v>33.737057773318043</v>
          </cell>
          <cell r="BB55">
            <v>35.146386283795508</v>
          </cell>
          <cell r="BC55">
            <v>37.075448197698059</v>
          </cell>
          <cell r="BD55">
            <v>39.790623261487418</v>
          </cell>
          <cell r="BE55">
            <v>44.455742855302844</v>
          </cell>
          <cell r="BI55">
            <v>52</v>
          </cell>
          <cell r="BJ55">
            <v>2.5666666666666678</v>
          </cell>
          <cell r="BK55">
            <v>2.6180000000000012</v>
          </cell>
          <cell r="BL55">
            <v>2.7206666666666681</v>
          </cell>
          <cell r="BM55">
            <v>2.926000000000001</v>
          </cell>
          <cell r="BN55">
            <v>3.5933333333333346</v>
          </cell>
          <cell r="BP55">
            <v>52</v>
          </cell>
          <cell r="BQ55">
            <v>96.265821375882837</v>
          </cell>
          <cell r="BR55">
            <v>95.320056465518832</v>
          </cell>
          <cell r="BS55">
            <v>94.309081972684396</v>
          </cell>
          <cell r="BT55">
            <v>93.208444061349098</v>
          </cell>
          <cell r="BU55">
            <v>92.03038330510195</v>
          </cell>
          <cell r="BW55">
            <v>52</v>
          </cell>
          <cell r="BX55">
            <v>31.409452382022582</v>
          </cell>
          <cell r="BY55">
            <v>31.937003907261929</v>
          </cell>
          <cell r="BZ55">
            <v>32.503757225034654</v>
          </cell>
          <cell r="CA55">
            <v>33.154875618998368</v>
          </cell>
          <cell r="CB55">
            <v>33.843039941845369</v>
          </cell>
          <cell r="CC55">
            <v>33.843039941845369</v>
          </cell>
        </row>
        <row r="56">
          <cell r="F56">
            <v>54</v>
          </cell>
          <cell r="G56">
            <v>41.224253144732614</v>
          </cell>
          <cell r="I56">
            <v>54</v>
          </cell>
          <cell r="J56">
            <v>1060.2230944101252</v>
          </cell>
          <cell r="K56">
            <v>1.19</v>
          </cell>
          <cell r="N56">
            <v>63</v>
          </cell>
          <cell r="O56">
            <v>53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V56">
            <v>53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C56">
            <v>53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AL56">
            <v>53</v>
          </cell>
          <cell r="AM56">
            <v>915.14532082292135</v>
          </cell>
          <cell r="AN56">
            <v>732.11625665833708</v>
          </cell>
          <cell r="AO56">
            <v>549.08719249375281</v>
          </cell>
          <cell r="AP56">
            <v>366.05812832916854</v>
          </cell>
          <cell r="AQ56">
            <v>183.02906416458427</v>
          </cell>
          <cell r="AS56">
            <v>53</v>
          </cell>
          <cell r="AT56">
            <v>125.29230195352682</v>
          </cell>
          <cell r="AU56">
            <v>100.23384156282145</v>
          </cell>
          <cell r="AV56">
            <v>75.17538117211609</v>
          </cell>
          <cell r="AW56">
            <v>50.116920781410727</v>
          </cell>
          <cell r="AX56">
            <v>25.058460390705363</v>
          </cell>
          <cell r="AZ56">
            <v>53</v>
          </cell>
          <cell r="BA56">
            <v>33.861619962032307</v>
          </cell>
          <cell r="BB56">
            <v>35.268374853625097</v>
          </cell>
          <cell r="BC56">
            <v>37.196452985793947</v>
          </cell>
          <cell r="BD56">
            <v>39.925705028269732</v>
          </cell>
          <cell r="BE56">
            <v>44.585020086822361</v>
          </cell>
          <cell r="BI56">
            <v>53</v>
          </cell>
          <cell r="BJ56">
            <v>2.600000000000001</v>
          </cell>
          <cell r="BK56">
            <v>2.652000000000001</v>
          </cell>
          <cell r="BL56">
            <v>2.7560000000000011</v>
          </cell>
          <cell r="BM56">
            <v>2.9640000000000009</v>
          </cell>
          <cell r="BN56">
            <v>3.640000000000001</v>
          </cell>
          <cell r="BP56">
            <v>53</v>
          </cell>
          <cell r="BQ56">
            <v>98.386070168033314</v>
          </cell>
          <cell r="BR56">
            <v>97.463615621461287</v>
          </cell>
          <cell r="BS56">
            <v>96.485848981556117</v>
          </cell>
          <cell r="BT56">
            <v>95.421390644954613</v>
          </cell>
          <cell r="BU56">
            <v>94.2564978309629</v>
          </cell>
          <cell r="BW56">
            <v>53</v>
          </cell>
          <cell r="BX56">
            <v>31.859430310817384</v>
          </cell>
          <cell r="BY56">
            <v>32.373698557428163</v>
          </cell>
          <cell r="BZ56">
            <v>32.983145201793022</v>
          </cell>
          <cell r="CA56">
            <v>33.587424938353614</v>
          </cell>
          <cell r="CB56">
            <v>34.274966559784382</v>
          </cell>
          <cell r="CC56">
            <v>34.274966559784382</v>
          </cell>
        </row>
        <row r="57">
          <cell r="F57">
            <v>55</v>
          </cell>
          <cell r="G57">
            <v>44.254833995939045</v>
          </cell>
          <cell r="I57">
            <v>55</v>
          </cell>
          <cell r="J57">
            <v>1228.2</v>
          </cell>
          <cell r="K57">
            <v>1.2</v>
          </cell>
          <cell r="N57">
            <v>64</v>
          </cell>
          <cell r="O57">
            <v>54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V57">
            <v>54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C57">
            <v>54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AL57">
            <v>54</v>
          </cell>
          <cell r="AM57">
            <v>1060.2230944101252</v>
          </cell>
          <cell r="AN57">
            <v>848.17847552810019</v>
          </cell>
          <cell r="AO57">
            <v>636.13385664607506</v>
          </cell>
          <cell r="AP57">
            <v>424.0892377640501</v>
          </cell>
          <cell r="AQ57">
            <v>212.04461888202505</v>
          </cell>
          <cell r="AS57">
            <v>54</v>
          </cell>
          <cell r="AT57">
            <v>145.07777358720386</v>
          </cell>
          <cell r="AU57">
            <v>116.06221886976311</v>
          </cell>
          <cell r="AV57">
            <v>87.046664152322251</v>
          </cell>
          <cell r="AW57">
            <v>58.031109434881557</v>
          </cell>
          <cell r="AX57">
            <v>29.015554717440779</v>
          </cell>
          <cell r="AZ57">
            <v>54</v>
          </cell>
          <cell r="BA57">
            <v>33.986182150746572</v>
          </cell>
          <cell r="BB57">
            <v>35.390363423454687</v>
          </cell>
          <cell r="BC57">
            <v>37.317457773889828</v>
          </cell>
          <cell r="BD57">
            <v>40.052446592012309</v>
          </cell>
          <cell r="BE57">
            <v>44.71429731834187</v>
          </cell>
          <cell r="BI57">
            <v>54</v>
          </cell>
          <cell r="BJ57">
            <v>2.6333333333333342</v>
          </cell>
          <cell r="BK57">
            <v>2.6860000000000008</v>
          </cell>
          <cell r="BL57">
            <v>2.7913333333333346</v>
          </cell>
          <cell r="BM57">
            <v>3.0020000000000007</v>
          </cell>
          <cell r="BN57">
            <v>3.6866666666666674</v>
          </cell>
          <cell r="BP57">
            <v>54</v>
          </cell>
          <cell r="BQ57">
            <v>100.5064640446531</v>
          </cell>
          <cell r="BR57">
            <v>99.5379191894814</v>
          </cell>
          <cell r="BS57">
            <v>98.506974116675693</v>
          </cell>
          <cell r="BT57">
            <v>97.444645169634811</v>
          </cell>
          <cell r="BU57">
            <v>96.315276464549527</v>
          </cell>
          <cell r="BW57">
            <v>54</v>
          </cell>
          <cell r="BX57">
            <v>32.291963103880526</v>
          </cell>
          <cell r="BY57">
            <v>32.832647261636957</v>
          </cell>
          <cell r="BZ57">
            <v>33.39527305342645</v>
          </cell>
          <cell r="CA57">
            <v>34.031395739895665</v>
          </cell>
          <cell r="CB57">
            <v>34.686702458597871</v>
          </cell>
          <cell r="CC57">
            <v>34.686702458597871</v>
          </cell>
        </row>
        <row r="58">
          <cell r="F58">
            <v>56</v>
          </cell>
          <cell r="G58">
            <v>47.502930128332721</v>
          </cell>
          <cell r="I58">
            <v>56</v>
          </cell>
          <cell r="J58">
            <v>1422.6782097755249</v>
          </cell>
          <cell r="K58">
            <v>1.21</v>
          </cell>
          <cell r="N58">
            <v>65</v>
          </cell>
          <cell r="O58">
            <v>55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V58">
            <v>55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C58">
            <v>55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AL58">
            <v>55</v>
          </cell>
          <cell r="AM58">
            <v>1228.2</v>
          </cell>
          <cell r="AN58">
            <v>982.56000000000006</v>
          </cell>
          <cell r="AO58">
            <v>736.92</v>
          </cell>
          <cell r="AP58">
            <v>491.28000000000003</v>
          </cell>
          <cell r="AQ58">
            <v>245.64000000000001</v>
          </cell>
          <cell r="AS58">
            <v>55</v>
          </cell>
          <cell r="AT58">
            <v>167.97690558987483</v>
          </cell>
          <cell r="AU58">
            <v>134.38152447189987</v>
          </cell>
          <cell r="AV58">
            <v>100.7861433539249</v>
          </cell>
          <cell r="AW58">
            <v>67.190762235949933</v>
          </cell>
          <cell r="AX58">
            <v>33.595381117974966</v>
          </cell>
          <cell r="AZ58">
            <v>55</v>
          </cell>
          <cell r="BA58">
            <v>34.09469189131628</v>
          </cell>
          <cell r="BB58">
            <v>35.512351993284277</v>
          </cell>
          <cell r="BC58">
            <v>37.438462561985709</v>
          </cell>
          <cell r="BD58">
            <v>40.168994574261895</v>
          </cell>
          <cell r="BE58">
            <v>44.843574549861387</v>
          </cell>
          <cell r="BI58">
            <v>55</v>
          </cell>
          <cell r="BJ58">
            <v>2.6666666666666674</v>
          </cell>
          <cell r="BK58">
            <v>2.7200000000000006</v>
          </cell>
          <cell r="BL58">
            <v>2.8266666666666675</v>
          </cell>
          <cell r="BM58">
            <v>3.0400000000000005</v>
          </cell>
          <cell r="BN58">
            <v>3.7333333333333343</v>
          </cell>
          <cell r="BP58">
            <v>55</v>
          </cell>
          <cell r="BQ58">
            <v>102.62698291511826</v>
          </cell>
          <cell r="BR58">
            <v>101.66666489356477</v>
          </cell>
          <cell r="BS58">
            <v>100.60993958592766</v>
          </cell>
          <cell r="BT58">
            <v>99.483765111599226</v>
          </cell>
          <cell r="BU58">
            <v>98.289119177560053</v>
          </cell>
          <cell r="BW58">
            <v>55</v>
          </cell>
          <cell r="BX58">
            <v>32.733609014843147</v>
          </cell>
          <cell r="BY58">
            <v>33.259468274083204</v>
          </cell>
          <cell r="BZ58">
            <v>33.828861415776679</v>
          </cell>
          <cell r="CA58">
            <v>34.436170958710932</v>
          </cell>
          <cell r="CB58">
            <v>35.119323824093144</v>
          </cell>
          <cell r="CC58">
            <v>35.119323824093144</v>
          </cell>
        </row>
        <row r="59">
          <cell r="F59">
            <v>57</v>
          </cell>
          <cell r="G59">
            <v>50.984153366799077</v>
          </cell>
          <cell r="I59">
            <v>57</v>
          </cell>
          <cell r="J59">
            <v>1647.8248427703616</v>
          </cell>
          <cell r="K59">
            <v>1.22</v>
          </cell>
          <cell r="N59">
            <v>66</v>
          </cell>
          <cell r="O59">
            <v>56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V59">
            <v>56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C59">
            <v>56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AL59">
            <v>56</v>
          </cell>
          <cell r="AM59">
            <v>1422.6782097755249</v>
          </cell>
          <cell r="AN59">
            <v>1138.14256782042</v>
          </cell>
          <cell r="AO59">
            <v>853.60692586531491</v>
          </cell>
          <cell r="AP59">
            <v>569.07128391021001</v>
          </cell>
          <cell r="AQ59">
            <v>284.53564195510501</v>
          </cell>
          <cell r="AS59">
            <v>56</v>
          </cell>
          <cell r="AT59">
            <v>194.47820977552487</v>
          </cell>
          <cell r="AU59">
            <v>155.58256782041997</v>
          </cell>
          <cell r="AV59">
            <v>116.68692586531495</v>
          </cell>
          <cell r="AW59">
            <v>77.791283910209984</v>
          </cell>
          <cell r="AX59">
            <v>38.895641955104992</v>
          </cell>
          <cell r="AZ59">
            <v>56</v>
          </cell>
          <cell r="BA59">
            <v>34.201198727632011</v>
          </cell>
          <cell r="BB59">
            <v>35.634340563113874</v>
          </cell>
          <cell r="BC59">
            <v>37.55946735008159</v>
          </cell>
          <cell r="BD59">
            <v>40.28554255651148</v>
          </cell>
          <cell r="BE59">
            <v>44.972851781380903</v>
          </cell>
          <cell r="BI59">
            <v>56</v>
          </cell>
          <cell r="BJ59">
            <v>2.7000000000000006</v>
          </cell>
          <cell r="BK59">
            <v>2.7540000000000009</v>
          </cell>
          <cell r="BL59">
            <v>2.862000000000001</v>
          </cell>
          <cell r="BM59">
            <v>3.0780000000000003</v>
          </cell>
          <cell r="BN59">
            <v>3.7800000000000007</v>
          </cell>
          <cell r="BP59">
            <v>56</v>
          </cell>
          <cell r="BQ59">
            <v>104.74760945904168</v>
          </cell>
          <cell r="BR59">
            <v>103.83698778121276</v>
          </cell>
          <cell r="BS59">
            <v>102.85713143900996</v>
          </cell>
          <cell r="BT59">
            <v>101.75206987035675</v>
          </cell>
          <cell r="BU59">
            <v>100.52336200343598</v>
          </cell>
          <cell r="BW59">
            <v>56</v>
          </cell>
          <cell r="BX59">
            <v>33.176892907302189</v>
          </cell>
          <cell r="BY59">
            <v>33.68650047037341</v>
          </cell>
          <cell r="BZ59">
            <v>34.252426803545553</v>
          </cell>
          <cell r="CA59">
            <v>34.869671993596455</v>
          </cell>
          <cell r="CB59">
            <v>35.555098518625485</v>
          </cell>
          <cell r="CC59">
            <v>35.555098518625485</v>
          </cell>
        </row>
        <row r="60">
          <cell r="F60">
            <v>58</v>
          </cell>
          <cell r="G60">
            <v>54.715236050951923</v>
          </cell>
          <cell r="I60">
            <v>58</v>
          </cell>
          <cell r="J60">
            <v>1908.4603298511749</v>
          </cell>
          <cell r="K60">
            <v>1.23</v>
          </cell>
          <cell r="N60">
            <v>67</v>
          </cell>
          <cell r="O60">
            <v>57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V60">
            <v>57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C60">
            <v>57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AL60">
            <v>57</v>
          </cell>
          <cell r="AM60">
            <v>1647.8248427703616</v>
          </cell>
          <cell r="AN60">
            <v>1318.2598742162893</v>
          </cell>
          <cell r="AO60">
            <v>988.69490566221691</v>
          </cell>
          <cell r="AP60">
            <v>659.12993710814465</v>
          </cell>
          <cell r="AQ60">
            <v>329.56496855407232</v>
          </cell>
          <cell r="AS60">
            <v>57</v>
          </cell>
          <cell r="AT60">
            <v>225.14663299483664</v>
          </cell>
          <cell r="AU60">
            <v>180.11730639586926</v>
          </cell>
          <cell r="AV60">
            <v>135.087979796902</v>
          </cell>
          <cell r="AW60">
            <v>90.058653197934632</v>
          </cell>
          <cell r="AX60">
            <v>45.029326598967316</v>
          </cell>
          <cell r="AZ60">
            <v>57</v>
          </cell>
          <cell r="BA60">
            <v>34.307705563947749</v>
          </cell>
          <cell r="BB60">
            <v>35.756329132943463</v>
          </cell>
          <cell r="BC60">
            <v>37.680472138177478</v>
          </cell>
          <cell r="BD60">
            <v>40.402090538761065</v>
          </cell>
          <cell r="BE60">
            <v>45.088151688727308</v>
          </cell>
          <cell r="BI60">
            <v>57</v>
          </cell>
          <cell r="BJ60">
            <v>2.7333333333333338</v>
          </cell>
          <cell r="BK60">
            <v>2.7880000000000007</v>
          </cell>
          <cell r="BL60">
            <v>2.897333333333334</v>
          </cell>
          <cell r="BM60">
            <v>3.1160000000000001</v>
          </cell>
          <cell r="BN60">
            <v>3.8266666666666671</v>
          </cell>
          <cell r="BP60">
            <v>57</v>
          </cell>
          <cell r="BQ60">
            <v>106.86832874572353</v>
          </cell>
          <cell r="BR60">
            <v>105.93060744042049</v>
          </cell>
          <cell r="BS60">
            <v>104.93378702762401</v>
          </cell>
          <cell r="BT60">
            <v>103.87052361677672</v>
          </cell>
          <cell r="BU60">
            <v>102.71853803916484</v>
          </cell>
          <cell r="BW60">
            <v>57</v>
          </cell>
          <cell r="BX60">
            <v>33.610521693288518</v>
          </cell>
          <cell r="BY60">
            <v>34.136006917064577</v>
          </cell>
          <cell r="BZ60">
            <v>34.683321882159184</v>
          </cell>
          <cell r="CA60">
            <v>35.308560867691789</v>
          </cell>
          <cell r="CB60">
            <v>36.028038378653754</v>
          </cell>
          <cell r="CC60">
            <v>36.028038378653754</v>
          </cell>
        </row>
        <row r="61">
          <cell r="F61">
            <v>59</v>
          </cell>
          <cell r="G61">
            <v>58.714111458355703</v>
          </cell>
          <cell r="I61">
            <v>59</v>
          </cell>
          <cell r="J61">
            <v>2210.1605665017755</v>
          </cell>
          <cell r="K61">
            <v>1.24</v>
          </cell>
          <cell r="N61">
            <v>68</v>
          </cell>
          <cell r="O61">
            <v>58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V61">
            <v>58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C61">
            <v>58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AL61">
            <v>58</v>
          </cell>
          <cell r="AM61">
            <v>1908.4603298511749</v>
          </cell>
          <cell r="AN61">
            <v>1526.7682638809401</v>
          </cell>
          <cell r="AO61">
            <v>1145.0761979107049</v>
          </cell>
          <cell r="AP61">
            <v>763.38413194047007</v>
          </cell>
          <cell r="AQ61">
            <v>381.69206597023503</v>
          </cell>
          <cell r="AS61">
            <v>58</v>
          </cell>
          <cell r="AT61">
            <v>260.63548708081339</v>
          </cell>
          <cell r="AU61">
            <v>208.50838966465085</v>
          </cell>
          <cell r="AV61">
            <v>156.38129224848797</v>
          </cell>
          <cell r="AW61">
            <v>104.25419483232542</v>
          </cell>
          <cell r="AX61">
            <v>52.127097416162712</v>
          </cell>
          <cell r="AZ61">
            <v>58</v>
          </cell>
          <cell r="BA61">
            <v>34.41421240026348</v>
          </cell>
          <cell r="BB61">
            <v>35.878317702773053</v>
          </cell>
          <cell r="BC61">
            <v>37.801476926273359</v>
          </cell>
          <cell r="BD61">
            <v>40.518638521010644</v>
          </cell>
          <cell r="BE61">
            <v>45.199736104837825</v>
          </cell>
          <cell r="BI61">
            <v>58</v>
          </cell>
          <cell r="BJ61">
            <v>2.7666666666666671</v>
          </cell>
          <cell r="BK61">
            <v>2.8220000000000005</v>
          </cell>
          <cell r="BL61">
            <v>2.9326666666666674</v>
          </cell>
          <cell r="BM61">
            <v>3.1540000000000004</v>
          </cell>
          <cell r="BN61">
            <v>3.8733333333333335</v>
          </cell>
          <cell r="BP61">
            <v>58</v>
          </cell>
          <cell r="BQ61">
            <v>108.98912790570419</v>
          </cell>
          <cell r="BR61">
            <v>108.05706415648734</v>
          </cell>
          <cell r="BS61">
            <v>107.0450185423547</v>
          </cell>
          <cell r="BT61">
            <v>105.98041084497018</v>
          </cell>
          <cell r="BU61">
            <v>104.81855388022134</v>
          </cell>
          <cell r="BW61">
            <v>58</v>
          </cell>
          <cell r="BX61">
            <v>34.064362584006396</v>
          </cell>
          <cell r="BY61">
            <v>34.555333392643561</v>
          </cell>
          <cell r="BZ61">
            <v>35.132313012164516</v>
          </cell>
          <cell r="CA61">
            <v>35.773967769083114</v>
          </cell>
          <cell r="CB61">
            <v>36.465928362136154</v>
          </cell>
          <cell r="CC61">
            <v>36.465928362136154</v>
          </cell>
        </row>
        <row r="62">
          <cell r="F62">
            <v>60</v>
          </cell>
          <cell r="G62">
            <v>63</v>
          </cell>
          <cell r="I62">
            <v>60</v>
          </cell>
          <cell r="J62">
            <v>2559.375</v>
          </cell>
          <cell r="K62">
            <v>1.25</v>
          </cell>
          <cell r="N62">
            <v>69</v>
          </cell>
          <cell r="O62">
            <v>59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V62">
            <v>59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C62">
            <v>59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AL62">
            <v>59</v>
          </cell>
          <cell r="AM62">
            <v>2210.1605665017755</v>
          </cell>
          <cell r="AN62">
            <v>1768.1284532014206</v>
          </cell>
          <cell r="AO62">
            <v>1326.0963399010652</v>
          </cell>
          <cell r="AP62">
            <v>884.0642266007103</v>
          </cell>
          <cell r="AQ62">
            <v>442.03211330035515</v>
          </cell>
          <cell r="AS62">
            <v>59</v>
          </cell>
          <cell r="AT62">
            <v>301.70023665060057</v>
          </cell>
          <cell r="AU62">
            <v>241.36018932048046</v>
          </cell>
          <cell r="AV62">
            <v>181.02014199036034</v>
          </cell>
          <cell r="AW62">
            <v>120.68009466024023</v>
          </cell>
          <cell r="AX62">
            <v>60.340047330120115</v>
          </cell>
          <cell r="AZ62">
            <v>59</v>
          </cell>
          <cell r="BA62">
            <v>34.520719236579211</v>
          </cell>
          <cell r="BB62">
            <v>36.000264155774609</v>
          </cell>
          <cell r="BC62">
            <v>37.922481714369241</v>
          </cell>
          <cell r="BD62">
            <v>40.635186503260229</v>
          </cell>
          <cell r="BE62">
            <v>45.31132052094835</v>
          </cell>
          <cell r="BI62">
            <v>59</v>
          </cell>
          <cell r="BJ62">
            <v>2.8000000000000003</v>
          </cell>
          <cell r="BK62">
            <v>2.8560000000000003</v>
          </cell>
          <cell r="BL62">
            <v>2.9680000000000004</v>
          </cell>
          <cell r="BM62">
            <v>3.1920000000000002</v>
          </cell>
          <cell r="BN62">
            <v>3.92</v>
          </cell>
          <cell r="BP62">
            <v>59</v>
          </cell>
          <cell r="BQ62">
            <v>111.10262975447033</v>
          </cell>
          <cell r="BR62">
            <v>110.20947507564244</v>
          </cell>
          <cell r="BS62">
            <v>109.25629876969376</v>
          </cell>
          <cell r="BT62">
            <v>108.20567887066987</v>
          </cell>
          <cell r="BU62">
            <v>107.05837602863994</v>
          </cell>
          <cell r="BW62">
            <v>59</v>
          </cell>
          <cell r="BX62">
            <v>34.490270152469755</v>
          </cell>
          <cell r="BY62">
            <v>35.017122693980703</v>
          </cell>
          <cell r="BZ62">
            <v>35.590118732830298</v>
          </cell>
          <cell r="CA62">
            <v>36.233346855347108</v>
          </cell>
          <cell r="CB62">
            <v>36.948702736645387</v>
          </cell>
          <cell r="CC62">
            <v>36.948702736645387</v>
          </cell>
        </row>
        <row r="63">
          <cell r="F63">
            <v>61</v>
          </cell>
          <cell r="G63">
            <v>67.593501602322732</v>
          </cell>
          <cell r="I63">
            <v>61</v>
          </cell>
          <cell r="J63">
            <v>2963.5631311027469</v>
          </cell>
          <cell r="K63">
            <v>1.26</v>
          </cell>
          <cell r="N63">
            <v>70</v>
          </cell>
          <cell r="O63">
            <v>60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V63">
            <v>60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C63">
            <v>60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AL63">
            <v>60</v>
          </cell>
          <cell r="AM63">
            <v>2559.375</v>
          </cell>
          <cell r="AN63">
            <v>2047.5</v>
          </cell>
          <cell r="AO63">
            <v>1535.625</v>
          </cell>
          <cell r="AP63">
            <v>1023.75</v>
          </cell>
          <cell r="AQ63">
            <v>511.875</v>
          </cell>
          <cell r="AS63">
            <v>60</v>
          </cell>
          <cell r="AT63">
            <v>349.21443349822448</v>
          </cell>
          <cell r="AU63">
            <v>279.3715467985794</v>
          </cell>
          <cell r="AV63">
            <v>209.52866009893478</v>
          </cell>
          <cell r="AW63">
            <v>139.6857733992897</v>
          </cell>
          <cell r="AX63">
            <v>69.842886699644851</v>
          </cell>
          <cell r="AZ63">
            <v>60</v>
          </cell>
          <cell r="BA63">
            <v>34.627226072894942</v>
          </cell>
          <cell r="BB63">
            <v>36.105477566569242</v>
          </cell>
          <cell r="BC63">
            <v>38.037513426486328</v>
          </cell>
          <cell r="BD63">
            <v>40.751734485509814</v>
          </cell>
          <cell r="BE63">
            <v>45.422904937058867</v>
          </cell>
          <cell r="BI63">
            <v>60</v>
          </cell>
          <cell r="BJ63">
            <v>2.8333333333333335</v>
          </cell>
          <cell r="BK63">
            <v>2.89</v>
          </cell>
          <cell r="BL63">
            <v>3.0033333333333339</v>
          </cell>
          <cell r="BM63">
            <v>3.23</v>
          </cell>
          <cell r="BN63">
            <v>3.9666666666666668</v>
          </cell>
          <cell r="BP63">
            <v>60</v>
          </cell>
          <cell r="BQ63">
            <v>113.21545878873063</v>
          </cell>
          <cell r="BR63">
            <v>112.29538714242203</v>
          </cell>
          <cell r="BS63">
            <v>111.32275250484524</v>
          </cell>
          <cell r="BT63">
            <v>110.29731048917512</v>
          </cell>
          <cell r="BU63">
            <v>109.19465210702913</v>
          </cell>
          <cell r="BW63">
            <v>60</v>
          </cell>
          <cell r="BX63">
            <v>34.946746581842135</v>
          </cell>
          <cell r="BY63">
            <v>35.462275685369235</v>
          </cell>
          <cell r="BZ63">
            <v>36.065833153381824</v>
          </cell>
          <cell r="CA63">
            <v>36.696861105963713</v>
          </cell>
          <cell r="CB63">
            <v>37.417758642742506</v>
          </cell>
          <cell r="CC63">
            <v>37.417758642742506</v>
          </cell>
        </row>
        <row r="64">
          <cell r="F64">
            <v>62</v>
          </cell>
          <cell r="G64">
            <v>72.516694719810218</v>
          </cell>
          <cell r="I64">
            <v>62</v>
          </cell>
          <cell r="J64">
            <v>3431.3522956038646</v>
          </cell>
          <cell r="K64">
            <v>1.27</v>
          </cell>
          <cell r="N64">
            <v>71</v>
          </cell>
          <cell r="O64">
            <v>61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V64">
            <v>61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C64">
            <v>61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AL64">
            <v>61</v>
          </cell>
          <cell r="AM64">
            <v>2963.5631311027469</v>
          </cell>
          <cell r="AN64">
            <v>2370.8505048821976</v>
          </cell>
          <cell r="AO64">
            <v>1778.1378786616481</v>
          </cell>
          <cell r="AP64">
            <v>1185.4252524410988</v>
          </cell>
          <cell r="AQ64">
            <v>592.7126262205494</v>
          </cell>
          <cell r="AS64">
            <v>61</v>
          </cell>
          <cell r="AT64">
            <v>404.18813110274687</v>
          </cell>
          <cell r="AU64">
            <v>323.35050488219758</v>
          </cell>
          <cell r="AV64">
            <v>242.51287866164807</v>
          </cell>
          <cell r="AW64">
            <v>161.67525244109879</v>
          </cell>
          <cell r="AX64">
            <v>80.837626220549396</v>
          </cell>
          <cell r="AZ64">
            <v>61</v>
          </cell>
          <cell r="BA64">
            <v>34.733732909210673</v>
          </cell>
          <cell r="BB64">
            <v>36.210690977363875</v>
          </cell>
          <cell r="BC64">
            <v>38.14189763688286</v>
          </cell>
          <cell r="BD64">
            <v>40.8682824677594</v>
          </cell>
          <cell r="BE64">
            <v>45.534489353169384</v>
          </cell>
          <cell r="BI64">
            <v>61</v>
          </cell>
          <cell r="BJ64">
            <v>2.8666666666666667</v>
          </cell>
          <cell r="BK64">
            <v>2.9239999999999999</v>
          </cell>
          <cell r="BL64">
            <v>3.0386666666666668</v>
          </cell>
          <cell r="BM64">
            <v>3.2679999999999998</v>
          </cell>
          <cell r="BN64">
            <v>4.0133333333333328</v>
          </cell>
          <cell r="BP64">
            <v>61</v>
          </cell>
          <cell r="BQ64">
            <v>115.32833539528137</v>
          </cell>
          <cell r="BR64">
            <v>114.41842394774007</v>
          </cell>
          <cell r="BS64">
            <v>113.42974477170841</v>
          </cell>
          <cell r="BT64">
            <v>112.37441833838224</v>
          </cell>
          <cell r="BU64">
            <v>111.23877737165789</v>
          </cell>
          <cell r="BW64">
            <v>61</v>
          </cell>
          <cell r="BX64">
            <v>35.39948832484999</v>
          </cell>
          <cell r="BY64">
            <v>35.951121278937144</v>
          </cell>
          <cell r="BZ64">
            <v>36.523226353203405</v>
          </cell>
          <cell r="CA64">
            <v>37.177648787597903</v>
          </cell>
          <cell r="CB64">
            <v>37.899048700813722</v>
          </cell>
          <cell r="CC64">
            <v>37.899048700813722</v>
          </cell>
        </row>
        <row r="65">
          <cell r="F65">
            <v>63</v>
          </cell>
          <cell r="G65">
            <v>77.793242454074615</v>
          </cell>
          <cell r="I65">
            <v>63</v>
          </cell>
          <cell r="J65">
            <v>3972.7200361130153</v>
          </cell>
          <cell r="K65">
            <v>1.28</v>
          </cell>
          <cell r="N65">
            <v>72</v>
          </cell>
          <cell r="O65">
            <v>62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V65">
            <v>62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C65">
            <v>62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AL65">
            <v>62</v>
          </cell>
          <cell r="AM65">
            <v>3431.3522956038646</v>
          </cell>
          <cell r="AN65">
            <v>2745.081836483092</v>
          </cell>
          <cell r="AO65">
            <v>2058.8113773623186</v>
          </cell>
          <cell r="AP65">
            <v>1372.540918241546</v>
          </cell>
          <cell r="AQ65">
            <v>686.27045912077301</v>
          </cell>
          <cell r="AS65">
            <v>62</v>
          </cell>
          <cell r="AT65">
            <v>467.78916450111774</v>
          </cell>
          <cell r="AU65">
            <v>374.23133160089446</v>
          </cell>
          <cell r="AV65">
            <v>280.67349870067051</v>
          </cell>
          <cell r="AW65">
            <v>187.11566580044723</v>
          </cell>
          <cell r="AX65">
            <v>93.557832900223616</v>
          </cell>
          <cell r="AZ65">
            <v>62</v>
          </cell>
          <cell r="BA65">
            <v>34.840239745526404</v>
          </cell>
          <cell r="BB65">
            <v>36.315904388158508</v>
          </cell>
          <cell r="BC65">
            <v>38.246281847279398</v>
          </cell>
          <cell r="BD65">
            <v>40.984830450008978</v>
          </cell>
          <cell r="BE65">
            <v>45.646073769279901</v>
          </cell>
          <cell r="BI65">
            <v>62</v>
          </cell>
          <cell r="BJ65">
            <v>2.9</v>
          </cell>
          <cell r="BK65">
            <v>2.9579999999999997</v>
          </cell>
          <cell r="BL65">
            <v>3.0739999999999998</v>
          </cell>
          <cell r="BM65">
            <v>3.3059999999999996</v>
          </cell>
          <cell r="BN65">
            <v>4.0599999999999996</v>
          </cell>
          <cell r="BP65">
            <v>62</v>
          </cell>
          <cell r="BQ65">
            <v>117.44125295293078</v>
          </cell>
          <cell r="BR65">
            <v>116.57008716694446</v>
          </cell>
          <cell r="BS65">
            <v>115.63935175516689</v>
          </cell>
          <cell r="BT65">
            <v>114.60606674176169</v>
          </cell>
          <cell r="BU65">
            <v>113.4549371467006</v>
          </cell>
          <cell r="BW65">
            <v>62</v>
          </cell>
          <cell r="BX65">
            <v>35.879946954767739</v>
          </cell>
          <cell r="BY65">
            <v>36.404595889192997</v>
          </cell>
          <cell r="BZ65">
            <v>37.015987444264518</v>
          </cell>
          <cell r="CA65">
            <v>37.65260406528229</v>
          </cell>
          <cell r="CB65">
            <v>38.389532424015663</v>
          </cell>
          <cell r="CC65">
            <v>38.389532424015663</v>
          </cell>
        </row>
        <row r="66">
          <cell r="F66">
            <v>64</v>
          </cell>
          <cell r="G66">
            <v>83.4485062894652</v>
          </cell>
          <cell r="I66">
            <v>64</v>
          </cell>
          <cell r="J66">
            <v>4599.2048883665893</v>
          </cell>
          <cell r="K66">
            <v>1.29</v>
          </cell>
          <cell r="N66">
            <v>73</v>
          </cell>
          <cell r="O66">
            <v>63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V66">
            <v>63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C66">
            <v>63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AL66">
            <v>63</v>
          </cell>
          <cell r="AM66">
            <v>3972.7200361130153</v>
          </cell>
          <cell r="AN66">
            <v>3178.1760288904125</v>
          </cell>
          <cell r="AO66">
            <v>2383.6320216678091</v>
          </cell>
          <cell r="AP66">
            <v>1589.0880144452062</v>
          </cell>
          <cell r="AQ66">
            <v>794.54400722260311</v>
          </cell>
          <cell r="AS66">
            <v>63</v>
          </cell>
          <cell r="AT66">
            <v>541.36774050915074</v>
          </cell>
          <cell r="AU66">
            <v>433.09419240732041</v>
          </cell>
          <cell r="AV66">
            <v>324.82064430549053</v>
          </cell>
          <cell r="AW66">
            <v>216.5470962036602</v>
          </cell>
          <cell r="AX66">
            <v>108.2735481018301</v>
          </cell>
          <cell r="AZ66">
            <v>63</v>
          </cell>
          <cell r="BA66">
            <v>34.946746581842135</v>
          </cell>
          <cell r="BB66">
            <v>36.421117798953141</v>
          </cell>
          <cell r="BC66">
            <v>38.35066605767593</v>
          </cell>
          <cell r="BD66">
            <v>41.087476216725996</v>
          </cell>
          <cell r="BE66">
            <v>45.757658185390426</v>
          </cell>
          <cell r="BI66">
            <v>63</v>
          </cell>
          <cell r="BJ66">
            <v>2.9333333333333331</v>
          </cell>
          <cell r="BK66">
            <v>2.992</v>
          </cell>
          <cell r="BL66">
            <v>3.1093333333333333</v>
          </cell>
          <cell r="BM66">
            <v>3.3439999999999994</v>
          </cell>
          <cell r="BN66">
            <v>4.1066666666666665</v>
          </cell>
          <cell r="BP66">
            <v>63</v>
          </cell>
          <cell r="BQ66">
            <v>119.55420575752977</v>
          </cell>
          <cell r="BR66">
            <v>118.67207694028556</v>
          </cell>
          <cell r="BS66">
            <v>117.73975971101574</v>
          </cell>
          <cell r="BT66">
            <v>116.73393678080937</v>
          </cell>
          <cell r="BU66">
            <v>115.65492353979617</v>
          </cell>
          <cell r="BW66">
            <v>63</v>
          </cell>
          <cell r="BX66">
            <v>36.340586819184892</v>
          </cell>
          <cell r="BY66">
            <v>36.891430076047094</v>
          </cell>
          <cell r="BZ66">
            <v>37.472329150700546</v>
          </cell>
          <cell r="CA66">
            <v>38.143685709059689</v>
          </cell>
          <cell r="CB66">
            <v>38.883046871454752</v>
          </cell>
          <cell r="CC66">
            <v>38.883046871454752</v>
          </cell>
        </row>
        <row r="67">
          <cell r="F67">
            <v>65</v>
          </cell>
          <cell r="G67">
            <v>89.509667991878061</v>
          </cell>
          <cell r="I67">
            <v>65</v>
          </cell>
          <cell r="J67">
            <v>5324.1500000000005</v>
          </cell>
          <cell r="K67">
            <v>1.3</v>
          </cell>
          <cell r="N67">
            <v>74</v>
          </cell>
          <cell r="O67">
            <v>64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V67">
            <v>64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C67">
            <v>64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AL67">
            <v>64</v>
          </cell>
          <cell r="AM67">
            <v>4599.2048883665893</v>
          </cell>
          <cell r="AN67">
            <v>3679.3639106932715</v>
          </cell>
          <cell r="AO67">
            <v>2759.5229330199536</v>
          </cell>
          <cell r="AP67">
            <v>1839.6819553466357</v>
          </cell>
          <cell r="AQ67">
            <v>919.84097767331787</v>
          </cell>
          <cell r="AS67">
            <v>64</v>
          </cell>
          <cell r="AT67">
            <v>626.48485225357399</v>
          </cell>
          <cell r="AU67">
            <v>501.18788180285901</v>
          </cell>
          <cell r="AV67">
            <v>375.89091135214449</v>
          </cell>
          <cell r="AW67">
            <v>250.59394090142951</v>
          </cell>
          <cell r="AX67">
            <v>125.29697045071475</v>
          </cell>
          <cell r="AZ67">
            <v>64</v>
          </cell>
          <cell r="BA67">
            <v>35.048795427931836</v>
          </cell>
          <cell r="BB67">
            <v>36.526331209747774</v>
          </cell>
          <cell r="BC67">
            <v>38.455050268072462</v>
          </cell>
          <cell r="BD67">
            <v>41.188041754455355</v>
          </cell>
          <cell r="BE67">
            <v>45.869242601500943</v>
          </cell>
          <cell r="BI67">
            <v>64</v>
          </cell>
          <cell r="BJ67">
            <v>2.9666666666666663</v>
          </cell>
          <cell r="BK67">
            <v>3.0259999999999998</v>
          </cell>
          <cell r="BL67">
            <v>3.1446666666666663</v>
          </cell>
          <cell r="BM67">
            <v>3.3819999999999992</v>
          </cell>
          <cell r="BN67">
            <v>4.1533333333333324</v>
          </cell>
          <cell r="BP67">
            <v>64</v>
          </cell>
          <cell r="BQ67">
            <v>121.66718889550316</v>
          </cell>
          <cell r="BR67">
            <v>120.7875236036714</v>
          </cell>
          <cell r="BS67">
            <v>119.82684914766305</v>
          </cell>
          <cell r="BT67">
            <v>118.81193261353252</v>
          </cell>
          <cell r="BU67">
            <v>117.74192085001619</v>
          </cell>
          <cell r="BW67">
            <v>64</v>
          </cell>
          <cell r="BX67">
            <v>36.816594496836878</v>
          </cell>
          <cell r="BY67">
            <v>37.353752318195028</v>
          </cell>
          <cell r="BZ67">
            <v>37.96668081559784</v>
          </cell>
          <cell r="CA67">
            <v>38.619769456836295</v>
          </cell>
          <cell r="CB67">
            <v>39.342673018124934</v>
          </cell>
          <cell r="CC67">
            <v>39.342673018124934</v>
          </cell>
        </row>
        <row r="68">
          <cell r="F68">
            <v>66</v>
          </cell>
          <cell r="G68">
            <v>96.005860256665443</v>
          </cell>
          <cell r="I68">
            <v>66</v>
          </cell>
          <cell r="J68">
            <v>6162.9846853088866</v>
          </cell>
          <cell r="K68">
            <v>1.31</v>
          </cell>
          <cell r="N68">
            <v>75</v>
          </cell>
          <cell r="O68">
            <v>65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V68">
            <v>65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C68">
            <v>65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AL68">
            <v>65</v>
          </cell>
          <cell r="AM68">
            <v>5324.1500000000005</v>
          </cell>
          <cell r="AN68">
            <v>4259.3200000000006</v>
          </cell>
          <cell r="AO68">
            <v>3194.4900000000002</v>
          </cell>
          <cell r="AP68">
            <v>2129.6600000000003</v>
          </cell>
          <cell r="AQ68">
            <v>1064.8300000000002</v>
          </cell>
          <cell r="AS68">
            <v>65</v>
          </cell>
          <cell r="AT68">
            <v>724.94511163341122</v>
          </cell>
          <cell r="AU68">
            <v>579.95608930672915</v>
          </cell>
          <cell r="AV68">
            <v>434.96706698004664</v>
          </cell>
          <cell r="AW68">
            <v>289.97804465336458</v>
          </cell>
          <cell r="AX68">
            <v>144.98902232668229</v>
          </cell>
          <cell r="AZ68">
            <v>65</v>
          </cell>
          <cell r="BA68">
            <v>35.146386283795508</v>
          </cell>
          <cell r="BB68">
            <v>36.631544620542407</v>
          </cell>
          <cell r="BC68">
            <v>38.559434478468994</v>
          </cell>
          <cell r="BD68">
            <v>41.288607292184714</v>
          </cell>
          <cell r="BE68">
            <v>45.98082701761146</v>
          </cell>
          <cell r="BI68">
            <v>65</v>
          </cell>
          <cell r="BJ68">
            <v>2.9999999999999996</v>
          </cell>
          <cell r="BK68">
            <v>3.0599999999999996</v>
          </cell>
          <cell r="BL68">
            <v>3.1799999999999997</v>
          </cell>
          <cell r="BM68">
            <v>3.419999999999999</v>
          </cell>
          <cell r="BN68">
            <v>4.1999999999999993</v>
          </cell>
          <cell r="BP68">
            <v>65</v>
          </cell>
          <cell r="BQ68">
            <v>123.78019813475611</v>
          </cell>
          <cell r="BR68">
            <v>122.94202904218383</v>
          </cell>
          <cell r="BS68">
            <v>122.04564028811234</v>
          </cell>
          <cell r="BT68">
            <v>121.05089677308304</v>
          </cell>
          <cell r="BU68">
            <v>119.95354120546152</v>
          </cell>
          <cell r="BW68">
            <v>65</v>
          </cell>
          <cell r="BX68">
            <v>37.281858261446175</v>
          </cell>
          <cell r="BY68">
            <v>37.830182618345603</v>
          </cell>
          <cell r="BZ68">
            <v>38.434433483033168</v>
          </cell>
          <cell r="CA68">
            <v>39.10574775257124</v>
          </cell>
          <cell r="CB68">
            <v>39.788896264020153</v>
          </cell>
          <cell r="CC68">
            <v>39.788896264020153</v>
          </cell>
        </row>
        <row r="69">
          <cell r="F69">
            <v>67</v>
          </cell>
          <cell r="G69">
            <v>102.96830673359811</v>
          </cell>
          <cell r="I69">
            <v>67</v>
          </cell>
          <cell r="J69">
            <v>7133.5498113340191</v>
          </cell>
          <cell r="K69">
            <v>1.32</v>
          </cell>
          <cell r="N69">
            <v>76</v>
          </cell>
          <cell r="O69">
            <v>66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V69">
            <v>66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C69">
            <v>66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AL69">
            <v>66</v>
          </cell>
          <cell r="AM69">
            <v>6162.9846853088866</v>
          </cell>
          <cell r="AN69">
            <v>4930.3877482471098</v>
          </cell>
          <cell r="AO69">
            <v>3697.7908111853317</v>
          </cell>
          <cell r="AP69">
            <v>2465.1938741235549</v>
          </cell>
          <cell r="AQ69">
            <v>1232.5969370617775</v>
          </cell>
          <cell r="AS69">
            <v>66</v>
          </cell>
          <cell r="AT69">
            <v>838.83468530888604</v>
          </cell>
          <cell r="AU69">
            <v>671.06774824710919</v>
          </cell>
          <cell r="AV69">
            <v>503.30081118533144</v>
          </cell>
          <cell r="AW69">
            <v>335.5338741235546</v>
          </cell>
          <cell r="AX69">
            <v>167.7669370617773</v>
          </cell>
          <cell r="AZ69">
            <v>66</v>
          </cell>
          <cell r="BA69">
            <v>35.243977139659179</v>
          </cell>
          <cell r="BB69">
            <v>36.73675803133704</v>
          </cell>
          <cell r="BC69">
            <v>38.663818688865533</v>
          </cell>
          <cell r="BD69">
            <v>41.389172829914081</v>
          </cell>
          <cell r="BE69">
            <v>46.079770001861057</v>
          </cell>
          <cell r="BI69">
            <v>66</v>
          </cell>
          <cell r="BJ69">
            <v>3.0333333333333328</v>
          </cell>
          <cell r="BK69">
            <v>3.0939999999999994</v>
          </cell>
          <cell r="BL69">
            <v>3.2153333333333327</v>
          </cell>
          <cell r="BM69">
            <v>3.4579999999999989</v>
          </cell>
          <cell r="BN69">
            <v>4.2466666666666653</v>
          </cell>
          <cell r="BP69">
            <v>66</v>
          </cell>
          <cell r="BQ69">
            <v>125.89322983057725</v>
          </cell>
          <cell r="BR69">
            <v>125.03207854890056</v>
          </cell>
          <cell r="BS69">
            <v>124.09865268465654</v>
          </cell>
          <cell r="BT69">
            <v>123.12386763900987</v>
          </cell>
          <cell r="BU69">
            <v>122.09304851303449</v>
          </cell>
          <cell r="BW69">
            <v>66</v>
          </cell>
          <cell r="BX69">
            <v>37.753500482504599</v>
          </cell>
          <cell r="BY69">
            <v>38.299957868613873</v>
          </cell>
          <cell r="BZ69">
            <v>38.923795989405541</v>
          </cell>
          <cell r="CA69">
            <v>39.54248642883109</v>
          </cell>
          <cell r="CB69">
            <v>40.250881200683118</v>
          </cell>
          <cell r="CC69">
            <v>40.250881200683118</v>
          </cell>
        </row>
        <row r="70">
          <cell r="F70">
            <v>68</v>
          </cell>
          <cell r="G70">
            <v>110.43047210190386</v>
          </cell>
          <cell r="I70">
            <v>68</v>
          </cell>
          <cell r="J70">
            <v>8256.4738250473602</v>
          </cell>
          <cell r="K70">
            <v>1.33</v>
          </cell>
          <cell r="N70">
            <v>77</v>
          </cell>
          <cell r="O70">
            <v>67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V70">
            <v>67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C70">
            <v>67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AL70">
            <v>67</v>
          </cell>
          <cell r="AM70">
            <v>7133.5498113340191</v>
          </cell>
          <cell r="AN70">
            <v>5706.8398490672153</v>
          </cell>
          <cell r="AO70">
            <v>4280.1298868004114</v>
          </cell>
          <cell r="AP70">
            <v>2853.4199245336076</v>
          </cell>
          <cell r="AQ70">
            <v>1426.7099622668038</v>
          </cell>
          <cell r="AS70">
            <v>67</v>
          </cell>
          <cell r="AT70">
            <v>970.56512602513249</v>
          </cell>
          <cell r="AU70">
            <v>776.45210082010544</v>
          </cell>
          <cell r="AV70">
            <v>582.33907561507976</v>
          </cell>
          <cell r="AW70">
            <v>388.22605041005272</v>
          </cell>
          <cell r="AX70">
            <v>194.11302520502636</v>
          </cell>
          <cell r="AZ70">
            <v>67</v>
          </cell>
          <cell r="BA70">
            <v>35.341567995522851</v>
          </cell>
          <cell r="BB70">
            <v>36.841971442131673</v>
          </cell>
          <cell r="BC70">
            <v>38.768202899262064</v>
          </cell>
          <cell r="BD70">
            <v>41.48973836764344</v>
          </cell>
          <cell r="BE70">
            <v>46.176090215954694</v>
          </cell>
          <cell r="BI70">
            <v>67</v>
          </cell>
          <cell r="BJ70">
            <v>3.066666666666666</v>
          </cell>
          <cell r="BK70">
            <v>3.1279999999999992</v>
          </cell>
          <cell r="BL70">
            <v>3.2506666666666661</v>
          </cell>
          <cell r="BM70">
            <v>3.4959999999999991</v>
          </cell>
          <cell r="BN70">
            <v>4.2933333333333321</v>
          </cell>
          <cell r="BP70">
            <v>67</v>
          </cell>
          <cell r="BQ70">
            <v>128.00586023511804</v>
          </cell>
          <cell r="BR70">
            <v>127.12838978012395</v>
          </cell>
          <cell r="BS70">
            <v>126.19151638854794</v>
          </cell>
          <cell r="BT70">
            <v>125.19410714767859</v>
          </cell>
          <cell r="BU70">
            <v>124.11624751239822</v>
          </cell>
          <cell r="BW70">
            <v>67</v>
          </cell>
          <cell r="BX70">
            <v>38.223420039247138</v>
          </cell>
          <cell r="BY70">
            <v>38.778836653495254</v>
          </cell>
          <cell r="BZ70">
            <v>39.366722334610458</v>
          </cell>
          <cell r="CA70">
            <v>40.008845309680844</v>
          </cell>
          <cell r="CB70">
            <v>40.704888716037352</v>
          </cell>
          <cell r="CC70">
            <v>40.704888716037352</v>
          </cell>
        </row>
        <row r="71">
          <cell r="F71">
            <v>69</v>
          </cell>
          <cell r="G71">
            <v>118.42822291671132</v>
          </cell>
          <cell r="I71">
            <v>69</v>
          </cell>
          <cell r="J71">
            <v>9555.6072874592737</v>
          </cell>
          <cell r="K71">
            <v>1.34</v>
          </cell>
          <cell r="N71">
            <v>78</v>
          </cell>
          <cell r="O71">
            <v>68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V71">
            <v>68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C71">
            <v>68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AL71">
            <v>68</v>
          </cell>
          <cell r="AM71">
            <v>8256.4738250473602</v>
          </cell>
          <cell r="AN71">
            <v>6605.1790600378881</v>
          </cell>
          <cell r="AO71">
            <v>4953.8842950284161</v>
          </cell>
          <cell r="AP71">
            <v>3302.5895300189441</v>
          </cell>
          <cell r="AQ71">
            <v>1651.294765009472</v>
          </cell>
          <cell r="AS71">
            <v>68</v>
          </cell>
          <cell r="AT71">
            <v>1122.9240137133411</v>
          </cell>
          <cell r="AU71">
            <v>898.33921097067287</v>
          </cell>
          <cell r="AV71">
            <v>673.75440822800465</v>
          </cell>
          <cell r="AW71">
            <v>449.16960548533643</v>
          </cell>
          <cell r="AX71">
            <v>224.58480274266822</v>
          </cell>
          <cell r="AZ71">
            <v>68</v>
          </cell>
          <cell r="BA71">
            <v>35.439158851386523</v>
          </cell>
          <cell r="BB71">
            <v>36.947184852926306</v>
          </cell>
          <cell r="BC71">
            <v>38.872587109658596</v>
          </cell>
          <cell r="BD71">
            <v>41.590303905372799</v>
          </cell>
          <cell r="BE71">
            <v>46.272410430048332</v>
          </cell>
          <cell r="BI71">
            <v>68</v>
          </cell>
          <cell r="BJ71">
            <v>3.0999999999999992</v>
          </cell>
          <cell r="BK71">
            <v>3.161999999999999</v>
          </cell>
          <cell r="BL71">
            <v>3.2859999999999991</v>
          </cell>
          <cell r="BM71">
            <v>3.5339999999999989</v>
          </cell>
          <cell r="BN71">
            <v>4.339999999999999</v>
          </cell>
          <cell r="BP71">
            <v>68</v>
          </cell>
          <cell r="BQ71">
            <v>130.11135606394996</v>
          </cell>
          <cell r="BR71">
            <v>129.28753527830008</v>
          </cell>
          <cell r="BS71">
            <v>128.41849022048493</v>
          </cell>
          <cell r="BT71">
            <v>127.45983734027742</v>
          </cell>
          <cell r="BU71">
            <v>126.37501502290067</v>
          </cell>
          <cell r="BW71">
            <v>68</v>
          </cell>
          <cell r="BX71">
            <v>38.690779383138512</v>
          </cell>
          <cell r="BY71">
            <v>39.238919857187803</v>
          </cell>
          <cell r="BZ71">
            <v>39.813229873395798</v>
          </cell>
          <cell r="CA71">
            <v>40.450201830884396</v>
          </cell>
          <cell r="CB71">
            <v>41.159720729358739</v>
          </cell>
          <cell r="CC71">
            <v>41.159720729358739</v>
          </cell>
        </row>
        <row r="72">
          <cell r="F72">
            <v>70</v>
          </cell>
          <cell r="G72">
            <v>127</v>
          </cell>
          <cell r="I72">
            <v>70</v>
          </cell>
          <cell r="J72">
            <v>11058.525000000001</v>
          </cell>
          <cell r="K72">
            <v>1.35</v>
          </cell>
          <cell r="N72">
            <v>79</v>
          </cell>
          <cell r="O72">
            <v>69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V72">
            <v>69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C72">
            <v>69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AL72">
            <v>69</v>
          </cell>
          <cell r="AM72">
            <v>9555.6072874592737</v>
          </cell>
          <cell r="AN72">
            <v>7644.4858299674197</v>
          </cell>
          <cell r="AO72">
            <v>5733.3643724755639</v>
          </cell>
          <cell r="AP72">
            <v>3822.2429149837099</v>
          </cell>
          <cell r="AQ72">
            <v>1911.1214574918549</v>
          </cell>
          <cell r="AS72">
            <v>69</v>
          </cell>
          <cell r="AT72">
            <v>1299.1334624119136</v>
          </cell>
          <cell r="AU72">
            <v>1039.3067699295316</v>
          </cell>
          <cell r="AV72">
            <v>779.48007744714778</v>
          </cell>
          <cell r="AW72">
            <v>519.65338496476579</v>
          </cell>
          <cell r="AX72">
            <v>259.8266924823829</v>
          </cell>
          <cell r="AZ72">
            <v>69</v>
          </cell>
          <cell r="BA72">
            <v>35.536749707250202</v>
          </cell>
          <cell r="BB72">
            <v>37.045197000674086</v>
          </cell>
          <cell r="BC72">
            <v>38.976971320055128</v>
          </cell>
          <cell r="BD72">
            <v>41.690869443102159</v>
          </cell>
          <cell r="BE72">
            <v>46.368730644141969</v>
          </cell>
          <cell r="BI72">
            <v>69</v>
          </cell>
          <cell r="BJ72">
            <v>3.1333333333333324</v>
          </cell>
          <cell r="BK72">
            <v>3.1959999999999993</v>
          </cell>
          <cell r="BL72">
            <v>3.3213333333333326</v>
          </cell>
          <cell r="BM72">
            <v>3.5719999999999987</v>
          </cell>
          <cell r="BN72">
            <v>4.3866666666666649</v>
          </cell>
          <cell r="BP72">
            <v>69</v>
          </cell>
          <cell r="BQ72">
            <v>132.21686522535077</v>
          </cell>
          <cell r="BR72">
            <v>131.37187315551134</v>
          </cell>
          <cell r="BS72">
            <v>130.47467154691921</v>
          </cell>
          <cell r="BT72">
            <v>129.52983824261307</v>
          </cell>
          <cell r="BU72">
            <v>128.52822980669353</v>
          </cell>
          <cell r="BW72">
            <v>69</v>
          </cell>
          <cell r="BX72">
            <v>39.165368824198744</v>
          </cell>
          <cell r="BY72">
            <v>39.690086613900846</v>
          </cell>
          <cell r="BZ72">
            <v>40.27734947532835</v>
          </cell>
          <cell r="CA72">
            <v>40.930671141986089</v>
          </cell>
          <cell r="CB72">
            <v>41.602363103332472</v>
          </cell>
          <cell r="CC72">
            <v>41.602363103332472</v>
          </cell>
        </row>
        <row r="73">
          <cell r="F73">
            <v>71</v>
          </cell>
          <cell r="G73">
            <v>136.18700320464549</v>
          </cell>
          <cell r="I73">
            <v>71</v>
          </cell>
          <cell r="J73">
            <v>12797.106216824561</v>
          </cell>
          <cell r="K73">
            <v>1.36</v>
          </cell>
          <cell r="N73">
            <v>80</v>
          </cell>
          <cell r="O73">
            <v>70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V73">
            <v>70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C73">
            <v>70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AL73">
            <v>70</v>
          </cell>
          <cell r="AM73">
            <v>11058.525000000001</v>
          </cell>
          <cell r="AN73">
            <v>8846.8200000000015</v>
          </cell>
          <cell r="AO73">
            <v>6635.1150000000007</v>
          </cell>
          <cell r="AP73">
            <v>4423.4100000000008</v>
          </cell>
          <cell r="AQ73">
            <v>2211.7050000000004</v>
          </cell>
          <cell r="AS73">
            <v>70</v>
          </cell>
          <cell r="AT73">
            <v>1502.9177125407277</v>
          </cell>
          <cell r="AU73">
            <v>1202.3341700325818</v>
          </cell>
          <cell r="AV73">
            <v>901.75062752443682</v>
          </cell>
          <cell r="AW73">
            <v>601.16708501629091</v>
          </cell>
          <cell r="AX73">
            <v>300.58354250814546</v>
          </cell>
          <cell r="AZ73">
            <v>70</v>
          </cell>
          <cell r="BA73">
            <v>35.634340563113874</v>
          </cell>
          <cell r="BB73">
            <v>37.135950591746003</v>
          </cell>
          <cell r="BC73">
            <v>39.070187171981765</v>
          </cell>
          <cell r="BD73">
            <v>41.791434980831518</v>
          </cell>
          <cell r="BE73">
            <v>46.465050858235607</v>
          </cell>
          <cell r="BI73">
            <v>70</v>
          </cell>
          <cell r="BJ73">
            <v>3.1666666666666656</v>
          </cell>
          <cell r="BK73">
            <v>3.2299999999999991</v>
          </cell>
          <cell r="BL73">
            <v>3.3566666666666656</v>
          </cell>
          <cell r="BM73">
            <v>3.6099999999999985</v>
          </cell>
          <cell r="BN73">
            <v>4.4333333333333318</v>
          </cell>
          <cell r="BP73">
            <v>70</v>
          </cell>
          <cell r="BQ73">
            <v>134.32238585092639</v>
          </cell>
          <cell r="BR73">
            <v>133.48248819741508</v>
          </cell>
          <cell r="BS73">
            <v>132.56461040487298</v>
          </cell>
          <cell r="BT73">
            <v>131.5959653197481</v>
          </cell>
          <cell r="BU73">
            <v>130.57679608675303</v>
          </cell>
          <cell r="BW73">
            <v>70</v>
          </cell>
          <cell r="BX73">
            <v>39.628525141348646</v>
          </cell>
          <cell r="BY73">
            <v>40.167205562734367</v>
          </cell>
          <cell r="BZ73">
            <v>40.760009392249536</v>
          </cell>
          <cell r="CA73">
            <v>41.381700810460785</v>
          </cell>
          <cell r="CB73">
            <v>42.080332137364977</v>
          </cell>
          <cell r="CC73">
            <v>42.080332137364977</v>
          </cell>
        </row>
        <row r="74">
          <cell r="F74">
            <v>72</v>
          </cell>
          <cell r="G74">
            <v>146.03338943962044</v>
          </cell>
          <cell r="I74">
            <v>72</v>
          </cell>
          <cell r="J74">
            <v>14808.205062920617</v>
          </cell>
          <cell r="K74">
            <v>1.37</v>
          </cell>
          <cell r="N74">
            <v>81</v>
          </cell>
          <cell r="O74">
            <v>71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V74">
            <v>71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C74">
            <v>71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AL74">
            <v>71</v>
          </cell>
          <cell r="AM74">
            <v>12797.106216824561</v>
          </cell>
          <cell r="AN74">
            <v>10237.684973459649</v>
          </cell>
          <cell r="AO74">
            <v>7678.2637300947363</v>
          </cell>
          <cell r="AP74">
            <v>5118.8424867298245</v>
          </cell>
          <cell r="AQ74">
            <v>2559.4212433649122</v>
          </cell>
          <cell r="AS74">
            <v>71</v>
          </cell>
          <cell r="AT74">
            <v>1738.5812168245593</v>
          </cell>
          <cell r="AU74">
            <v>1390.8649734596474</v>
          </cell>
          <cell r="AV74">
            <v>1043.1487300947356</v>
          </cell>
          <cell r="AW74">
            <v>695.43248672982372</v>
          </cell>
          <cell r="AX74">
            <v>347.71624336491186</v>
          </cell>
          <cell r="AZ74">
            <v>71</v>
          </cell>
          <cell r="BA74">
            <v>35.731931418977545</v>
          </cell>
          <cell r="BB74">
            <v>37.226704182817912</v>
          </cell>
          <cell r="BC74">
            <v>39.160241683169971</v>
          </cell>
          <cell r="BD74">
            <v>41.892000518560877</v>
          </cell>
          <cell r="BE74">
            <v>46.561371072329244</v>
          </cell>
          <cell r="BI74">
            <v>71</v>
          </cell>
          <cell r="BJ74">
            <v>3.1999999999999988</v>
          </cell>
          <cell r="BK74">
            <v>3.2639999999999989</v>
          </cell>
          <cell r="BL74">
            <v>3.391999999999999</v>
          </cell>
          <cell r="BM74">
            <v>3.6479999999999984</v>
          </cell>
          <cell r="BN74">
            <v>4.4799999999999978</v>
          </cell>
          <cell r="BP74">
            <v>71</v>
          </cell>
          <cell r="BQ74">
            <v>136.42791633259191</v>
          </cell>
          <cell r="BR74">
            <v>135.62040290082996</v>
          </cell>
          <cell r="BS74">
            <v>134.76985377611533</v>
          </cell>
          <cell r="BT74">
            <v>133.82828810970861</v>
          </cell>
          <cell r="BU74">
            <v>132.7790170152997</v>
          </cell>
          <cell r="BW74">
            <v>71</v>
          </cell>
          <cell r="BX74">
            <v>40.107783723382404</v>
          </cell>
          <cell r="BY74">
            <v>40.637125609793571</v>
          </cell>
          <cell r="BZ74">
            <v>41.227183381803457</v>
          </cell>
          <cell r="CA74">
            <v>41.85307774965591</v>
          </cell>
          <cell r="CB74">
            <v>42.536236620449564</v>
          </cell>
          <cell r="CC74">
            <v>42.536236620449564</v>
          </cell>
        </row>
        <row r="75">
          <cell r="F75">
            <v>73</v>
          </cell>
          <cell r="G75">
            <v>156.58648490814926</v>
          </cell>
          <cell r="I75">
            <v>73</v>
          </cell>
          <cell r="J75">
            <v>17134.425155737379</v>
          </cell>
          <cell r="K75">
            <v>1.38</v>
          </cell>
          <cell r="N75">
            <v>82</v>
          </cell>
          <cell r="O75">
            <v>72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V75">
            <v>72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C75">
            <v>72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AL75">
            <v>72</v>
          </cell>
          <cell r="AM75">
            <v>14808.205062920617</v>
          </cell>
          <cell r="AN75">
            <v>11846.564050336494</v>
          </cell>
          <cell r="AO75">
            <v>8884.9230377523691</v>
          </cell>
          <cell r="AP75">
            <v>5923.2820251682469</v>
          </cell>
          <cell r="AQ75">
            <v>2961.6410125841235</v>
          </cell>
          <cell r="AS75">
            <v>72</v>
          </cell>
          <cell r="AT75">
            <v>2011.0988460960561</v>
          </cell>
          <cell r="AU75">
            <v>1608.8790768768449</v>
          </cell>
          <cell r="AV75">
            <v>1206.6593076576328</v>
          </cell>
          <cell r="AW75">
            <v>804.43953843842246</v>
          </cell>
          <cell r="AX75">
            <v>402.21976921921123</v>
          </cell>
          <cell r="AZ75">
            <v>72</v>
          </cell>
          <cell r="BA75">
            <v>35.829522274841217</v>
          </cell>
          <cell r="BB75">
            <v>37.317457773889828</v>
          </cell>
          <cell r="BC75">
            <v>39.250296194358178</v>
          </cell>
          <cell r="BD75">
            <v>41.992566056290244</v>
          </cell>
          <cell r="BE75">
            <v>46.657691286422882</v>
          </cell>
          <cell r="BI75">
            <v>72</v>
          </cell>
          <cell r="BJ75">
            <v>3.2333333333333321</v>
          </cell>
          <cell r="BK75">
            <v>3.2979999999999987</v>
          </cell>
          <cell r="BL75">
            <v>3.427333333333332</v>
          </cell>
          <cell r="BM75">
            <v>3.6859999999999982</v>
          </cell>
          <cell r="BN75">
            <v>4.5266666666666646</v>
          </cell>
          <cell r="BP75">
            <v>72</v>
          </cell>
          <cell r="BQ75">
            <v>138.53345528648683</v>
          </cell>
          <cell r="BR75">
            <v>137.70627422196659</v>
          </cell>
          <cell r="BS75">
            <v>136.8190741194654</v>
          </cell>
          <cell r="BT75">
            <v>135.89542876835631</v>
          </cell>
          <cell r="BU75">
            <v>134.91256595481366</v>
          </cell>
          <cell r="BW75">
            <v>72</v>
          </cell>
          <cell r="BX75">
            <v>40.566814302636963</v>
          </cell>
          <cell r="BY75">
            <v>41.116727813554483</v>
          </cell>
          <cell r="BZ75">
            <v>41.67870926132386</v>
          </cell>
          <cell r="CA75">
            <v>42.304861384799864</v>
          </cell>
          <cell r="CB75">
            <v>43.014746184152813</v>
          </cell>
          <cell r="CC75">
            <v>43.014746184152813</v>
          </cell>
        </row>
        <row r="76">
          <cell r="F76">
            <v>74</v>
          </cell>
          <cell r="G76">
            <v>167.89701257893043</v>
          </cell>
          <cell r="I76">
            <v>74</v>
          </cell>
          <cell r="J76">
            <v>19825.014596370729</v>
          </cell>
          <cell r="K76">
            <v>1.39</v>
          </cell>
          <cell r="N76">
            <v>83</v>
          </cell>
          <cell r="O76">
            <v>73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V76">
            <v>73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C76">
            <v>73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AL76">
            <v>73</v>
          </cell>
          <cell r="AM76">
            <v>17134.425155737379</v>
          </cell>
          <cell r="AN76">
            <v>13707.540124589905</v>
          </cell>
          <cell r="AO76">
            <v>10280.655093442427</v>
          </cell>
          <cell r="AP76">
            <v>6853.7700622949524</v>
          </cell>
          <cell r="AQ76">
            <v>3426.8850311474762</v>
          </cell>
          <cell r="AS76">
            <v>73</v>
          </cell>
          <cell r="AT76">
            <v>2326.2200928167622</v>
          </cell>
          <cell r="AU76">
            <v>1860.9760742534108</v>
          </cell>
          <cell r="AV76">
            <v>1395.7320556900577</v>
          </cell>
          <cell r="AW76">
            <v>930.48803712670542</v>
          </cell>
          <cell r="AX76">
            <v>465.24401856335271</v>
          </cell>
          <cell r="AZ76">
            <v>73</v>
          </cell>
          <cell r="BA76">
            <v>35.927113130704889</v>
          </cell>
          <cell r="BB76">
            <v>37.408211364961737</v>
          </cell>
          <cell r="BC76">
            <v>39.340350705546385</v>
          </cell>
          <cell r="BD76">
            <v>42.080366850119908</v>
          </cell>
          <cell r="BE76">
            <v>46.754011500516519</v>
          </cell>
          <cell r="BI76">
            <v>73</v>
          </cell>
          <cell r="BJ76">
            <v>3.2666666666666653</v>
          </cell>
          <cell r="BK76">
            <v>3.3319999999999985</v>
          </cell>
          <cell r="BL76">
            <v>3.4626666666666654</v>
          </cell>
          <cell r="BM76">
            <v>3.723999999999998</v>
          </cell>
          <cell r="BN76">
            <v>4.5733333333333315</v>
          </cell>
          <cell r="BP76">
            <v>73</v>
          </cell>
          <cell r="BQ76">
            <v>140.63900152187057</v>
          </cell>
          <cell r="BR76">
            <v>139.81183580038677</v>
          </cell>
          <cell r="BS76">
            <v>138.91106706435997</v>
          </cell>
          <cell r="BT76">
            <v>137.96184741964817</v>
          </cell>
          <cell r="BU76">
            <v>136.95030487715928</v>
          </cell>
          <cell r="BW76">
            <v>73</v>
          </cell>
          <cell r="BX76">
            <v>41.050728962151652</v>
          </cell>
          <cell r="BY76">
            <v>41.560938373564056</v>
          </cell>
          <cell r="BZ76">
            <v>42.142929396202454</v>
          </cell>
          <cell r="CA76">
            <v>42.770735222023518</v>
          </cell>
          <cell r="CB76">
            <v>43.461216869621744</v>
          </cell>
          <cell r="CC76">
            <v>43.461216869621744</v>
          </cell>
        </row>
        <row r="77">
          <cell r="F77">
            <v>75</v>
          </cell>
          <cell r="G77">
            <v>180.01933598375612</v>
          </cell>
          <cell r="I77">
            <v>75</v>
          </cell>
          <cell r="J77">
            <v>22936.899999999998</v>
          </cell>
          <cell r="K77">
            <v>1.4</v>
          </cell>
          <cell r="N77">
            <v>84</v>
          </cell>
          <cell r="O77">
            <v>74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V77">
            <v>74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C77">
            <v>74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AL77">
            <v>74</v>
          </cell>
          <cell r="AM77">
            <v>19825.014596370729</v>
          </cell>
          <cell r="AN77">
            <v>15860.011677096583</v>
          </cell>
          <cell r="AO77">
            <v>11895.008757822437</v>
          </cell>
          <cell r="AP77">
            <v>7930.0058385482916</v>
          </cell>
          <cell r="AQ77">
            <v>3965.0029192741458</v>
          </cell>
          <cell r="AS77">
            <v>74</v>
          </cell>
          <cell r="AT77">
            <v>2690.58944063335</v>
          </cell>
          <cell r="AU77">
            <v>2152.4715525066786</v>
          </cell>
          <cell r="AV77">
            <v>1614.3536643800107</v>
          </cell>
          <cell r="AW77">
            <v>1076.2357762533393</v>
          </cell>
          <cell r="AX77">
            <v>538.11788812666964</v>
          </cell>
          <cell r="AZ77">
            <v>74</v>
          </cell>
          <cell r="BA77">
            <v>36.021306837933537</v>
          </cell>
          <cell r="BB77">
            <v>37.498964956033646</v>
          </cell>
          <cell r="BC77">
            <v>39.430405216734592</v>
          </cell>
          <cell r="BD77">
            <v>42.167148737437564</v>
          </cell>
          <cell r="BE77">
            <v>46.850331714610157</v>
          </cell>
          <cell r="BI77">
            <v>74</v>
          </cell>
          <cell r="BJ77">
            <v>3.2999999999999985</v>
          </cell>
          <cell r="BK77">
            <v>3.3659999999999983</v>
          </cell>
          <cell r="BL77">
            <v>3.4979999999999984</v>
          </cell>
          <cell r="BM77">
            <v>3.7619999999999978</v>
          </cell>
          <cell r="BN77">
            <v>4.6199999999999974</v>
          </cell>
          <cell r="BP77">
            <v>74</v>
          </cell>
          <cell r="BQ77">
            <v>142.74455401431342</v>
          </cell>
          <cell r="BR77">
            <v>141.95854268233577</v>
          </cell>
          <cell r="BS77">
            <v>141.12063409703663</v>
          </cell>
          <cell r="BT77">
            <v>140.18479766698579</v>
          </cell>
          <cell r="BU77">
            <v>139.16271061168544</v>
          </cell>
          <cell r="BW77">
            <v>74</v>
          </cell>
          <cell r="BX77">
            <v>41.505708681037625</v>
          </cell>
          <cell r="BY77">
            <v>42.044081480508389</v>
          </cell>
          <cell r="BZ77">
            <v>42.612813526599879</v>
          </cell>
          <cell r="CA77">
            <v>43.245114997782593</v>
          </cell>
          <cell r="CB77">
            <v>43.954310083598529</v>
          </cell>
          <cell r="CC77">
            <v>43.954310083598529</v>
          </cell>
        </row>
        <row r="78">
          <cell r="F78">
            <v>76</v>
          </cell>
          <cell r="G78">
            <v>193.01172051333091</v>
          </cell>
          <cell r="I78">
            <v>76</v>
          </cell>
          <cell r="J78">
            <v>26535.88112606269</v>
          </cell>
          <cell r="K78">
            <v>1.41</v>
          </cell>
          <cell r="N78">
            <v>85</v>
          </cell>
          <cell r="O78">
            <v>75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V78">
            <v>75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C78">
            <v>75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AL78">
            <v>75</v>
          </cell>
          <cell r="AM78">
            <v>22936.899999999998</v>
          </cell>
          <cell r="AN78">
            <v>18349.52</v>
          </cell>
          <cell r="AO78">
            <v>13762.139999999998</v>
          </cell>
          <cell r="AP78">
            <v>9174.76</v>
          </cell>
          <cell r="AQ78">
            <v>4587.38</v>
          </cell>
          <cell r="AS78">
            <v>75</v>
          </cell>
          <cell r="AT78">
            <v>3111.8854036292687</v>
          </cell>
          <cell r="AU78">
            <v>2489.5083229034171</v>
          </cell>
          <cell r="AV78">
            <v>1867.1312421775601</v>
          </cell>
          <cell r="AW78">
            <v>1244.7541614517086</v>
          </cell>
          <cell r="AX78">
            <v>622.37708072585428</v>
          </cell>
          <cell r="AZ78">
            <v>75</v>
          </cell>
          <cell r="BA78">
            <v>36.105477566569242</v>
          </cell>
          <cell r="BB78">
            <v>37.589718547105562</v>
          </cell>
          <cell r="BC78">
            <v>39.520459727922798</v>
          </cell>
          <cell r="BD78">
            <v>42.253930624755228</v>
          </cell>
          <cell r="BE78">
            <v>46.946651928703787</v>
          </cell>
          <cell r="BI78">
            <v>75</v>
          </cell>
          <cell r="BJ78">
            <v>3.3333333333333317</v>
          </cell>
          <cell r="BK78">
            <v>3.3999999999999986</v>
          </cell>
          <cell r="BL78">
            <v>3.5333333333333319</v>
          </cell>
          <cell r="BM78">
            <v>3.7999999999999976</v>
          </cell>
          <cell r="BN78">
            <v>4.6666666666666643</v>
          </cell>
          <cell r="BP78">
            <v>75</v>
          </cell>
          <cell r="BQ78">
            <v>144.85011188259233</v>
          </cell>
          <cell r="BR78">
            <v>144.04377283559913</v>
          </cell>
          <cell r="BS78">
            <v>143.16904869712448</v>
          </cell>
          <cell r="BT78">
            <v>142.25753558451294</v>
          </cell>
          <cell r="BU78">
            <v>141.29248112662486</v>
          </cell>
          <cell r="BW78">
            <v>75</v>
          </cell>
          <cell r="BX78">
            <v>41.993343869731824</v>
          </cell>
          <cell r="BY78">
            <v>42.503546986076806</v>
          </cell>
          <cell r="BZ78">
            <v>43.099163240208767</v>
          </cell>
          <cell r="CA78">
            <v>43.720246163774526</v>
          </cell>
          <cell r="CB78">
            <v>44.424142211876969</v>
          </cell>
          <cell r="CC78">
            <v>44.424142211876969</v>
          </cell>
        </row>
        <row r="79">
          <cell r="F79">
            <v>77</v>
          </cell>
          <cell r="G79">
            <v>206.93661346719625</v>
          </cell>
          <cell r="I79">
            <v>77</v>
          </cell>
          <cell r="J79">
            <v>30698.011006346387</v>
          </cell>
          <cell r="K79">
            <v>1.42</v>
          </cell>
          <cell r="N79">
            <v>86</v>
          </cell>
          <cell r="O79">
            <v>76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V79">
            <v>76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C79">
            <v>76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AL79">
            <v>76</v>
          </cell>
          <cell r="AM79">
            <v>26535.88112606269</v>
          </cell>
          <cell r="AN79">
            <v>21228.704900850153</v>
          </cell>
          <cell r="AO79">
            <v>15921.528675637614</v>
          </cell>
          <cell r="AP79">
            <v>10614.352450425076</v>
          </cell>
          <cell r="AQ79">
            <v>5307.1762252125382</v>
          </cell>
          <cell r="AS79">
            <v>76</v>
          </cell>
          <cell r="AT79">
            <v>3598.9811260626921</v>
          </cell>
          <cell r="AU79">
            <v>2879.1849008501522</v>
          </cell>
          <cell r="AV79">
            <v>2159.388675637616</v>
          </cell>
          <cell r="AW79">
            <v>1439.5924504250761</v>
          </cell>
          <cell r="AX79">
            <v>719.79622521253805</v>
          </cell>
          <cell r="AZ79">
            <v>76</v>
          </cell>
          <cell r="BA79">
            <v>36.189648295204947</v>
          </cell>
          <cell r="BB79">
            <v>37.680472138177471</v>
          </cell>
          <cell r="BC79">
            <v>39.610514239111005</v>
          </cell>
          <cell r="BD79">
            <v>42.340712512072891</v>
          </cell>
          <cell r="BE79">
            <v>47.037096473408994</v>
          </cell>
          <cell r="BI79">
            <v>76</v>
          </cell>
          <cell r="BJ79">
            <v>3.3666666666666649</v>
          </cell>
          <cell r="BK79">
            <v>3.4339999999999984</v>
          </cell>
          <cell r="BL79">
            <v>3.5686666666666649</v>
          </cell>
          <cell r="BM79">
            <v>3.8379999999999979</v>
          </cell>
          <cell r="BN79">
            <v>4.7133333333333303</v>
          </cell>
          <cell r="BP79">
            <v>76</v>
          </cell>
          <cell r="BQ79">
            <v>146.95567436878142</v>
          </cell>
          <cell r="BR79">
            <v>146.1345285871148</v>
          </cell>
          <cell r="BS79">
            <v>145.25314650323406</v>
          </cell>
          <cell r="BT79">
            <v>144.32236845404299</v>
          </cell>
          <cell r="BU79">
            <v>143.33605108914449</v>
          </cell>
          <cell r="BW79">
            <v>76</v>
          </cell>
          <cell r="BX79">
            <v>42.445257628160959</v>
          </cell>
          <cell r="BY79">
            <v>42.990467569098698</v>
          </cell>
          <cell r="BZ79">
            <v>43.55528950171113</v>
          </cell>
          <cell r="CA79">
            <v>44.199643027024372</v>
          </cell>
          <cell r="CB79">
            <v>44.929489637728736</v>
          </cell>
          <cell r="CC79">
            <v>44.929489637728736</v>
          </cell>
        </row>
        <row r="80">
          <cell r="F80">
            <v>78</v>
          </cell>
          <cell r="G80">
            <v>221.86094420380775</v>
          </cell>
          <cell r="I80">
            <v>78</v>
          </cell>
          <cell r="J80">
            <v>35511.190322760085</v>
          </cell>
          <cell r="K80">
            <v>1.43</v>
          </cell>
          <cell r="N80">
            <v>87</v>
          </cell>
          <cell r="O80">
            <v>77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V80">
            <v>77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C80">
            <v>77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AL80">
            <v>77</v>
          </cell>
          <cell r="AM80">
            <v>30698.011006346387</v>
          </cell>
          <cell r="AN80">
            <v>24558.40880507711</v>
          </cell>
          <cell r="AO80">
            <v>18418.806603807832</v>
          </cell>
          <cell r="AP80">
            <v>12279.204402538555</v>
          </cell>
          <cell r="AQ80">
            <v>6139.6022012692774</v>
          </cell>
          <cell r="AS80">
            <v>77</v>
          </cell>
          <cell r="AT80">
            <v>4162.1298802836973</v>
          </cell>
          <cell r="AU80">
            <v>3329.7039042269571</v>
          </cell>
          <cell r="AV80">
            <v>2497.2779281702187</v>
          </cell>
          <cell r="AW80">
            <v>1664.8519521134785</v>
          </cell>
          <cell r="AX80">
            <v>832.42597605673927</v>
          </cell>
          <cell r="AZ80">
            <v>77</v>
          </cell>
          <cell r="BA80">
            <v>36.273819023840659</v>
          </cell>
          <cell r="BB80">
            <v>37.771225729249387</v>
          </cell>
          <cell r="BC80">
            <v>39.700568750299212</v>
          </cell>
          <cell r="BD80">
            <v>42.427494399390554</v>
          </cell>
          <cell r="BE80">
            <v>47.12024662670057</v>
          </cell>
          <cell r="BI80">
            <v>77</v>
          </cell>
          <cell r="BJ80">
            <v>3.3999999999999981</v>
          </cell>
          <cell r="BK80">
            <v>3.4679999999999982</v>
          </cell>
          <cell r="BL80">
            <v>3.6039999999999983</v>
          </cell>
          <cell r="BM80">
            <v>3.8759999999999977</v>
          </cell>
          <cell r="BN80">
            <v>4.7599999999999971</v>
          </cell>
          <cell r="BP80">
            <v>77</v>
          </cell>
          <cell r="BQ80">
            <v>149.05713970651243</v>
          </cell>
          <cell r="BR80">
            <v>148.27357279823164</v>
          </cell>
          <cell r="BS80">
            <v>147.45018844840658</v>
          </cell>
          <cell r="BT80">
            <v>146.55064673623977</v>
          </cell>
          <cell r="BU80">
            <v>145.53468456757108</v>
          </cell>
          <cell r="BW80">
            <v>77</v>
          </cell>
          <cell r="BX80">
            <v>42.928629024654093</v>
          </cell>
          <cell r="BY80">
            <v>43.44674694915556</v>
          </cell>
          <cell r="BZ80">
            <v>44.047735983456604</v>
          </cell>
          <cell r="CA80">
            <v>44.676858376824399</v>
          </cell>
          <cell r="CB80">
            <v>45.371092241532111</v>
          </cell>
          <cell r="CC80">
            <v>45.371092241532111</v>
          </cell>
        </row>
        <row r="81">
          <cell r="F81">
            <v>79</v>
          </cell>
          <cell r="G81">
            <v>237.85644583342264</v>
          </cell>
          <cell r="I81">
            <v>79</v>
          </cell>
          <cell r="J81">
            <v>41077.009235645834</v>
          </cell>
          <cell r="K81">
            <v>1.44</v>
          </cell>
          <cell r="N81">
            <v>88</v>
          </cell>
          <cell r="O81">
            <v>78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V81">
            <v>78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C81">
            <v>78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AL81">
            <v>78</v>
          </cell>
          <cell r="AM81">
            <v>35511.190322760085</v>
          </cell>
          <cell r="AN81">
            <v>28408.952258208068</v>
          </cell>
          <cell r="AO81">
            <v>21306.714193656051</v>
          </cell>
          <cell r="AP81">
            <v>14204.476129104034</v>
          </cell>
          <cell r="AQ81">
            <v>7102.238064552017</v>
          </cell>
          <cell r="AS81">
            <v>78</v>
          </cell>
          <cell r="AT81">
            <v>4813.179316413698</v>
          </cell>
          <cell r="AU81">
            <v>3850.5434531309584</v>
          </cell>
          <cell r="AV81">
            <v>2887.9075898482188</v>
          </cell>
          <cell r="AW81">
            <v>1925.2717265654792</v>
          </cell>
          <cell r="AX81">
            <v>962.63586328273959</v>
          </cell>
          <cell r="AZ81">
            <v>78</v>
          </cell>
          <cell r="BA81">
            <v>36.357989752476364</v>
          </cell>
          <cell r="BB81">
            <v>37.861979320321296</v>
          </cell>
          <cell r="BC81">
            <v>39.790623261487418</v>
          </cell>
          <cell r="BD81">
            <v>42.51427628670821</v>
          </cell>
          <cell r="BE81">
            <v>47.203396779992147</v>
          </cell>
          <cell r="BI81">
            <v>78</v>
          </cell>
          <cell r="BJ81">
            <v>3.4333333333333313</v>
          </cell>
          <cell r="BK81">
            <v>3.501999999999998</v>
          </cell>
          <cell r="BL81">
            <v>3.6393333333333313</v>
          </cell>
          <cell r="BM81">
            <v>3.9139999999999975</v>
          </cell>
          <cell r="BN81">
            <v>4.806666666666664</v>
          </cell>
          <cell r="BP81">
            <v>78</v>
          </cell>
          <cell r="BQ81">
            <v>151.15563986695878</v>
          </cell>
          <cell r="BR81">
            <v>150.36857275778672</v>
          </cell>
          <cell r="BS81">
            <v>149.53271887048692</v>
          </cell>
          <cell r="BT81">
            <v>148.64897064481843</v>
          </cell>
          <cell r="BU81">
            <v>147.71229603325094</v>
          </cell>
          <cell r="BW81">
            <v>78</v>
          </cell>
          <cell r="BX81">
            <v>43.385499964596733</v>
          </cell>
          <cell r="BY81">
            <v>43.930502277742427</v>
          </cell>
          <cell r="BZ81">
            <v>44.508869383463988</v>
          </cell>
          <cell r="CA81">
            <v>45.153317888009887</v>
          </cell>
          <cell r="CB81">
            <v>45.830400612131918</v>
          </cell>
          <cell r="CC81">
            <v>45.830400612131918</v>
          </cell>
        </row>
        <row r="82">
          <cell r="F82">
            <v>80</v>
          </cell>
          <cell r="G82">
            <v>255</v>
          </cell>
          <cell r="I82">
            <v>80</v>
          </cell>
          <cell r="J82">
            <v>47512.875</v>
          </cell>
          <cell r="K82">
            <v>1.45</v>
          </cell>
          <cell r="N82">
            <v>89</v>
          </cell>
          <cell r="O82">
            <v>79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V82">
            <v>79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C82">
            <v>79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AL82">
            <v>79</v>
          </cell>
          <cell r="AM82">
            <v>41077.009235645834</v>
          </cell>
          <cell r="AN82">
            <v>32861.60738851667</v>
          </cell>
          <cell r="AO82">
            <v>24646.205541387499</v>
          </cell>
          <cell r="AP82">
            <v>16430.803694258335</v>
          </cell>
          <cell r="AQ82">
            <v>8215.4018471291674</v>
          </cell>
          <cell r="AS82">
            <v>79</v>
          </cell>
          <cell r="AT82">
            <v>5565.8189128857484</v>
          </cell>
          <cell r="AU82">
            <v>4452.6551303086017</v>
          </cell>
          <cell r="AV82">
            <v>3339.4913477314476</v>
          </cell>
          <cell r="AW82">
            <v>2226.3275651543008</v>
          </cell>
          <cell r="AX82">
            <v>1113.1637825771504</v>
          </cell>
          <cell r="AZ82">
            <v>79</v>
          </cell>
          <cell r="BA82">
            <v>36.442160481112069</v>
          </cell>
          <cell r="BB82">
            <v>37.952732911393213</v>
          </cell>
          <cell r="BC82">
            <v>39.880677772675625</v>
          </cell>
          <cell r="BD82">
            <v>42.601058174025873</v>
          </cell>
          <cell r="BE82">
            <v>47.286546933283724</v>
          </cell>
          <cell r="BI82">
            <v>79</v>
          </cell>
          <cell r="BJ82">
            <v>3.4666666666666646</v>
          </cell>
          <cell r="BK82">
            <v>3.5359999999999978</v>
          </cell>
          <cell r="BL82">
            <v>3.6746666666666647</v>
          </cell>
          <cell r="BM82">
            <v>3.9519999999999973</v>
          </cell>
          <cell r="BN82">
            <v>4.8533333333333299</v>
          </cell>
          <cell r="BP82">
            <v>79</v>
          </cell>
          <cell r="BQ82">
            <v>153.254142755516</v>
          </cell>
          <cell r="BR82">
            <v>152.42090057971816</v>
          </cell>
          <cell r="BS82">
            <v>151.57476523052998</v>
          </cell>
          <cell r="BT82">
            <v>150.68887650130068</v>
          </cell>
          <cell r="BU82">
            <v>149.76122007031191</v>
          </cell>
          <cell r="BW82">
            <v>79</v>
          </cell>
          <cell r="BX82">
            <v>43.864683073228825</v>
          </cell>
          <cell r="BY82">
            <v>44.393651798323852</v>
          </cell>
          <cell r="BZ82">
            <v>45.003918944161271</v>
          </cell>
          <cell r="CA82">
            <v>45.596669566151888</v>
          </cell>
          <cell r="CB82">
            <v>46.284169788056381</v>
          </cell>
          <cell r="CC82">
            <v>46.284169788056381</v>
          </cell>
        </row>
        <row r="83">
          <cell r="F83">
            <v>81</v>
          </cell>
          <cell r="G83">
            <v>273.37400640929098</v>
          </cell>
          <cell r="N83">
            <v>90</v>
          </cell>
          <cell r="O83">
            <v>80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V83">
            <v>80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C83">
            <v>80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AL83">
            <v>80</v>
          </cell>
          <cell r="AM83">
            <v>47512.875</v>
          </cell>
          <cell r="AN83">
            <v>38010.300000000003</v>
          </cell>
          <cell r="AO83">
            <v>28507.724999999999</v>
          </cell>
          <cell r="AP83">
            <v>19005.150000000001</v>
          </cell>
          <cell r="AQ83">
            <v>9502.5750000000007</v>
          </cell>
          <cell r="AS83">
            <v>80</v>
          </cell>
          <cell r="AT83">
            <v>6435.8657643541665</v>
          </cell>
          <cell r="AU83">
            <v>5148.6926114833332</v>
          </cell>
          <cell r="AV83">
            <v>3861.5194586124999</v>
          </cell>
          <cell r="AW83">
            <v>2574.3463057416666</v>
          </cell>
          <cell r="AX83">
            <v>1287.1731528708333</v>
          </cell>
          <cell r="AZ83">
            <v>80</v>
          </cell>
          <cell r="BA83">
            <v>36.526331209747774</v>
          </cell>
          <cell r="BB83">
            <v>38.037513426486328</v>
          </cell>
          <cell r="BC83">
            <v>39.970732283863832</v>
          </cell>
          <cell r="BD83">
            <v>42.687840061343536</v>
          </cell>
          <cell r="BE83">
            <v>47.3696970865753</v>
          </cell>
          <cell r="BI83">
            <v>80</v>
          </cell>
          <cell r="BJ83">
            <v>3.4999999999999978</v>
          </cell>
          <cell r="BK83">
            <v>3.5699999999999976</v>
          </cell>
          <cell r="BL83">
            <v>3.7099999999999977</v>
          </cell>
          <cell r="BM83">
            <v>3.9899999999999971</v>
          </cell>
          <cell r="BN83">
            <v>4.8999999999999968</v>
          </cell>
          <cell r="BP83">
            <v>80</v>
          </cell>
          <cell r="BQ83">
            <v>155.35264798579232</v>
          </cell>
          <cell r="BR83">
            <v>154.14666602127767</v>
          </cell>
          <cell r="BS83">
            <v>153.14946182958477</v>
          </cell>
          <cell r="BT83">
            <v>152.12605579164665</v>
          </cell>
          <cell r="BU83">
            <v>151.0810487166913</v>
          </cell>
          <cell r="BW83">
            <v>80</v>
          </cell>
          <cell r="BX83">
            <v>44.326465623783335</v>
          </cell>
          <cell r="BY83">
            <v>44.878640998911052</v>
          </cell>
          <cell r="BZ83">
            <v>45.435402391663246</v>
          </cell>
          <cell r="CA83">
            <v>46.059542756901394</v>
          </cell>
          <cell r="CB83">
            <v>46.732532092773639</v>
          </cell>
          <cell r="CC83">
            <v>46.732532092773639</v>
          </cell>
        </row>
        <row r="84">
          <cell r="F84">
            <v>82</v>
          </cell>
          <cell r="G84">
            <v>293.06677887924064</v>
          </cell>
          <cell r="N84">
            <v>91</v>
          </cell>
          <cell r="O84">
            <v>81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V84">
            <v>81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C84">
            <v>81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AZ84">
            <v>81</v>
          </cell>
          <cell r="BA84">
            <v>36.610501938383479</v>
          </cell>
          <cell r="BB84">
            <v>38.11580158428373</v>
          </cell>
          <cell r="BC84">
            <v>40.052446592012309</v>
          </cell>
          <cell r="BD84">
            <v>42.774621948661192</v>
          </cell>
          <cell r="BE84">
            <v>47.452847239866877</v>
          </cell>
          <cell r="BI84">
            <v>81</v>
          </cell>
          <cell r="BJ84">
            <v>3.4999999999999978</v>
          </cell>
          <cell r="BK84">
            <v>3.5699999999999976</v>
          </cell>
          <cell r="BL84">
            <v>3.7099999999999977</v>
          </cell>
          <cell r="BM84">
            <v>3.9899999999999971</v>
          </cell>
          <cell r="BN84">
            <v>4.8999999999999968</v>
          </cell>
          <cell r="BW84">
            <v>81</v>
          </cell>
          <cell r="BX84">
            <v>44.801533759886318</v>
          </cell>
          <cell r="BY84">
            <v>45.321339851414862</v>
          </cell>
          <cell r="BZ84">
            <v>45.894311889804285</v>
          </cell>
          <cell r="CA84">
            <v>46.501665826971653</v>
          </cell>
          <cell r="CB84">
            <v>47.191499408717924</v>
          </cell>
          <cell r="CC84">
            <v>47.191499408717924</v>
          </cell>
        </row>
        <row r="85">
          <cell r="F85">
            <v>83</v>
          </cell>
          <cell r="G85">
            <v>314.1729698162988</v>
          </cell>
          <cell r="N85">
            <v>92</v>
          </cell>
          <cell r="O85">
            <v>82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V85">
            <v>82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C85">
            <v>82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AZ85">
            <v>82</v>
          </cell>
          <cell r="BA85">
            <v>36.694672667019191</v>
          </cell>
          <cell r="BB85">
            <v>38.194089742081125</v>
          </cell>
          <cell r="BC85">
            <v>40.130145246845366</v>
          </cell>
          <cell r="BD85">
            <v>42.861403835978855</v>
          </cell>
          <cell r="BE85">
            <v>47.535997393158453</v>
          </cell>
          <cell r="BI85">
            <v>82</v>
          </cell>
          <cell r="BJ85">
            <v>3.4999999999999978</v>
          </cell>
          <cell r="BK85">
            <v>3.5699999999999976</v>
          </cell>
          <cell r="BL85">
            <v>3.7099999999999977</v>
          </cell>
          <cell r="BM85">
            <v>3.9899999999999971</v>
          </cell>
          <cell r="BN85">
            <v>4.8999999999999968</v>
          </cell>
          <cell r="BW85">
            <v>82</v>
          </cell>
          <cell r="BX85">
            <v>45.268177050953859</v>
          </cell>
          <cell r="BY85">
            <v>45.789768933125814</v>
          </cell>
          <cell r="BZ85">
            <v>46.348748235109454</v>
          </cell>
          <cell r="CA85">
            <v>46.985765853689557</v>
          </cell>
          <cell r="CB85">
            <v>47.638352338376762</v>
          </cell>
          <cell r="CC85">
            <v>47.638352338376762</v>
          </cell>
        </row>
        <row r="86">
          <cell r="F86">
            <v>84</v>
          </cell>
          <cell r="G86">
            <v>336.79402515786086</v>
          </cell>
          <cell r="N86">
            <v>93</v>
          </cell>
          <cell r="O86">
            <v>83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V86">
            <v>83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C86">
            <v>83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AZ86">
            <v>83</v>
          </cell>
          <cell r="BA86">
            <v>36.778843395654896</v>
          </cell>
          <cell r="BB86">
            <v>38.272377899878528</v>
          </cell>
          <cell r="BC86">
            <v>40.207843901678423</v>
          </cell>
          <cell r="BD86">
            <v>42.948185723296518</v>
          </cell>
          <cell r="BE86">
            <v>47.619147546450023</v>
          </cell>
          <cell r="BI86">
            <v>83</v>
          </cell>
          <cell r="BJ86">
            <v>3.4999999999999978</v>
          </cell>
          <cell r="BK86">
            <v>3.5699999999999976</v>
          </cell>
          <cell r="BL86">
            <v>3.7099999999999977</v>
          </cell>
          <cell r="BM86">
            <v>3.9899999999999971</v>
          </cell>
          <cell r="BN86">
            <v>4.8999999999999968</v>
          </cell>
          <cell r="BW86">
            <v>83</v>
          </cell>
          <cell r="BX86">
            <v>45.739201449359612</v>
          </cell>
          <cell r="BY86">
            <v>46.261326328729815</v>
          </cell>
          <cell r="BZ86">
            <v>46.836037098586509</v>
          </cell>
          <cell r="CA86">
            <v>47.435350717115057</v>
          </cell>
          <cell r="CB86">
            <v>48.115820139041681</v>
          </cell>
          <cell r="CC86">
            <v>48.115820139041681</v>
          </cell>
        </row>
        <row r="87">
          <cell r="F87">
            <v>85</v>
          </cell>
          <cell r="G87">
            <v>361.0386719675123</v>
          </cell>
          <cell r="N87">
            <v>94</v>
          </cell>
          <cell r="O87">
            <v>84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V87">
            <v>84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C87">
            <v>84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AZ87">
            <v>84</v>
          </cell>
          <cell r="BA87">
            <v>36.863014124290601</v>
          </cell>
          <cell r="BB87">
            <v>38.35066605767593</v>
          </cell>
          <cell r="BC87">
            <v>40.28554255651148</v>
          </cell>
          <cell r="BD87">
            <v>43.030177309109042</v>
          </cell>
          <cell r="BE87">
            <v>47.7022976997416</v>
          </cell>
          <cell r="BI87">
            <v>84</v>
          </cell>
          <cell r="BJ87">
            <v>3.4999999999999978</v>
          </cell>
          <cell r="BK87">
            <v>3.5699999999999976</v>
          </cell>
          <cell r="BL87">
            <v>3.7099999999999977</v>
          </cell>
          <cell r="BM87">
            <v>3.9899999999999971</v>
          </cell>
          <cell r="BN87">
            <v>4.8999999999999968</v>
          </cell>
          <cell r="BW87">
            <v>84</v>
          </cell>
          <cell r="BX87">
            <v>46.210650393413601</v>
          </cell>
          <cell r="BY87">
            <v>46.736179569673936</v>
          </cell>
          <cell r="BZ87">
            <v>47.294068993376605</v>
          </cell>
          <cell r="CA87">
            <v>47.909233956913006</v>
          </cell>
          <cell r="CB87">
            <v>48.579255981153665</v>
          </cell>
          <cell r="CC87">
            <v>48.579255981153665</v>
          </cell>
        </row>
        <row r="88">
          <cell r="F88">
            <v>86</v>
          </cell>
          <cell r="G88">
            <v>387.02344102666189</v>
          </cell>
          <cell r="N88">
            <v>95</v>
          </cell>
          <cell r="O88">
            <v>85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V88">
            <v>85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C88">
            <v>85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AZ88">
            <v>85</v>
          </cell>
          <cell r="BA88">
            <v>36.947184852926306</v>
          </cell>
          <cell r="BB88">
            <v>38.428954215473325</v>
          </cell>
          <cell r="BC88">
            <v>40.363241211344537</v>
          </cell>
          <cell r="BD88">
            <v>43.105070725978337</v>
          </cell>
          <cell r="BE88">
            <v>47.785447853033176</v>
          </cell>
          <cell r="BI88">
            <v>85</v>
          </cell>
          <cell r="BJ88">
            <v>3.4999999999999978</v>
          </cell>
          <cell r="BK88">
            <v>3.5699999999999976</v>
          </cell>
          <cell r="BL88">
            <v>3.7099999999999977</v>
          </cell>
          <cell r="BM88">
            <v>3.9899999999999971</v>
          </cell>
          <cell r="BN88">
            <v>4.8999999999999968</v>
          </cell>
          <cell r="BW88">
            <v>85</v>
          </cell>
          <cell r="BX88">
            <v>46.67770030767965</v>
          </cell>
          <cell r="BY88">
            <v>47.197592678461184</v>
          </cell>
          <cell r="BZ88">
            <v>47.755472167192657</v>
          </cell>
          <cell r="CA88">
            <v>48.373763930639598</v>
          </cell>
          <cell r="CB88">
            <v>49.063491154445543</v>
          </cell>
          <cell r="CC88">
            <v>49.063491154445543</v>
          </cell>
        </row>
        <row r="89">
          <cell r="F89">
            <v>87</v>
          </cell>
          <cell r="G89">
            <v>414.87322693439216</v>
          </cell>
          <cell r="N89">
            <v>96</v>
          </cell>
          <cell r="O89">
            <v>86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V89">
            <v>86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C89">
            <v>86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AZ89">
            <v>86</v>
          </cell>
          <cell r="BA89">
            <v>37.027046282459708</v>
          </cell>
          <cell r="BB89">
            <v>38.507242373270728</v>
          </cell>
          <cell r="BC89">
            <v>40.440939866177594</v>
          </cell>
          <cell r="BD89">
            <v>43.179964142847631</v>
          </cell>
          <cell r="BE89">
            <v>47.868598006324753</v>
          </cell>
          <cell r="BI89">
            <v>86</v>
          </cell>
          <cell r="BJ89">
            <v>3.4999999999999978</v>
          </cell>
          <cell r="BK89">
            <v>3.5699999999999976</v>
          </cell>
          <cell r="BL89">
            <v>3.7099999999999977</v>
          </cell>
          <cell r="BM89">
            <v>3.9899999999999971</v>
          </cell>
          <cell r="BN89">
            <v>4.8999999999999968</v>
          </cell>
          <cell r="BW89">
            <v>86</v>
          </cell>
          <cell r="BX89">
            <v>47.153896513009251</v>
          </cell>
          <cell r="BY89">
            <v>47.660748183577851</v>
          </cell>
          <cell r="BZ89">
            <v>48.227116435634038</v>
          </cell>
          <cell r="CA89">
            <v>48.869826703325636</v>
          </cell>
          <cell r="CB89">
            <v>49.460909841064307</v>
          </cell>
          <cell r="CC89">
            <v>49.460909841064307</v>
          </cell>
        </row>
        <row r="90">
          <cell r="F90">
            <v>88</v>
          </cell>
          <cell r="G90">
            <v>444.72188840761549</v>
          </cell>
          <cell r="N90">
            <v>97</v>
          </cell>
          <cell r="O90">
            <v>87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V90">
            <v>87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C90">
            <v>87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AZ90">
            <v>87</v>
          </cell>
          <cell r="BA90">
            <v>37.099649155317238</v>
          </cell>
          <cell r="BB90">
            <v>38.58553053106813</v>
          </cell>
          <cell r="BC90">
            <v>40.518638521010651</v>
          </cell>
          <cell r="BD90">
            <v>43.254857559716925</v>
          </cell>
          <cell r="BE90">
            <v>47.951748159616329</v>
          </cell>
          <cell r="BI90">
            <v>87</v>
          </cell>
          <cell r="BJ90">
            <v>3.4999999999999978</v>
          </cell>
          <cell r="BK90">
            <v>3.5699999999999976</v>
          </cell>
          <cell r="BL90">
            <v>3.7099999999999977</v>
          </cell>
          <cell r="BM90">
            <v>3.9899999999999971</v>
          </cell>
          <cell r="BN90">
            <v>4.8999999999999968</v>
          </cell>
          <cell r="BW90">
            <v>87</v>
          </cell>
          <cell r="BX90">
            <v>47.617039306482319</v>
          </cell>
          <cell r="BY90">
            <v>48.142913866891206</v>
          </cell>
          <cell r="BZ90">
            <v>48.709766300257584</v>
          </cell>
          <cell r="CA90">
            <v>49.296256903639559</v>
          </cell>
          <cell r="CB90">
            <v>49.882526243554615</v>
          </cell>
          <cell r="CC90">
            <v>49.882526243554615</v>
          </cell>
        </row>
        <row r="91">
          <cell r="F91">
            <v>89</v>
          </cell>
          <cell r="G91">
            <v>476.71289166684534</v>
          </cell>
          <cell r="N91">
            <v>98</v>
          </cell>
          <cell r="O91">
            <v>88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V91">
            <v>88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C91">
            <v>88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AZ91">
            <v>88</v>
          </cell>
          <cell r="BA91">
            <v>37.172252028174768</v>
          </cell>
          <cell r="BB91">
            <v>38.663818688865533</v>
          </cell>
          <cell r="BC91">
            <v>40.596337175843701</v>
          </cell>
          <cell r="BD91">
            <v>43.329750976586219</v>
          </cell>
          <cell r="BE91">
            <v>48.030128751164234</v>
          </cell>
          <cell r="BI91">
            <v>88</v>
          </cell>
          <cell r="BJ91">
            <v>3.4999999999999978</v>
          </cell>
          <cell r="BK91">
            <v>3.5699999999999976</v>
          </cell>
          <cell r="BL91">
            <v>3.7099999999999977</v>
          </cell>
          <cell r="BM91">
            <v>3.9899999999999971</v>
          </cell>
          <cell r="BN91">
            <v>4.8999999999999968</v>
          </cell>
          <cell r="BW91">
            <v>88</v>
          </cell>
          <cell r="BX91">
            <v>48.097921847068633</v>
          </cell>
          <cell r="BY91">
            <v>48.618296173791954</v>
          </cell>
          <cell r="BZ91">
            <v>49.173016331799893</v>
          </cell>
          <cell r="CA91">
            <v>49.712343474857072</v>
          </cell>
          <cell r="CB91">
            <v>50.296637451558702</v>
          </cell>
          <cell r="CC91">
            <v>50.296637451558702</v>
          </cell>
        </row>
        <row r="92">
          <cell r="F92">
            <v>90</v>
          </cell>
          <cell r="G92">
            <v>511</v>
          </cell>
          <cell r="N92">
            <v>99</v>
          </cell>
          <cell r="O92">
            <v>89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V92">
            <v>89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C92">
            <v>89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AZ92">
            <v>89</v>
          </cell>
          <cell r="BA92">
            <v>37.244854901032298</v>
          </cell>
          <cell r="BB92">
            <v>38.742106846662928</v>
          </cell>
          <cell r="BC92">
            <v>40.674035830676758</v>
          </cell>
          <cell r="BD92">
            <v>43.404644393455513</v>
          </cell>
          <cell r="BE92">
            <v>48.101914750802706</v>
          </cell>
          <cell r="BI92">
            <v>89</v>
          </cell>
          <cell r="BJ92">
            <v>3.4999999999999978</v>
          </cell>
          <cell r="BK92">
            <v>3.5699999999999976</v>
          </cell>
          <cell r="BL92">
            <v>3.7099999999999977</v>
          </cell>
          <cell r="BM92">
            <v>3.9899999999999971</v>
          </cell>
          <cell r="BN92">
            <v>4.8999999999999968</v>
          </cell>
          <cell r="BW92">
            <v>89</v>
          </cell>
          <cell r="BX92">
            <v>48.557223076748912</v>
          </cell>
          <cell r="BY92">
            <v>49.088974957750068</v>
          </cell>
          <cell r="BZ92">
            <v>49.579936789633926</v>
          </cell>
          <cell r="CA92">
            <v>50.13435118838489</v>
          </cell>
          <cell r="CB92">
            <v>50.6943349274338</v>
          </cell>
          <cell r="CC92">
            <v>50.6943349274338</v>
          </cell>
        </row>
        <row r="93">
          <cell r="F93">
            <v>91</v>
          </cell>
          <cell r="G93">
            <v>547.74801281858208</v>
          </cell>
          <cell r="N93">
            <v>100</v>
          </cell>
          <cell r="O93">
            <v>90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V93">
            <v>90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C93">
            <v>90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AZ93">
            <v>90</v>
          </cell>
          <cell r="BA93">
            <v>37.317457773889828</v>
          </cell>
          <cell r="BB93">
            <v>38.82039500446033</v>
          </cell>
          <cell r="BC93">
            <v>40.751734485509814</v>
          </cell>
          <cell r="BD93">
            <v>43.479537810324807</v>
          </cell>
          <cell r="BE93">
            <v>48.173700750441178</v>
          </cell>
          <cell r="BI93">
            <v>90</v>
          </cell>
          <cell r="BJ93">
            <v>3.4999999999999978</v>
          </cell>
          <cell r="BK93">
            <v>3.5699999999999976</v>
          </cell>
          <cell r="BL93">
            <v>3.7099999999999977</v>
          </cell>
          <cell r="BM93">
            <v>3.9899999999999971</v>
          </cell>
          <cell r="BN93">
            <v>4.8999999999999968</v>
          </cell>
          <cell r="BW93">
            <v>90</v>
          </cell>
          <cell r="BX93">
            <v>49.042729140195462</v>
          </cell>
          <cell r="BY93">
            <v>49.497214321439728</v>
          </cell>
          <cell r="BZ93">
            <v>50.021192353066951</v>
          </cell>
          <cell r="CA93">
            <v>50.524371596694976</v>
          </cell>
          <cell r="CB93">
            <v>51.099355476740961</v>
          </cell>
          <cell r="CC93">
            <v>51.099355476740961</v>
          </cell>
        </row>
        <row r="94">
          <cell r="F94">
            <v>92</v>
          </cell>
          <cell r="G94">
            <v>587.1335577584814</v>
          </cell>
          <cell r="N94">
            <v>101</v>
          </cell>
          <cell r="O94">
            <v>91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V94">
            <v>91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C94">
            <v>91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AZ94">
            <v>91</v>
          </cell>
          <cell r="BA94">
            <v>37.390060646747358</v>
          </cell>
          <cell r="BB94">
            <v>38.898683162257733</v>
          </cell>
          <cell r="BC94">
            <v>40.829433140342871</v>
          </cell>
          <cell r="BD94">
            <v>43.554431227194108</v>
          </cell>
          <cell r="BE94">
            <v>48.24548675007965</v>
          </cell>
          <cell r="BI94">
            <v>91</v>
          </cell>
          <cell r="BJ94">
            <v>3.4999999999999978</v>
          </cell>
          <cell r="BK94">
            <v>3.5699999999999976</v>
          </cell>
          <cell r="BL94">
            <v>3.7099999999999977</v>
          </cell>
          <cell r="BM94">
            <v>3.9899999999999971</v>
          </cell>
          <cell r="BN94">
            <v>4.8999999999999968</v>
          </cell>
          <cell r="BW94">
            <v>91</v>
          </cell>
          <cell r="BX94">
            <v>49.498252634231747</v>
          </cell>
          <cell r="BY94">
            <v>49.985421626173121</v>
          </cell>
          <cell r="BZ94">
            <v>50.454959541611018</v>
          </cell>
          <cell r="CA94">
            <v>50.998721372753316</v>
          </cell>
          <cell r="CB94">
            <v>51.534250551986972</v>
          </cell>
          <cell r="CC94">
            <v>51.534250551986972</v>
          </cell>
        </row>
        <row r="95">
          <cell r="F95">
            <v>93</v>
          </cell>
          <cell r="G95">
            <v>629.34593963259704</v>
          </cell>
          <cell r="N95">
            <v>102</v>
          </cell>
          <cell r="O95">
            <v>92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V95">
            <v>92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C95">
            <v>92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AZ95">
            <v>92</v>
          </cell>
          <cell r="BA95">
            <v>37.462663519604888</v>
          </cell>
          <cell r="BB95">
            <v>38.976971320055128</v>
          </cell>
          <cell r="BC95">
            <v>40.907131795175928</v>
          </cell>
          <cell r="BD95">
            <v>43.629324644063402</v>
          </cell>
          <cell r="BE95">
            <v>48.317272749718121</v>
          </cell>
          <cell r="BI95">
            <v>92</v>
          </cell>
          <cell r="BJ95">
            <v>3.4999999999999978</v>
          </cell>
          <cell r="BK95">
            <v>3.5699999999999976</v>
          </cell>
          <cell r="BL95">
            <v>3.7099999999999977</v>
          </cell>
          <cell r="BM95">
            <v>3.9899999999999971</v>
          </cell>
          <cell r="BN95">
            <v>4.8999999999999968</v>
          </cell>
          <cell r="BW95">
            <v>92</v>
          </cell>
          <cell r="BX95">
            <v>49.986470626701646</v>
          </cell>
          <cell r="BY95">
            <v>50.424285339835969</v>
          </cell>
          <cell r="BZ95">
            <v>50.930950009437595</v>
          </cell>
          <cell r="CA95">
            <v>51.436896660010483</v>
          </cell>
          <cell r="CB95">
            <v>51.984969997617021</v>
          </cell>
          <cell r="CC95">
            <v>51.984969997617021</v>
          </cell>
        </row>
        <row r="96">
          <cell r="F96">
            <v>94</v>
          </cell>
          <cell r="G96">
            <v>674.58805031572183</v>
          </cell>
          <cell r="N96">
            <v>103</v>
          </cell>
          <cell r="O96">
            <v>93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V96">
            <v>93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C96">
            <v>93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AZ96">
            <v>93</v>
          </cell>
          <cell r="BA96">
            <v>37.535266392462418</v>
          </cell>
          <cell r="BB96">
            <v>39.047673544184711</v>
          </cell>
          <cell r="BC96">
            <v>40.984830450008985</v>
          </cell>
          <cell r="BD96">
            <v>43.704218060932696</v>
          </cell>
          <cell r="BE96">
            <v>48.389058749356593</v>
          </cell>
          <cell r="BI96">
            <v>93</v>
          </cell>
          <cell r="BJ96">
            <v>3.4999999999999978</v>
          </cell>
          <cell r="BK96">
            <v>3.5699999999999976</v>
          </cell>
          <cell r="BL96">
            <v>3.7099999999999977</v>
          </cell>
          <cell r="BM96">
            <v>3.9899999999999971</v>
          </cell>
          <cell r="BN96">
            <v>4.8999999999999968</v>
          </cell>
          <cell r="BW96">
            <v>93</v>
          </cell>
          <cell r="BX96">
            <v>50.440125995524625</v>
          </cell>
          <cell r="BY96">
            <v>50.90659544186844</v>
          </cell>
          <cell r="BZ96">
            <v>51.380310631705122</v>
          </cell>
          <cell r="CA96">
            <v>51.897988787201882</v>
          </cell>
          <cell r="CB96">
            <v>52.414208810757216</v>
          </cell>
          <cell r="CC96">
            <v>52.414208810757216</v>
          </cell>
        </row>
        <row r="97">
          <cell r="F97">
            <v>95</v>
          </cell>
          <cell r="G97">
            <v>723.0773439350246</v>
          </cell>
          <cell r="N97">
            <v>104</v>
          </cell>
          <cell r="O97">
            <v>94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V97">
            <v>94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C97">
            <v>94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AZ97">
            <v>94</v>
          </cell>
          <cell r="BA97">
            <v>37.607869265319941</v>
          </cell>
          <cell r="BB97">
            <v>39.115214427575864</v>
          </cell>
          <cell r="BC97">
            <v>41.053954370816207</v>
          </cell>
          <cell r="BD97">
            <v>43.77911147780199</v>
          </cell>
          <cell r="BE97">
            <v>48.460844748995065</v>
          </cell>
          <cell r="BI97">
            <v>94</v>
          </cell>
          <cell r="BJ97">
            <v>3.4999999999999978</v>
          </cell>
          <cell r="BK97">
            <v>3.5699999999999976</v>
          </cell>
          <cell r="BL97">
            <v>3.7099999999999977</v>
          </cell>
          <cell r="BM97">
            <v>3.9899999999999971</v>
          </cell>
          <cell r="BN97">
            <v>4.8999999999999968</v>
          </cell>
          <cell r="BW97">
            <v>94</v>
          </cell>
          <cell r="BX97">
            <v>50.924361744560407</v>
          </cell>
          <cell r="BY97">
            <v>51.357869409358393</v>
          </cell>
          <cell r="BZ97">
            <v>51.84807662595162</v>
          </cell>
          <cell r="CA97">
            <v>52.334530106928973</v>
          </cell>
          <cell r="CB97">
            <v>52.864865346365669</v>
          </cell>
          <cell r="CC97">
            <v>52.864865346365669</v>
          </cell>
        </row>
        <row r="98">
          <cell r="F98">
            <v>96</v>
          </cell>
          <cell r="G98">
            <v>775.04688205332377</v>
          </cell>
          <cell r="N98">
            <v>105</v>
          </cell>
          <cell r="O98">
            <v>95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V98">
            <v>95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C98">
            <v>95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AZ98">
            <v>95</v>
          </cell>
          <cell r="BA98">
            <v>37.680472138177471</v>
          </cell>
          <cell r="BB98">
            <v>39.182755310967018</v>
          </cell>
          <cell r="BC98">
            <v>41.120998062635785</v>
          </cell>
          <cell r="BD98">
            <v>43.854004894671284</v>
          </cell>
          <cell r="BE98">
            <v>48.532630748633537</v>
          </cell>
          <cell r="BI98">
            <v>95</v>
          </cell>
          <cell r="BJ98">
            <v>3.4999999999999978</v>
          </cell>
          <cell r="BK98">
            <v>3.5699999999999976</v>
          </cell>
          <cell r="BL98">
            <v>3.7099999999999977</v>
          </cell>
          <cell r="BM98">
            <v>3.9899999999999971</v>
          </cell>
          <cell r="BN98">
            <v>4.8999999999999968</v>
          </cell>
          <cell r="BW98">
            <v>95</v>
          </cell>
          <cell r="BX98">
            <v>51.382838700936844</v>
          </cell>
          <cell r="BY98">
            <v>51.841452913721341</v>
          </cell>
          <cell r="BZ98">
            <v>52.293273390033363</v>
          </cell>
          <cell r="CA98">
            <v>52.787185373346801</v>
          </cell>
          <cell r="CB98">
            <v>53.338289705589766</v>
          </cell>
          <cell r="CC98">
            <v>53.338289705589766</v>
          </cell>
        </row>
        <row r="99">
          <cell r="F99">
            <v>97</v>
          </cell>
          <cell r="G99">
            <v>830.74645386878444</v>
          </cell>
          <cell r="N99">
            <v>106</v>
          </cell>
          <cell r="O99">
            <v>96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V99">
            <v>96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C99">
            <v>96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AZ99">
            <v>96</v>
          </cell>
          <cell r="BA99">
            <v>37.753075011035001</v>
          </cell>
          <cell r="BB99">
            <v>39.250296194358178</v>
          </cell>
          <cell r="BC99">
            <v>41.188041754455355</v>
          </cell>
          <cell r="BD99">
            <v>43.928898311540578</v>
          </cell>
          <cell r="BE99">
            <v>48.604416748272008</v>
          </cell>
          <cell r="BI99">
            <v>96</v>
          </cell>
          <cell r="BJ99">
            <v>3.4999999999999978</v>
          </cell>
          <cell r="BK99">
            <v>3.5699999999999976</v>
          </cell>
          <cell r="BL99">
            <v>3.7099999999999977</v>
          </cell>
          <cell r="BM99">
            <v>3.9899999999999971</v>
          </cell>
          <cell r="BN99">
            <v>4.8999999999999968</v>
          </cell>
          <cell r="BW99">
            <v>96</v>
          </cell>
          <cell r="BX99">
            <v>51.863157135581275</v>
          </cell>
          <cell r="BY99">
            <v>52.290870529884771</v>
          </cell>
          <cell r="BZ99">
            <v>52.745792648501016</v>
          </cell>
          <cell r="CA99">
            <v>53.252362918407712</v>
          </cell>
          <cell r="CB99">
            <v>53.821316321108398</v>
          </cell>
          <cell r="CC99">
            <v>53.821316321108398</v>
          </cell>
        </row>
        <row r="100">
          <cell r="F100">
            <v>98</v>
          </cell>
          <cell r="G100">
            <v>890.4437768152311</v>
          </cell>
          <cell r="N100">
            <v>107</v>
          </cell>
          <cell r="O100">
            <v>97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V100">
            <v>97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C100">
            <v>97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AZ100">
            <v>97</v>
          </cell>
          <cell r="BA100">
            <v>37.825677883892531</v>
          </cell>
          <cell r="BB100">
            <v>39.317837077749331</v>
          </cell>
          <cell r="BC100">
            <v>41.255085446274933</v>
          </cell>
          <cell r="BD100">
            <v>44.003272544984547</v>
          </cell>
          <cell r="BE100">
            <v>48.67620274791048</v>
          </cell>
          <cell r="BI100">
            <v>97</v>
          </cell>
          <cell r="BJ100">
            <v>3.4999999999999978</v>
          </cell>
          <cell r="BK100">
            <v>3.5699999999999976</v>
          </cell>
          <cell r="BL100">
            <v>3.7099999999999977</v>
          </cell>
          <cell r="BM100">
            <v>3.9899999999999971</v>
          </cell>
          <cell r="BN100">
            <v>4.8999999999999968</v>
          </cell>
          <cell r="BW100">
            <v>97</v>
          </cell>
          <cell r="BX100">
            <v>52.326384257945534</v>
          </cell>
          <cell r="BY100">
            <v>52.756535794428025</v>
          </cell>
          <cell r="BZ100">
            <v>53.232327712261743</v>
          </cell>
          <cell r="CA100">
            <v>53.753890418265996</v>
          </cell>
          <cell r="CB100">
            <v>54.335165952675545</v>
          </cell>
          <cell r="CC100">
            <v>54.335165952675545</v>
          </cell>
        </row>
        <row r="101">
          <cell r="F101">
            <v>99</v>
          </cell>
          <cell r="G101">
            <v>954.42578333369079</v>
          </cell>
          <cell r="N101">
            <v>108</v>
          </cell>
          <cell r="O101">
            <v>98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V101">
            <v>98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C101">
            <v>98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AZ101">
            <v>98</v>
          </cell>
          <cell r="BA101">
            <v>37.898280756750061</v>
          </cell>
          <cell r="BB101">
            <v>39.385377961140485</v>
          </cell>
          <cell r="BC101">
            <v>41.322129138094503</v>
          </cell>
          <cell r="BD101">
            <v>44.067911160744309</v>
          </cell>
          <cell r="BE101">
            <v>48.747988747548945</v>
          </cell>
          <cell r="BI101">
            <v>98</v>
          </cell>
          <cell r="BJ101">
            <v>3.4999999999999978</v>
          </cell>
          <cell r="BK101">
            <v>3.5699999999999976</v>
          </cell>
          <cell r="BL101">
            <v>3.7099999999999977</v>
          </cell>
          <cell r="BM101">
            <v>3.9899999999999971</v>
          </cell>
          <cell r="BN101">
            <v>4.8999999999999968</v>
          </cell>
          <cell r="BW101">
            <v>98</v>
          </cell>
          <cell r="BX101">
            <v>52.802848669690398</v>
          </cell>
          <cell r="BY101">
            <v>53.243263351667181</v>
          </cell>
          <cell r="BZ101">
            <v>53.734023573310566</v>
          </cell>
          <cell r="CA101">
            <v>54.265483052665907</v>
          </cell>
          <cell r="CB101">
            <v>54.855218110725374</v>
          </cell>
          <cell r="CC101">
            <v>54.855218110725374</v>
          </cell>
        </row>
        <row r="102">
          <cell r="F102">
            <v>100</v>
          </cell>
          <cell r="G102">
            <v>1023</v>
          </cell>
          <cell r="N102">
            <v>109</v>
          </cell>
          <cell r="O102">
            <v>99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V102">
            <v>99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C102">
            <v>99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AZ102">
            <v>99</v>
          </cell>
          <cell r="BA102">
            <v>37.970883629607592</v>
          </cell>
          <cell r="BB102">
            <v>39.452918844531645</v>
          </cell>
          <cell r="BC102">
            <v>41.389172829914081</v>
          </cell>
          <cell r="BD102">
            <v>44.132549776504064</v>
          </cell>
          <cell r="BE102">
            <v>48.819774747187417</v>
          </cell>
          <cell r="BI102">
            <v>99</v>
          </cell>
          <cell r="BJ102">
            <v>3.4999999999999978</v>
          </cell>
          <cell r="BK102">
            <v>3.5699999999999976</v>
          </cell>
          <cell r="BL102">
            <v>3.7099999999999977</v>
          </cell>
          <cell r="BM102">
            <v>3.9899999999999971</v>
          </cell>
          <cell r="BN102">
            <v>4.8999999999999968</v>
          </cell>
          <cell r="BW102">
            <v>99</v>
          </cell>
          <cell r="BX102">
            <v>53.27075451697057</v>
          </cell>
          <cell r="BY102">
            <v>53.72715308914038</v>
          </cell>
          <cell r="BZ102">
            <v>54.223397539416098</v>
          </cell>
          <cell r="CA102">
            <v>54.763650287732681</v>
          </cell>
          <cell r="CB102">
            <v>55.30747709307812</v>
          </cell>
          <cell r="CC102">
            <v>55.30747709307812</v>
          </cell>
        </row>
        <row r="103">
          <cell r="F103">
            <v>101</v>
          </cell>
          <cell r="G103">
            <v>1096.4960256371633</v>
          </cell>
          <cell r="N103">
            <v>110</v>
          </cell>
          <cell r="O103">
            <v>100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V103">
            <v>100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C103">
            <v>100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AZ103">
            <v>100</v>
          </cell>
          <cell r="BA103">
            <v>38.037513426486328</v>
          </cell>
          <cell r="BB103">
            <v>39.520459727922798</v>
          </cell>
          <cell r="BC103">
            <v>41.456216521733651</v>
          </cell>
          <cell r="BD103">
            <v>44.197188392263818</v>
          </cell>
          <cell r="BE103">
            <v>48.891560746825888</v>
          </cell>
          <cell r="BI103">
            <v>100</v>
          </cell>
          <cell r="BJ103">
            <v>3.4999999999999978</v>
          </cell>
          <cell r="BK103">
            <v>3.5699999999999976</v>
          </cell>
          <cell r="BL103">
            <v>3.7099999999999977</v>
          </cell>
          <cell r="BM103">
            <v>3.9899999999999971</v>
          </cell>
          <cell r="BN103">
            <v>4.8999999999999968</v>
          </cell>
          <cell r="BW103">
            <v>100</v>
          </cell>
          <cell r="BX103">
            <v>53.743426622219623</v>
          </cell>
          <cell r="BY103">
            <v>54.202428306858415</v>
          </cell>
          <cell r="BZ103">
            <v>54.700042099102475</v>
          </cell>
          <cell r="CA103">
            <v>55.217844456964613</v>
          </cell>
          <cell r="CB103">
            <v>55.74912762806774</v>
          </cell>
          <cell r="CC103">
            <v>55.74912762806774</v>
          </cell>
        </row>
        <row r="104">
          <cell r="F104">
            <v>102</v>
          </cell>
          <cell r="G104">
            <v>1175.2671155169628</v>
          </cell>
          <cell r="N104">
            <v>111</v>
          </cell>
          <cell r="O104">
            <v>101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V104">
            <v>101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C104">
            <v>101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AZ104">
            <v>101</v>
          </cell>
          <cell r="BA104">
            <v>38.100143952724252</v>
          </cell>
          <cell r="BB104">
            <v>39.588000611313952</v>
          </cell>
          <cell r="BC104">
            <v>41.523260213553229</v>
          </cell>
          <cell r="BD104">
            <v>44.261827008023573</v>
          </cell>
          <cell r="BE104">
            <v>48.96334674646436</v>
          </cell>
          <cell r="BI104">
            <v>101</v>
          </cell>
          <cell r="BJ104">
            <v>3.4999999999999978</v>
          </cell>
          <cell r="BK104">
            <v>3.5699999999999976</v>
          </cell>
          <cell r="BL104">
            <v>3.7099999999999977</v>
          </cell>
          <cell r="BM104">
            <v>3.9899999999999971</v>
          </cell>
          <cell r="BN104">
            <v>4.8999999999999968</v>
          </cell>
          <cell r="BW104">
            <v>101</v>
          </cell>
          <cell r="BX104">
            <v>54.215939989486415</v>
          </cell>
          <cell r="BY104">
            <v>54.676955934140729</v>
          </cell>
          <cell r="BZ104">
            <v>55.165685304832408</v>
          </cell>
          <cell r="CA104">
            <v>55.651975168978964</v>
          </cell>
          <cell r="CB104">
            <v>56.197353484420169</v>
          </cell>
          <cell r="CC104">
            <v>56.197353484420169</v>
          </cell>
        </row>
        <row r="105">
          <cell r="F105">
            <v>103</v>
          </cell>
          <cell r="G105">
            <v>1259.6918792651943</v>
          </cell>
          <cell r="N105">
            <v>112</v>
          </cell>
          <cell r="O105">
            <v>102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V105">
            <v>102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C105">
            <v>102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AZ105">
            <v>102</v>
          </cell>
          <cell r="BA105">
            <v>38.16277447896217</v>
          </cell>
          <cell r="BB105">
            <v>39.655541494705105</v>
          </cell>
          <cell r="BC105">
            <v>41.590303905372799</v>
          </cell>
          <cell r="BD105">
            <v>44.326465623783335</v>
          </cell>
          <cell r="BE105">
            <v>49.030333272797542</v>
          </cell>
          <cell r="BI105">
            <v>102</v>
          </cell>
          <cell r="BJ105">
            <v>3.4999999999999978</v>
          </cell>
          <cell r="BK105">
            <v>3.5699999999999976</v>
          </cell>
          <cell r="BL105">
            <v>3.7099999999999977</v>
          </cell>
          <cell r="BM105">
            <v>3.9899999999999971</v>
          </cell>
          <cell r="BN105">
            <v>4.8999999999999968</v>
          </cell>
          <cell r="BW105">
            <v>102</v>
          </cell>
          <cell r="BX105">
            <v>54.684879988131968</v>
          </cell>
          <cell r="BY105">
            <v>55.13951273920545</v>
          </cell>
          <cell r="BZ105">
            <v>55.594010346323124</v>
          </cell>
          <cell r="CA105">
            <v>56.09910300880712</v>
          </cell>
          <cell r="CB105">
            <v>56.644593793802954</v>
          </cell>
          <cell r="CC105">
            <v>56.644593793802954</v>
          </cell>
        </row>
        <row r="106">
          <cell r="F106">
            <v>104</v>
          </cell>
          <cell r="G106">
            <v>1350.1761006314437</v>
          </cell>
          <cell r="N106">
            <v>113</v>
          </cell>
          <cell r="O106">
            <v>103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V106">
            <v>103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C106">
            <v>103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AZ106">
            <v>103</v>
          </cell>
          <cell r="BA106">
            <v>38.225405005200088</v>
          </cell>
          <cell r="BB106">
            <v>39.723082378096265</v>
          </cell>
          <cell r="BC106">
            <v>41.657347597192377</v>
          </cell>
          <cell r="BD106">
            <v>44.39110423954309</v>
          </cell>
          <cell r="BE106">
            <v>49.09231260978715</v>
          </cell>
          <cell r="BI106">
            <v>103</v>
          </cell>
          <cell r="BJ106">
            <v>3.4999999999999978</v>
          </cell>
          <cell r="BK106">
            <v>3.5699999999999976</v>
          </cell>
          <cell r="BL106">
            <v>3.7099999999999977</v>
          </cell>
          <cell r="BM106">
            <v>3.9899999999999971</v>
          </cell>
          <cell r="BN106">
            <v>4.8999999999999968</v>
          </cell>
          <cell r="BW106">
            <v>103</v>
          </cell>
          <cell r="BX106">
            <v>55.161930117011792</v>
          </cell>
          <cell r="BY106">
            <v>55.583763667062648</v>
          </cell>
          <cell r="BZ106">
            <v>56.058453389976094</v>
          </cell>
          <cell r="CA106">
            <v>56.554541998878705</v>
          </cell>
          <cell r="CB106">
            <v>57.120261567759663</v>
          </cell>
          <cell r="CC106">
            <v>57.120261567759663</v>
          </cell>
        </row>
        <row r="107">
          <cell r="F107">
            <v>105</v>
          </cell>
          <cell r="G107">
            <v>1447.1546878700494</v>
          </cell>
          <cell r="N107">
            <v>114</v>
          </cell>
          <cell r="O107">
            <v>104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V107">
            <v>104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C107">
            <v>104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AZ107">
            <v>104</v>
          </cell>
          <cell r="BA107">
            <v>38.288035531438013</v>
          </cell>
          <cell r="BB107">
            <v>39.790623261487418</v>
          </cell>
          <cell r="BC107">
            <v>41.724391289011947</v>
          </cell>
          <cell r="BD107">
            <v>44.455742855302844</v>
          </cell>
          <cell r="BE107">
            <v>49.154291946776759</v>
          </cell>
          <cell r="BI107">
            <v>104</v>
          </cell>
          <cell r="BJ107">
            <v>3.4999999999999978</v>
          </cell>
          <cell r="BK107">
            <v>3.5699999999999976</v>
          </cell>
          <cell r="BL107">
            <v>3.7099999999999977</v>
          </cell>
          <cell r="BM107">
            <v>3.9899999999999971</v>
          </cell>
          <cell r="BN107">
            <v>4.8999999999999968</v>
          </cell>
          <cell r="BW107">
            <v>104</v>
          </cell>
          <cell r="BX107">
            <v>55.627196747503149</v>
          </cell>
          <cell r="BY107">
            <v>56.070023936067749</v>
          </cell>
          <cell r="BZ107">
            <v>56.53153340227184</v>
          </cell>
          <cell r="CA107">
            <v>57.057233285169012</v>
          </cell>
          <cell r="CB107">
            <v>57.593396752318156</v>
          </cell>
          <cell r="CC107">
            <v>57.593396752318156</v>
          </cell>
        </row>
        <row r="108">
          <cell r="F108">
            <v>106</v>
          </cell>
          <cell r="G108">
            <v>1551.0937641066464</v>
          </cell>
          <cell r="N108">
            <v>115</v>
          </cell>
          <cell r="O108">
            <v>105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V108">
            <v>105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C108">
            <v>105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AZ108">
            <v>105</v>
          </cell>
          <cell r="BA108">
            <v>38.35066605767593</v>
          </cell>
          <cell r="BB108">
            <v>39.858164144878572</v>
          </cell>
          <cell r="BC108">
            <v>41.791434980831518</v>
          </cell>
          <cell r="BD108">
            <v>44.520381471062606</v>
          </cell>
          <cell r="BE108">
            <v>49.216271283766375</v>
          </cell>
          <cell r="BI108">
            <v>105</v>
          </cell>
          <cell r="BJ108">
            <v>3.4999999999999978</v>
          </cell>
          <cell r="BK108">
            <v>3.5699999999999976</v>
          </cell>
          <cell r="BL108">
            <v>3.7099999999999977</v>
          </cell>
          <cell r="BM108">
            <v>3.9899999999999971</v>
          </cell>
          <cell r="BN108">
            <v>4.8999999999999968</v>
          </cell>
          <cell r="BW108">
            <v>105</v>
          </cell>
          <cell r="BX108">
            <v>56.108713498260869</v>
          </cell>
          <cell r="BY108">
            <v>56.536952996213088</v>
          </cell>
          <cell r="BZ108">
            <v>57.028694970852825</v>
          </cell>
          <cell r="CA108">
            <v>57.522396624597881</v>
          </cell>
          <cell r="CB108">
            <v>58.077862645108048</v>
          </cell>
          <cell r="CC108">
            <v>58.077862645108048</v>
          </cell>
        </row>
        <row r="109">
          <cell r="F109">
            <v>107</v>
          </cell>
          <cell r="G109">
            <v>1662.4929077375689</v>
          </cell>
          <cell r="N109">
            <v>116</v>
          </cell>
          <cell r="O109">
            <v>106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V109">
            <v>106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C109">
            <v>106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AZ109">
            <v>106</v>
          </cell>
          <cell r="BA109">
            <v>38.413296583913848</v>
          </cell>
          <cell r="BB109">
            <v>39.925705028269732</v>
          </cell>
          <cell r="BC109">
            <v>41.858478672651096</v>
          </cell>
          <cell r="BD109">
            <v>44.585020086822361</v>
          </cell>
          <cell r="BE109">
            <v>49.278250620755983</v>
          </cell>
          <cell r="BI109">
            <v>106</v>
          </cell>
          <cell r="BJ109">
            <v>3.4999999999999978</v>
          </cell>
          <cell r="BK109">
            <v>3.5699999999999976</v>
          </cell>
          <cell r="BL109">
            <v>3.7099999999999977</v>
          </cell>
          <cell r="BM109">
            <v>3.9899999999999971</v>
          </cell>
          <cell r="BN109">
            <v>4.8999999999999968</v>
          </cell>
          <cell r="BW109">
            <v>106</v>
          </cell>
          <cell r="BX109">
            <v>56.570364089495698</v>
          </cell>
          <cell r="BY109">
            <v>57.029826574193862</v>
          </cell>
          <cell r="BZ109">
            <v>57.485837231091942</v>
          </cell>
          <cell r="CA109">
            <v>58.008243903139835</v>
          </cell>
          <cell r="CB109">
            <v>58.512079069363097</v>
          </cell>
          <cell r="CC109">
            <v>58.512079069363097</v>
          </cell>
        </row>
        <row r="110">
          <cell r="F110">
            <v>108</v>
          </cell>
          <cell r="G110">
            <v>1781.8875536304624</v>
          </cell>
          <cell r="N110">
            <v>117</v>
          </cell>
          <cell r="O110">
            <v>107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V110">
            <v>107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C110">
            <v>107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AZ110">
            <v>107</v>
          </cell>
          <cell r="BA110">
            <v>38.475927110151773</v>
          </cell>
          <cell r="BB110">
            <v>39.993245911660885</v>
          </cell>
          <cell r="BC110">
            <v>41.925522364470666</v>
          </cell>
          <cell r="BD110">
            <v>44.649658702582116</v>
          </cell>
          <cell r="BE110">
            <v>49.340229957745592</v>
          </cell>
          <cell r="BI110">
            <v>107</v>
          </cell>
          <cell r="BJ110">
            <v>3.4999999999999978</v>
          </cell>
          <cell r="BK110">
            <v>3.5699999999999976</v>
          </cell>
          <cell r="BL110">
            <v>3.7099999999999977</v>
          </cell>
          <cell r="BM110">
            <v>3.9899999999999971</v>
          </cell>
          <cell r="BN110">
            <v>4.8999999999999968</v>
          </cell>
          <cell r="BW110">
            <v>107</v>
          </cell>
          <cell r="BX110">
            <v>57.056278080669266</v>
          </cell>
          <cell r="BY110">
            <v>57.482847825450328</v>
          </cell>
          <cell r="BZ110">
            <v>57.977987660046658</v>
          </cell>
          <cell r="CA110">
            <v>58.436970459928517</v>
          </cell>
          <cell r="CB110">
            <v>58.970102918190015</v>
          </cell>
          <cell r="CC110">
            <v>58.970102918190015</v>
          </cell>
        </row>
        <row r="111">
          <cell r="F111">
            <v>109</v>
          </cell>
          <cell r="G111">
            <v>1909.8515666673818</v>
          </cell>
          <cell r="N111">
            <v>118</v>
          </cell>
          <cell r="O111">
            <v>108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V111">
            <v>108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C111">
            <v>108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AZ111">
            <v>108</v>
          </cell>
          <cell r="BA111">
            <v>38.53855763638969</v>
          </cell>
          <cell r="BB111">
            <v>40.052446592012309</v>
          </cell>
          <cell r="BC111">
            <v>41.992566056290244</v>
          </cell>
          <cell r="BD111">
            <v>44.71429731834187</v>
          </cell>
          <cell r="BE111">
            <v>49.402209294735208</v>
          </cell>
          <cell r="BI111">
            <v>108</v>
          </cell>
          <cell r="BJ111">
            <v>3.4999999999999978</v>
          </cell>
          <cell r="BK111">
            <v>3.5699999999999976</v>
          </cell>
          <cell r="BL111">
            <v>3.7099999999999977</v>
          </cell>
          <cell r="BM111">
            <v>3.9899999999999971</v>
          </cell>
          <cell r="BN111">
            <v>4.8999999999999968</v>
          </cell>
          <cell r="BW111">
            <v>108</v>
          </cell>
          <cell r="BX111">
            <v>57.514368600997656</v>
          </cell>
          <cell r="BY111">
            <v>57.971573149325678</v>
          </cell>
          <cell r="BZ111">
            <v>58.403392312856369</v>
          </cell>
          <cell r="CA111">
            <v>58.897540390571457</v>
          </cell>
          <cell r="CB111">
            <v>59.41663449571719</v>
          </cell>
          <cell r="CC111">
            <v>59.41663449571719</v>
          </cell>
        </row>
        <row r="112">
          <cell r="F112">
            <v>110</v>
          </cell>
          <cell r="G112">
            <v>2047</v>
          </cell>
          <cell r="N112">
            <v>119</v>
          </cell>
          <cell r="O112">
            <v>109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V112">
            <v>109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C112">
            <v>109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AZ112">
            <v>109</v>
          </cell>
          <cell r="BA112">
            <v>38.601188162627608</v>
          </cell>
          <cell r="BB112">
            <v>40.110720583137102</v>
          </cell>
          <cell r="BC112">
            <v>42.051439554347354</v>
          </cell>
          <cell r="BD112">
            <v>44.778935934101632</v>
          </cell>
          <cell r="BE112">
            <v>49.464188631724817</v>
          </cell>
          <cell r="BI112">
            <v>109</v>
          </cell>
          <cell r="BJ112">
            <v>3.4999999999999978</v>
          </cell>
          <cell r="BK112">
            <v>3.5699999999999976</v>
          </cell>
          <cell r="BL112">
            <v>3.7099999999999977</v>
          </cell>
          <cell r="BM112">
            <v>3.9899999999999971</v>
          </cell>
          <cell r="BN112">
            <v>4.8999999999999968</v>
          </cell>
          <cell r="BW112">
            <v>109</v>
          </cell>
          <cell r="BX112">
            <v>58.004611321594084</v>
          </cell>
          <cell r="BY112">
            <v>58.405793781313918</v>
          </cell>
          <cell r="BZ112">
            <v>58.86447642263726</v>
          </cell>
          <cell r="CA112">
            <v>59.34185552053183</v>
          </cell>
          <cell r="CB112">
            <v>59.895591141330719</v>
          </cell>
          <cell r="CC112">
            <v>59.895591141330719</v>
          </cell>
        </row>
        <row r="113">
          <cell r="F113">
            <v>111</v>
          </cell>
          <cell r="G113">
            <v>2193.9920512743265</v>
          </cell>
          <cell r="N113">
            <v>120</v>
          </cell>
          <cell r="O113">
            <v>110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V113">
            <v>110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C113">
            <v>110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AZ113">
            <v>110</v>
          </cell>
          <cell r="BA113">
            <v>38.663818688865533</v>
          </cell>
          <cell r="BB113">
            <v>40.168994574261895</v>
          </cell>
          <cell r="BC113">
            <v>42.109294145892463</v>
          </cell>
          <cell r="BD113">
            <v>44.843574549861387</v>
          </cell>
          <cell r="BE113">
            <v>49.526167968714425</v>
          </cell>
          <cell r="BI113">
            <v>110</v>
          </cell>
          <cell r="BJ113">
            <v>3.4999999999999978</v>
          </cell>
          <cell r="BK113">
            <v>3.5699999999999976</v>
          </cell>
          <cell r="BL113">
            <v>3.7099999999999977</v>
          </cell>
          <cell r="BM113">
            <v>3.9899999999999971</v>
          </cell>
          <cell r="BN113">
            <v>4.8999999999999968</v>
          </cell>
          <cell r="BW113">
            <v>110</v>
          </cell>
          <cell r="BX113">
            <v>58.459196425189646</v>
          </cell>
          <cell r="BY113">
            <v>58.889188215849849</v>
          </cell>
          <cell r="BZ113">
            <v>59.339742830719779</v>
          </cell>
          <cell r="CA113">
            <v>59.839943614471814</v>
          </cell>
          <cell r="CB113">
            <v>60.373224714907948</v>
          </cell>
          <cell r="CC113">
            <v>60.373224714907948</v>
          </cell>
        </row>
        <row r="114">
          <cell r="F114">
            <v>112</v>
          </cell>
          <cell r="G114">
            <v>2351.5342310339256</v>
          </cell>
          <cell r="N114">
            <v>121</v>
          </cell>
          <cell r="O114">
            <v>111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V114">
            <v>111</v>
          </cell>
          <cell r="W114">
            <v>146.99205127432651</v>
          </cell>
          <cell r="X114">
            <v>127.67892848059864</v>
          </cell>
          <cell r="Y114">
            <v>103.18896386651181</v>
          </cell>
          <cell r="Z114">
            <v>75.19949956031212</v>
          </cell>
          <cell r="AA114">
            <v>41.117487228716072</v>
          </cell>
          <cell r="AC114">
            <v>111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AZ114">
            <v>111</v>
          </cell>
          <cell r="BA114">
            <v>38.72644921510345</v>
          </cell>
          <cell r="BB114">
            <v>40.227268565386687</v>
          </cell>
          <cell r="BC114">
            <v>42.167148737437572</v>
          </cell>
          <cell r="BD114">
            <v>44.908213165621142</v>
          </cell>
          <cell r="BE114">
            <v>49.588147305704041</v>
          </cell>
          <cell r="BI114">
            <v>111</v>
          </cell>
          <cell r="BJ114">
            <v>3.4999999999999978</v>
          </cell>
          <cell r="BK114">
            <v>3.5699999999999976</v>
          </cell>
          <cell r="BL114">
            <v>3.7099999999999977</v>
          </cell>
          <cell r="BM114">
            <v>3.9899999999999971</v>
          </cell>
          <cell r="BN114">
            <v>4.8999999999999968</v>
          </cell>
          <cell r="BW114">
            <v>111</v>
          </cell>
          <cell r="BX114">
            <v>58.946408675687671</v>
          </cell>
          <cell r="BY114">
            <v>59.361287240722291</v>
          </cell>
          <cell r="BZ114">
            <v>59.832224211633438</v>
          </cell>
          <cell r="CA114">
            <v>60.326839752914957</v>
          </cell>
          <cell r="CB114">
            <v>60.881867647056097</v>
          </cell>
          <cell r="CC114">
            <v>60.881867647056097</v>
          </cell>
        </row>
        <row r="115">
          <cell r="F115">
            <v>113</v>
          </cell>
          <cell r="G115">
            <v>2520.3837585303886</v>
          </cell>
          <cell r="N115">
            <v>122</v>
          </cell>
          <cell r="O115">
            <v>112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V115">
            <v>112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39.993483995274346</v>
          </cell>
          <cell r="AC115">
            <v>112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AZ115">
            <v>112</v>
          </cell>
          <cell r="BA115">
            <v>38.789079741341368</v>
          </cell>
          <cell r="BB115">
            <v>40.28554255651148</v>
          </cell>
          <cell r="BC115">
            <v>42.225003328982673</v>
          </cell>
          <cell r="BD115">
            <v>44.972851781380903</v>
          </cell>
          <cell r="BE115">
            <v>49.65012664269365</v>
          </cell>
          <cell r="BI115">
            <v>112</v>
          </cell>
          <cell r="BJ115">
            <v>3.4999999999999978</v>
          </cell>
          <cell r="BK115">
            <v>3.5699999999999976</v>
          </cell>
          <cell r="BL115">
            <v>3.7099999999999977</v>
          </cell>
          <cell r="BM115">
            <v>3.9899999999999971</v>
          </cell>
          <cell r="BN115">
            <v>4.8999999999999968</v>
          </cell>
          <cell r="BW115">
            <v>112</v>
          </cell>
          <cell r="BX115">
            <v>59.404833394530556</v>
          </cell>
          <cell r="BY115">
            <v>59.846737906797472</v>
          </cell>
          <cell r="BZ115">
            <v>60.304169527518312</v>
          </cell>
          <cell r="CA115">
            <v>60.81372235837329</v>
          </cell>
          <cell r="CB115">
            <v>61.325402417517608</v>
          </cell>
          <cell r="CC115">
            <v>61.325402417517608</v>
          </cell>
        </row>
        <row r="116">
          <cell r="F116">
            <v>114</v>
          </cell>
          <cell r="G116">
            <v>2701.3522012628878</v>
          </cell>
          <cell r="N116">
            <v>123</v>
          </cell>
          <cell r="O116">
            <v>113</v>
          </cell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V116">
            <v>113</v>
          </cell>
          <cell r="W116">
            <v>168.849527496463</v>
          </cell>
          <cell r="X116">
            <v>144.95237569414667</v>
          </cell>
          <cell r="Y116">
            <v>117.32488524955056</v>
          </cell>
          <cell r="Z116">
            <v>80.435389100481871</v>
          </cell>
          <cell r="AA116">
            <v>42.476779403885303</v>
          </cell>
          <cell r="AC116">
            <v>113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AZ116">
            <v>113</v>
          </cell>
          <cell r="BA116">
            <v>38.851710267579293</v>
          </cell>
          <cell r="BB116">
            <v>40.343816547636273</v>
          </cell>
          <cell r="BC116">
            <v>42.282857920527782</v>
          </cell>
          <cell r="BD116">
            <v>45.032359480672049</v>
          </cell>
          <cell r="BE116">
            <v>49.712105979683258</v>
          </cell>
          <cell r="BI116">
            <v>113</v>
          </cell>
          <cell r="BJ116">
            <v>3.4999999999999978</v>
          </cell>
          <cell r="BK116">
            <v>3.5699999999999976</v>
          </cell>
          <cell r="BL116">
            <v>3.7099999999999977</v>
          </cell>
          <cell r="BM116">
            <v>3.9899999999999971</v>
          </cell>
          <cell r="BN116">
            <v>4.8999999999999968</v>
          </cell>
          <cell r="BW116">
            <v>113</v>
          </cell>
          <cell r="BX116">
            <v>59.888345847910635</v>
          </cell>
          <cell r="BY116">
            <v>60.315865619841162</v>
          </cell>
          <cell r="BZ116">
            <v>60.787957794339562</v>
          </cell>
          <cell r="CA116">
            <v>61.268918714801863</v>
          </cell>
          <cell r="CB116">
            <v>61.779418699074547</v>
          </cell>
          <cell r="CC116">
            <v>61.779418699074547</v>
          </cell>
        </row>
        <row r="117">
          <cell r="F117">
            <v>115</v>
          </cell>
          <cell r="G117">
            <v>2895.3093757400989</v>
          </cell>
          <cell r="N117">
            <v>124</v>
          </cell>
          <cell r="O117">
            <v>114</v>
          </cell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V117">
            <v>114</v>
          </cell>
          <cell r="W117">
            <v>180.96844273249917</v>
          </cell>
          <cell r="X117">
            <v>154.88825524680124</v>
          </cell>
          <cell r="Y117">
            <v>119.6593165940144</v>
          </cell>
          <cell r="Z117">
            <v>83.59625828934486</v>
          </cell>
          <cell r="AA117">
            <v>45.362548744516403</v>
          </cell>
          <cell r="AC117">
            <v>114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AZ117">
            <v>114</v>
          </cell>
          <cell r="BA117">
            <v>38.91434079381721</v>
          </cell>
          <cell r="BB117">
            <v>40.402090538761065</v>
          </cell>
          <cell r="BC117">
            <v>42.340712512072891</v>
          </cell>
          <cell r="BD117">
            <v>45.088151688727308</v>
          </cell>
          <cell r="BE117">
            <v>49.774085316672867</v>
          </cell>
          <cell r="BI117">
            <v>114</v>
          </cell>
          <cell r="BJ117">
            <v>3.4999999999999978</v>
          </cell>
          <cell r="BK117">
            <v>3.5699999999999976</v>
          </cell>
          <cell r="BL117">
            <v>3.7099999999999977</v>
          </cell>
          <cell r="BM117">
            <v>3.9899999999999971</v>
          </cell>
          <cell r="BN117">
            <v>4.8999999999999968</v>
          </cell>
          <cell r="BW117">
            <v>114</v>
          </cell>
          <cell r="BX117">
            <v>60.351265141991014</v>
          </cell>
          <cell r="BY117">
            <v>60.79487602158224</v>
          </cell>
          <cell r="BZ117">
            <v>61.243116472404502</v>
          </cell>
          <cell r="CA117">
            <v>61.715681191539097</v>
          </cell>
          <cell r="CB117">
            <v>62.228360857153817</v>
          </cell>
          <cell r="CC117">
            <v>62.228360857153817</v>
          </cell>
        </row>
        <row r="118">
          <cell r="F118">
            <v>116</v>
          </cell>
          <cell r="G118">
            <v>3103.1875282132928</v>
          </cell>
          <cell r="N118">
            <v>125</v>
          </cell>
          <cell r="O118">
            <v>115</v>
          </cell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V118">
            <v>115</v>
          </cell>
          <cell r="W118">
            <v>193.95717447721108</v>
          </cell>
          <cell r="X118">
            <v>158.51612304473247</v>
          </cell>
          <cell r="Y118">
            <v>123.59426969037963</v>
          </cell>
          <cell r="Z118">
            <v>87.779941512893629</v>
          </cell>
          <cell r="AA118">
            <v>47.864688009087899</v>
          </cell>
          <cell r="AC118">
            <v>115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AZ118">
            <v>115</v>
          </cell>
          <cell r="BA118">
            <v>38.976971320055128</v>
          </cell>
          <cell r="BB118">
            <v>40.460364529885858</v>
          </cell>
          <cell r="BC118">
            <v>42.398567103617999</v>
          </cell>
          <cell r="BD118">
            <v>45.143943896782567</v>
          </cell>
          <cell r="BE118">
            <v>49.836064653662483</v>
          </cell>
          <cell r="BI118">
            <v>115</v>
          </cell>
          <cell r="BJ118">
            <v>3.4999999999999978</v>
          </cell>
          <cell r="BK118">
            <v>3.5699999999999976</v>
          </cell>
          <cell r="BL118">
            <v>3.7099999999999977</v>
          </cell>
          <cell r="BM118">
            <v>3.9899999999999971</v>
          </cell>
          <cell r="BN118">
            <v>4.8999999999999968</v>
          </cell>
          <cell r="BW118">
            <v>115</v>
          </cell>
          <cell r="BX118">
            <v>60.831133697131506</v>
          </cell>
          <cell r="BY118">
            <v>61.24634276522368</v>
          </cell>
          <cell r="BZ118">
            <v>61.683465384084933</v>
          </cell>
          <cell r="CA118">
            <v>62.159685532497839</v>
          </cell>
          <cell r="CB118">
            <v>62.670432709865914</v>
          </cell>
          <cell r="CC118">
            <v>62.670432709865914</v>
          </cell>
        </row>
        <row r="119">
          <cell r="F119">
            <v>117</v>
          </cell>
          <cell r="G119">
            <v>3325.985815475135</v>
          </cell>
          <cell r="N119">
            <v>126</v>
          </cell>
          <cell r="O119">
            <v>116</v>
          </cell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V119">
            <v>116</v>
          </cell>
          <cell r="W119">
            <v>207.87815247319395</v>
          </cell>
          <cell r="X119">
            <v>173.73875678073273</v>
          </cell>
          <cell r="Y119">
            <v>138.95774492019041</v>
          </cell>
          <cell r="Z119">
            <v>101.95973836043618</v>
          </cell>
          <cell r="AA119">
            <v>54.484863763224098</v>
          </cell>
          <cell r="AC119">
            <v>116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AZ119">
            <v>116</v>
          </cell>
          <cell r="BA119">
            <v>39.034165367506482</v>
          </cell>
          <cell r="BB119">
            <v>40.518638521010644</v>
          </cell>
          <cell r="BC119">
            <v>42.456421695163108</v>
          </cell>
          <cell r="BD119">
            <v>45.199736104837825</v>
          </cell>
          <cell r="BE119">
            <v>49.898043990652091</v>
          </cell>
          <cell r="BI119">
            <v>116</v>
          </cell>
          <cell r="BJ119">
            <v>3.4999999999999978</v>
          </cell>
          <cell r="BK119">
            <v>3.5699999999999976</v>
          </cell>
          <cell r="BL119">
            <v>3.7099999999999977</v>
          </cell>
          <cell r="BM119">
            <v>3.9899999999999971</v>
          </cell>
          <cell r="BN119">
            <v>4.8999999999999968</v>
          </cell>
          <cell r="BW119">
            <v>116</v>
          </cell>
          <cell r="BX119">
            <v>61.298477193800437</v>
          </cell>
          <cell r="BY119">
            <v>61.71059773831081</v>
          </cell>
          <cell r="BZ119">
            <v>62.154284734329579</v>
          </cell>
          <cell r="CA119">
            <v>62.630528781601228</v>
          </cell>
          <cell r="CB119">
            <v>63.150055056035825</v>
          </cell>
          <cell r="CC119">
            <v>63.150055056035825</v>
          </cell>
        </row>
        <row r="120">
          <cell r="F120">
            <v>118</v>
          </cell>
          <cell r="G120">
            <v>3564.7751072609281</v>
          </cell>
          <cell r="N120">
            <v>127</v>
          </cell>
          <cell r="O120">
            <v>117</v>
          </cell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V120">
            <v>117</v>
          </cell>
          <cell r="W120">
            <v>222.79828726184223</v>
          </cell>
          <cell r="X120">
            <v>189.9769018494826</v>
          </cell>
          <cell r="Y120">
            <v>153.74190609398056</v>
          </cell>
          <cell r="Z120">
            <v>109.0120042585288</v>
          </cell>
          <cell r="AA120">
            <v>59.72582541751899</v>
          </cell>
          <cell r="AC120">
            <v>117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AZ120">
            <v>117</v>
          </cell>
          <cell r="BA120">
            <v>39.088198074219406</v>
          </cell>
          <cell r="BB120">
            <v>40.576912512135436</v>
          </cell>
          <cell r="BC120">
            <v>42.51427628670821</v>
          </cell>
          <cell r="BD120">
            <v>45.255528312893091</v>
          </cell>
          <cell r="BE120">
            <v>49.9600233276417</v>
          </cell>
          <cell r="BI120">
            <v>117</v>
          </cell>
          <cell r="BJ120">
            <v>3.4999999999999978</v>
          </cell>
          <cell r="BK120">
            <v>3.5699999999999976</v>
          </cell>
          <cell r="BL120">
            <v>3.7099999999999977</v>
          </cell>
          <cell r="BM120">
            <v>3.9899999999999971</v>
          </cell>
          <cell r="BN120">
            <v>4.8999999999999968</v>
          </cell>
          <cell r="BW120">
            <v>117</v>
          </cell>
          <cell r="BX120">
            <v>61.774756475513705</v>
          </cell>
          <cell r="BY120">
            <v>62.188581397582936</v>
          </cell>
          <cell r="BZ120">
            <v>62.627597957455222</v>
          </cell>
          <cell r="CA120">
            <v>63.115741365011118</v>
          </cell>
          <cell r="CB120">
            <v>63.626729194306485</v>
          </cell>
          <cell r="CC120">
            <v>63.626729194306485</v>
          </cell>
        </row>
        <row r="121">
          <cell r="F121">
            <v>119</v>
          </cell>
          <cell r="G121">
            <v>3820.7031333347636</v>
          </cell>
          <cell r="N121">
            <v>128</v>
          </cell>
          <cell r="O121">
            <v>118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V121">
            <v>118</v>
          </cell>
          <cell r="W121">
            <v>238.78929178579301</v>
          </cell>
          <cell r="X121">
            <v>203.65997411019725</v>
          </cell>
          <cell r="Y121">
            <v>163.5177877340534</v>
          </cell>
          <cell r="Z121">
            <v>119.37928805032334</v>
          </cell>
          <cell r="AA121">
            <v>63.038666604496711</v>
          </cell>
          <cell r="AC121">
            <v>118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AZ121">
            <v>118</v>
          </cell>
          <cell r="BA121">
            <v>39.14223078093233</v>
          </cell>
          <cell r="BB121">
            <v>40.635186503260229</v>
          </cell>
          <cell r="BC121">
            <v>42.572130878253319</v>
          </cell>
          <cell r="BD121">
            <v>45.31132052094835</v>
          </cell>
          <cell r="BE121">
            <v>50.018998195299922</v>
          </cell>
          <cell r="BI121">
            <v>118</v>
          </cell>
          <cell r="BJ121">
            <v>3.4999999999999978</v>
          </cell>
          <cell r="BK121">
            <v>3.5699999999999976</v>
          </cell>
          <cell r="BL121">
            <v>3.7099999999999977</v>
          </cell>
          <cell r="BM121">
            <v>3.9899999999999971</v>
          </cell>
          <cell r="BN121">
            <v>4.8999999999999968</v>
          </cell>
          <cell r="BW121">
            <v>118</v>
          </cell>
          <cell r="BX121">
            <v>62.246455046493132</v>
          </cell>
          <cell r="BY121">
            <v>62.6588254638406</v>
          </cell>
          <cell r="BZ121">
            <v>63.11320815441082</v>
          </cell>
          <cell r="CA121">
            <v>63.592126738180539</v>
          </cell>
          <cell r="CB121">
            <v>64.112208257096498</v>
          </cell>
          <cell r="CC121">
            <v>64.112208257096498</v>
          </cell>
        </row>
        <row r="122">
          <cell r="F122">
            <v>120</v>
          </cell>
          <cell r="G122">
            <v>4095</v>
          </cell>
          <cell r="N122">
            <v>129</v>
          </cell>
          <cell r="O122">
            <v>119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V122">
            <v>119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125.88553084838782</v>
          </cell>
          <cell r="AA122">
            <v>64.150137140321249</v>
          </cell>
          <cell r="AC122">
            <v>119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AZ122">
            <v>119</v>
          </cell>
          <cell r="BA122">
            <v>39.196263487645254</v>
          </cell>
          <cell r="BB122">
            <v>40.693460494385022</v>
          </cell>
          <cell r="BC122">
            <v>42.629985469798427</v>
          </cell>
          <cell r="BD122">
            <v>45.367112729003608</v>
          </cell>
          <cell r="BE122">
            <v>50.072514238398277</v>
          </cell>
          <cell r="BI122">
            <v>119</v>
          </cell>
          <cell r="BJ122">
            <v>3.4999999999999978</v>
          </cell>
          <cell r="BK122">
            <v>3.5699999999999976</v>
          </cell>
          <cell r="BL122">
            <v>3.7099999999999977</v>
          </cell>
          <cell r="BM122">
            <v>3.9899999999999971</v>
          </cell>
          <cell r="BN122">
            <v>4.8999999999999968</v>
          </cell>
          <cell r="BW122">
            <v>119</v>
          </cell>
          <cell r="BX122">
            <v>62.719198446077925</v>
          </cell>
          <cell r="BY122">
            <v>63.143850498495951</v>
          </cell>
          <cell r="BZ122">
            <v>63.587780384292174</v>
          </cell>
          <cell r="CA122">
            <v>64.081643983802394</v>
          </cell>
          <cell r="CB122">
            <v>64.554656492906943</v>
          </cell>
          <cell r="CC122">
            <v>64.554656492906943</v>
          </cell>
        </row>
        <row r="123">
          <cell r="F123">
            <v>121</v>
          </cell>
          <cell r="G123">
            <v>4388.9841025486576</v>
          </cell>
          <cell r="N123">
            <v>130</v>
          </cell>
          <cell r="O123">
            <v>120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V123">
            <v>120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125.1750818726357</v>
          </cell>
          <cell r="AA123">
            <v>67.715919692958892</v>
          </cell>
          <cell r="AC123">
            <v>120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AZ123">
            <v>120</v>
          </cell>
          <cell r="BA123">
            <v>39.250296194358178</v>
          </cell>
          <cell r="BB123">
            <v>40.751734485509814</v>
          </cell>
          <cell r="BC123">
            <v>42.687840061343536</v>
          </cell>
          <cell r="BD123">
            <v>45.422904937058867</v>
          </cell>
          <cell r="BE123">
            <v>50.126030281496639</v>
          </cell>
          <cell r="BI123">
            <v>120</v>
          </cell>
          <cell r="BJ123">
            <v>3.4999999999999978</v>
          </cell>
          <cell r="BK123">
            <v>3.5699999999999976</v>
          </cell>
          <cell r="BL123">
            <v>3.7099999999999977</v>
          </cell>
          <cell r="BM123">
            <v>3.9899999999999971</v>
          </cell>
          <cell r="BN123">
            <v>4.8999999999999968</v>
          </cell>
          <cell r="BW123">
            <v>120</v>
          </cell>
          <cell r="BX123">
            <v>63.195184230627639</v>
          </cell>
          <cell r="BY123">
            <v>63.614335426471264</v>
          </cell>
          <cell r="BZ123">
            <v>64.074598905166155</v>
          </cell>
          <cell r="CA123">
            <v>64.513314878136029</v>
          </cell>
          <cell r="CB123">
            <v>65.018752205023816</v>
          </cell>
          <cell r="CC123">
            <v>65.018752205023816</v>
          </cell>
        </row>
        <row r="124">
          <cell r="F124">
            <v>122</v>
          </cell>
          <cell r="G124">
            <v>4704.0684620678521</v>
          </cell>
          <cell r="N124">
            <v>131</v>
          </cell>
          <cell r="O124">
            <v>121</v>
          </cell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V124">
            <v>121</v>
          </cell>
          <cell r="W124">
            <v>293.98410254865757</v>
          </cell>
          <cell r="X124">
            <v>245.44078398686861</v>
          </cell>
          <cell r="Y124">
            <v>186.83251039977358</v>
          </cell>
          <cell r="Z124">
            <v>133.54181358227584</v>
          </cell>
          <cell r="AA124">
            <v>75.354358713925421</v>
          </cell>
          <cell r="AC124">
            <v>121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AZ124">
            <v>121</v>
          </cell>
          <cell r="BA124">
            <v>39.304328901071102</v>
          </cell>
          <cell r="BB124">
            <v>40.810008476634607</v>
          </cell>
          <cell r="BC124">
            <v>42.745694652888645</v>
          </cell>
          <cell r="BD124">
            <v>45.478697145114126</v>
          </cell>
          <cell r="BE124">
            <v>50.179546324595002</v>
          </cell>
          <cell r="BI124">
            <v>121</v>
          </cell>
          <cell r="BJ124">
            <v>3.4999999999999978</v>
          </cell>
          <cell r="BK124">
            <v>3.5699999999999976</v>
          </cell>
          <cell r="BL124">
            <v>3.7099999999999977</v>
          </cell>
          <cell r="BM124">
            <v>3.9899999999999971</v>
          </cell>
          <cell r="BN124">
            <v>4.8999999999999968</v>
          </cell>
          <cell r="BW124">
            <v>121</v>
          </cell>
          <cell r="BX124">
            <v>63.664443944555515</v>
          </cell>
          <cell r="BY124">
            <v>64.08992124447893</v>
          </cell>
          <cell r="BZ124">
            <v>64.504131448162894</v>
          </cell>
          <cell r="CA124">
            <v>64.973838755872734</v>
          </cell>
          <cell r="CB124">
            <v>65.467913166257659</v>
          </cell>
          <cell r="CC124">
            <v>65.467913166257659</v>
          </cell>
        </row>
        <row r="125">
          <cell r="F125">
            <v>123</v>
          </cell>
          <cell r="G125">
            <v>5041.7675170607781</v>
          </cell>
          <cell r="N125">
            <v>132</v>
          </cell>
          <cell r="O125">
            <v>122</v>
          </cell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V125">
            <v>122</v>
          </cell>
          <cell r="W125">
            <v>315.08435951919455</v>
          </cell>
          <cell r="X125">
            <v>258.0061786928768</v>
          </cell>
          <cell r="Y125">
            <v>204.91002472774835</v>
          </cell>
          <cell r="Z125">
            <v>149.05043990408331</v>
          </cell>
          <cell r="AA125">
            <v>80.668255116129785</v>
          </cell>
          <cell r="AC125">
            <v>122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AZ125">
            <v>122</v>
          </cell>
          <cell r="BA125">
            <v>39.358361607784026</v>
          </cell>
          <cell r="BB125">
            <v>40.8682824677594</v>
          </cell>
          <cell r="BC125">
            <v>42.803549244433754</v>
          </cell>
          <cell r="BD125">
            <v>45.534489353169384</v>
          </cell>
          <cell r="BE125">
            <v>50.233062367693357</v>
          </cell>
          <cell r="BI125">
            <v>122</v>
          </cell>
          <cell r="BJ125">
            <v>3.4999999999999978</v>
          </cell>
          <cell r="BK125">
            <v>3.5699999999999976</v>
          </cell>
          <cell r="BL125">
            <v>3.7099999999999977</v>
          </cell>
          <cell r="BM125">
            <v>3.9899999999999971</v>
          </cell>
          <cell r="BN125">
            <v>4.8999999999999968</v>
          </cell>
          <cell r="BW125">
            <v>122</v>
          </cell>
          <cell r="BX125">
            <v>64.144650363204718</v>
          </cell>
          <cell r="BY125">
            <v>64.534793164008732</v>
          </cell>
          <cell r="BZ125">
            <v>64.975224641839446</v>
          </cell>
          <cell r="CA125">
            <v>65.421609454055499</v>
          </cell>
          <cell r="CB125">
            <v>65.948748404290441</v>
          </cell>
          <cell r="CC125">
            <v>65.948748404290441</v>
          </cell>
        </row>
        <row r="126">
          <cell r="F126">
            <v>124</v>
          </cell>
          <cell r="G126">
            <v>5403.704402525771</v>
          </cell>
          <cell r="N126">
            <v>133</v>
          </cell>
          <cell r="O126">
            <v>123</v>
          </cell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V126">
            <v>123</v>
          </cell>
          <cell r="W126">
            <v>337.69905499292599</v>
          </cell>
          <cell r="X126">
            <v>286.40256853950041</v>
          </cell>
          <cell r="Y126">
            <v>236.11737169480375</v>
          </cell>
          <cell r="Z126">
            <v>171.61210852958766</v>
          </cell>
          <cell r="AA126">
            <v>92.406884874514162</v>
          </cell>
          <cell r="AC126">
            <v>123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AZ126">
            <v>123</v>
          </cell>
          <cell r="BA126">
            <v>39.41239431449695</v>
          </cell>
          <cell r="BB126">
            <v>40.926556458884193</v>
          </cell>
          <cell r="BC126">
            <v>42.861403835978855</v>
          </cell>
          <cell r="BD126">
            <v>45.590281561224643</v>
          </cell>
          <cell r="BE126">
            <v>50.286578410791719</v>
          </cell>
          <cell r="BI126">
            <v>123</v>
          </cell>
          <cell r="BJ126">
            <v>3.4999999999999978</v>
          </cell>
          <cell r="BK126">
            <v>3.5699999999999976</v>
          </cell>
          <cell r="BL126">
            <v>3.7099999999999977</v>
          </cell>
          <cell r="BM126">
            <v>3.9899999999999971</v>
          </cell>
          <cell r="BN126">
            <v>4.8999999999999968</v>
          </cell>
          <cell r="BW126">
            <v>123</v>
          </cell>
          <cell r="BX126">
            <v>64.610477430073331</v>
          </cell>
          <cell r="BY126">
            <v>65.024741214672602</v>
          </cell>
          <cell r="BZ126">
            <v>65.447726095039712</v>
          </cell>
          <cell r="CA126">
            <v>65.933069314785968</v>
          </cell>
          <cell r="CB126">
            <v>66.431751354934946</v>
          </cell>
          <cell r="CC126">
            <v>66.431751354934946</v>
          </cell>
        </row>
        <row r="127">
          <cell r="F127">
            <v>125</v>
          </cell>
          <cell r="G127">
            <v>5791.6187514801986</v>
          </cell>
          <cell r="N127">
            <v>134</v>
          </cell>
          <cell r="O127">
            <v>124</v>
          </cell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V127">
            <v>124</v>
          </cell>
          <cell r="W127">
            <v>361.93688546499288</v>
          </cell>
          <cell r="X127">
            <v>315.6045996069015</v>
          </cell>
          <cell r="Y127">
            <v>251.44586425368334</v>
          </cell>
          <cell r="Z127">
            <v>181.30249585056754</v>
          </cell>
          <cell r="AA127">
            <v>99.365054757182861</v>
          </cell>
          <cell r="AC127">
            <v>124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AZ127">
            <v>124</v>
          </cell>
          <cell r="BA127">
            <v>39.466427021209874</v>
          </cell>
          <cell r="BB127">
            <v>40.984830450008978</v>
          </cell>
          <cell r="BC127">
            <v>42.919258427523964</v>
          </cell>
          <cell r="BD127">
            <v>45.646073769279901</v>
          </cell>
          <cell r="BE127">
            <v>50.340094453890082</v>
          </cell>
          <cell r="BI127">
            <v>124</v>
          </cell>
          <cell r="BJ127">
            <v>3.4999999999999978</v>
          </cell>
          <cell r="BK127">
            <v>3.5699999999999976</v>
          </cell>
          <cell r="BL127">
            <v>3.7099999999999977</v>
          </cell>
          <cell r="BM127">
            <v>3.9899999999999971</v>
          </cell>
          <cell r="BN127">
            <v>4.8999999999999968</v>
          </cell>
          <cell r="BW127">
            <v>124</v>
          </cell>
          <cell r="BX127">
            <v>65.094839190509248</v>
          </cell>
          <cell r="BY127">
            <v>65.495043356939604</v>
          </cell>
          <cell r="BZ127">
            <v>65.947319695259623</v>
          </cell>
          <cell r="CA127">
            <v>66.409155912065103</v>
          </cell>
          <cell r="CB127">
            <v>66.943644127984214</v>
          </cell>
          <cell r="CC127">
            <v>66.943644127984214</v>
          </cell>
        </row>
        <row r="128">
          <cell r="F128">
            <v>126</v>
          </cell>
          <cell r="G128">
            <v>6207.3750564265865</v>
          </cell>
          <cell r="N128">
            <v>135</v>
          </cell>
          <cell r="O128">
            <v>125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V128">
            <v>125</v>
          </cell>
          <cell r="W128">
            <v>387.91434895442762</v>
          </cell>
          <cell r="X128">
            <v>327.29417480598568</v>
          </cell>
          <cell r="Y128">
            <v>268.76146555597006</v>
          </cell>
          <cell r="Z128">
            <v>192.42534097830639</v>
          </cell>
          <cell r="AA128">
            <v>94.104455049135595</v>
          </cell>
          <cell r="AC128">
            <v>125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AZ128">
            <v>125</v>
          </cell>
          <cell r="BA128">
            <v>39.520459727922798</v>
          </cell>
          <cell r="BB128">
            <v>41.037193447861313</v>
          </cell>
          <cell r="BC128">
            <v>42.977113019069073</v>
          </cell>
          <cell r="BD128">
            <v>45.701865977335167</v>
          </cell>
          <cell r="BE128">
            <v>50.393610496988437</v>
          </cell>
          <cell r="BI128">
            <v>125</v>
          </cell>
          <cell r="BJ128">
            <v>3.4999999999999978</v>
          </cell>
          <cell r="BK128">
            <v>3.5699999999999976</v>
          </cell>
          <cell r="BL128">
            <v>3.7099999999999977</v>
          </cell>
          <cell r="BM128">
            <v>3.9899999999999971</v>
          </cell>
          <cell r="BN128">
            <v>4.8999999999999968</v>
          </cell>
          <cell r="BW128">
            <v>125</v>
          </cell>
          <cell r="BX128">
            <v>65.557283526381681</v>
          </cell>
          <cell r="BY128">
            <v>65.98276486592421</v>
          </cell>
          <cell r="BZ128">
            <v>66.4159903320772</v>
          </cell>
          <cell r="CA128">
            <v>66.904808743128513</v>
          </cell>
          <cell r="CB128">
            <v>67.370305760801529</v>
          </cell>
          <cell r="CC128">
            <v>67.370305760801529</v>
          </cell>
        </row>
        <row r="129">
          <cell r="F129">
            <v>127</v>
          </cell>
          <cell r="G129">
            <v>6652.971630950271</v>
          </cell>
          <cell r="N129">
            <v>136</v>
          </cell>
          <cell r="O129">
            <v>126</v>
          </cell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V129">
            <v>126</v>
          </cell>
          <cell r="W129">
            <v>415.7563049463879</v>
          </cell>
          <cell r="X129">
            <v>360.55067985867936</v>
          </cell>
          <cell r="Y129">
            <v>285.94270178324041</v>
          </cell>
          <cell r="Z129">
            <v>190.38827848821802</v>
          </cell>
          <cell r="AA129">
            <v>100.31808112616886</v>
          </cell>
          <cell r="AC129">
            <v>126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AZ129">
            <v>126</v>
          </cell>
          <cell r="BA129">
            <v>39.574492434635722</v>
          </cell>
          <cell r="BB129">
            <v>41.087476216725996</v>
          </cell>
          <cell r="BC129">
            <v>43.030177309109042</v>
          </cell>
          <cell r="BD129">
            <v>45.757658185390426</v>
          </cell>
          <cell r="BE129">
            <v>50.447126540086799</v>
          </cell>
          <cell r="BI129">
            <v>126</v>
          </cell>
          <cell r="BJ129">
            <v>3.4999999999999978</v>
          </cell>
          <cell r="BK129">
            <v>3.5699999999999976</v>
          </cell>
          <cell r="BL129">
            <v>3.7099999999999977</v>
          </cell>
          <cell r="BM129">
            <v>3.9899999999999971</v>
          </cell>
          <cell r="BN129">
            <v>4.8999999999999968</v>
          </cell>
          <cell r="BW129">
            <v>126</v>
          </cell>
          <cell r="BX129">
            <v>66.045736622847244</v>
          </cell>
          <cell r="BY129">
            <v>66.44946074184756</v>
          </cell>
          <cell r="BZ129">
            <v>66.907014743381254</v>
          </cell>
          <cell r="CA129">
            <v>67.341591574598297</v>
          </cell>
          <cell r="CB129">
            <v>67.816988171637291</v>
          </cell>
          <cell r="CC129">
            <v>67.816988171637291</v>
          </cell>
        </row>
        <row r="130">
          <cell r="F130">
            <v>128</v>
          </cell>
          <cell r="G130">
            <v>7130.5502145218443</v>
          </cell>
          <cell r="N130">
            <v>137</v>
          </cell>
          <cell r="O130">
            <v>127</v>
          </cell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V130">
            <v>127</v>
          </cell>
          <cell r="W130">
            <v>445.59657452368447</v>
          </cell>
          <cell r="X130">
            <v>378.97988663239357</v>
          </cell>
          <cell r="Y130">
            <v>282.73793587977889</v>
          </cell>
          <cell r="Z130">
            <v>196.55336296951691</v>
          </cell>
          <cell r="AA130">
            <v>109.60007696358844</v>
          </cell>
          <cell r="AC130">
            <v>127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AZ130">
            <v>127</v>
          </cell>
          <cell r="BA130">
            <v>39.628525141348646</v>
          </cell>
          <cell r="BB130">
            <v>41.137758985590679</v>
          </cell>
          <cell r="BC130">
            <v>43.080106253688569</v>
          </cell>
          <cell r="BD130">
            <v>45.813450393445684</v>
          </cell>
          <cell r="BE130">
            <v>50.500642583185162</v>
          </cell>
          <cell r="BI130">
            <v>127</v>
          </cell>
          <cell r="BJ130">
            <v>3.4999999999999978</v>
          </cell>
          <cell r="BK130">
            <v>3.5699999999999976</v>
          </cell>
          <cell r="BL130">
            <v>3.7099999999999977</v>
          </cell>
          <cell r="BM130">
            <v>3.9899999999999971</v>
          </cell>
          <cell r="BN130">
            <v>4.8999999999999968</v>
          </cell>
          <cell r="BW130">
            <v>127</v>
          </cell>
          <cell r="BX130">
            <v>66.504847055084383</v>
          </cell>
          <cell r="BY130">
            <v>66.937552520119667</v>
          </cell>
          <cell r="BZ130">
            <v>67.339276425805934</v>
          </cell>
          <cell r="CA130">
            <v>67.779184324795935</v>
          </cell>
          <cell r="CB130">
            <v>68.263631118638116</v>
          </cell>
          <cell r="CC130">
            <v>68.263631118638116</v>
          </cell>
        </row>
        <row r="131">
          <cell r="F131">
            <v>129</v>
          </cell>
          <cell r="G131">
            <v>7642.4062666695281</v>
          </cell>
          <cell r="N131">
            <v>138</v>
          </cell>
          <cell r="O131">
            <v>128</v>
          </cell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V131">
            <v>128</v>
          </cell>
          <cell r="W131">
            <v>477.57858357157329</v>
          </cell>
          <cell r="X131">
            <v>377.65838446953512</v>
          </cell>
          <cell r="Y131">
            <v>297.2719702927252</v>
          </cell>
          <cell r="Z131">
            <v>215.69298756066883</v>
          </cell>
          <cell r="AA131">
            <v>119.17573372453876</v>
          </cell>
          <cell r="AC131">
            <v>128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AZ131">
            <v>128</v>
          </cell>
          <cell r="BA131">
            <v>39.68255784806157</v>
          </cell>
          <cell r="BB131">
            <v>41.188041754455355</v>
          </cell>
          <cell r="BC131">
            <v>43.130035198268104</v>
          </cell>
          <cell r="BD131">
            <v>45.869242601500943</v>
          </cell>
          <cell r="BE131">
            <v>50.554158626283517</v>
          </cell>
          <cell r="BI131">
            <v>128</v>
          </cell>
          <cell r="BJ131">
            <v>3.4999999999999978</v>
          </cell>
          <cell r="BK131">
            <v>3.5699999999999976</v>
          </cell>
          <cell r="BL131">
            <v>3.7099999999999977</v>
          </cell>
          <cell r="BM131">
            <v>3.9899999999999971</v>
          </cell>
          <cell r="BN131">
            <v>4.8999999999999968</v>
          </cell>
          <cell r="BW131">
            <v>128</v>
          </cell>
          <cell r="BX131">
            <v>66.996909432729709</v>
          </cell>
          <cell r="BY131">
            <v>67.366421618366019</v>
          </cell>
          <cell r="BZ131">
            <v>67.780493532013153</v>
          </cell>
          <cell r="CA131">
            <v>68.224205790273416</v>
          </cell>
          <cell r="CB131">
            <v>68.722305062357819</v>
          </cell>
          <cell r="CC131">
            <v>68.722305062357819</v>
          </cell>
        </row>
        <row r="132">
          <cell r="F132">
            <v>130</v>
          </cell>
          <cell r="G132">
            <v>8191</v>
          </cell>
          <cell r="N132">
            <v>139</v>
          </cell>
          <cell r="O132">
            <v>129</v>
          </cell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V132">
            <v>129</v>
          </cell>
          <cell r="W132">
            <v>511.85605214768384</v>
          </cell>
          <cell r="X132">
            <v>433.28614814301454</v>
          </cell>
          <cell r="Y132">
            <v>353.39762604087537</v>
          </cell>
          <cell r="Z132">
            <v>257.6628270314859</v>
          </cell>
          <cell r="AA132">
            <v>136.59311960888931</v>
          </cell>
          <cell r="AC132">
            <v>129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AZ132">
            <v>129</v>
          </cell>
          <cell r="BA132">
            <v>39.736590554774494</v>
          </cell>
          <cell r="BB132">
            <v>41.238324523320038</v>
          </cell>
          <cell r="BC132">
            <v>43.179964142847631</v>
          </cell>
          <cell r="BD132">
            <v>45.925034809556202</v>
          </cell>
          <cell r="BE132">
            <v>50.607674669381879</v>
          </cell>
          <cell r="BI132">
            <v>129</v>
          </cell>
          <cell r="BJ132">
            <v>3.4999999999999978</v>
          </cell>
          <cell r="BK132">
            <v>3.5699999999999976</v>
          </cell>
          <cell r="BL132">
            <v>3.7099999999999977</v>
          </cell>
          <cell r="BM132">
            <v>3.9899999999999971</v>
          </cell>
          <cell r="BN132">
            <v>4.8999999999999968</v>
          </cell>
          <cell r="BW132">
            <v>129</v>
          </cell>
          <cell r="BX132">
            <v>67.453153062113969</v>
          </cell>
          <cell r="BY132">
            <v>67.848740705467691</v>
          </cell>
          <cell r="BZ132">
            <v>68.263642627369293</v>
          </cell>
          <cell r="CA132">
            <v>68.720041734936714</v>
          </cell>
          <cell r="CB132">
            <v>69.214384865866279</v>
          </cell>
          <cell r="CC132">
            <v>69.214384865866279</v>
          </cell>
        </row>
        <row r="133">
          <cell r="F133">
            <v>131</v>
          </cell>
          <cell r="G133">
            <v>8778.9682050973151</v>
          </cell>
          <cell r="N133">
            <v>140</v>
          </cell>
          <cell r="O133">
            <v>130</v>
          </cell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V133">
            <v>130</v>
          </cell>
          <cell r="W133">
            <v>548.59373333047188</v>
          </cell>
          <cell r="X133">
            <v>472.57559526424484</v>
          </cell>
          <cell r="Y133">
            <v>382.6421293714011</v>
          </cell>
          <cell r="Z133">
            <v>274.57674510528977</v>
          </cell>
          <cell r="AA133">
            <v>149.18338006592717</v>
          </cell>
          <cell r="AC133">
            <v>130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AZ133">
            <v>130</v>
          </cell>
          <cell r="BA133">
            <v>39.790623261487418</v>
          </cell>
          <cell r="BB133">
            <v>41.288607292184714</v>
          </cell>
          <cell r="BC133">
            <v>43.229893087427158</v>
          </cell>
          <cell r="BD133">
            <v>45.98082701761146</v>
          </cell>
          <cell r="BE133">
            <v>50.661190712480241</v>
          </cell>
          <cell r="BI133">
            <v>130</v>
          </cell>
          <cell r="BJ133">
            <v>3.4999999999999978</v>
          </cell>
          <cell r="BK133">
            <v>3.5699999999999976</v>
          </cell>
          <cell r="BL133">
            <v>3.7099999999999977</v>
          </cell>
          <cell r="BM133">
            <v>3.9899999999999971</v>
          </cell>
          <cell r="BN133">
            <v>4.8999999999999968</v>
          </cell>
          <cell r="BW133">
            <v>130</v>
          </cell>
          <cell r="BX133">
            <v>67.941693450092984</v>
          </cell>
          <cell r="BY133">
            <v>68.323959633193709</v>
          </cell>
          <cell r="BZ133">
            <v>68.754536673852911</v>
          </cell>
          <cell r="CA133">
            <v>69.214741439167099</v>
          </cell>
          <cell r="CB133">
            <v>69.710697401213693</v>
          </cell>
          <cell r="CC133">
            <v>69.710697401213693</v>
          </cell>
        </row>
        <row r="134">
          <cell r="F134">
            <v>132</v>
          </cell>
          <cell r="G134">
            <v>9409.1369241357042</v>
          </cell>
          <cell r="N134">
            <v>141</v>
          </cell>
          <cell r="O134">
            <v>131</v>
          </cell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V134">
            <v>131</v>
          </cell>
          <cell r="W134">
            <v>587.96820509731515</v>
          </cell>
          <cell r="X134">
            <v>501.81464110201341</v>
          </cell>
          <cell r="Y134">
            <v>403.08666849190195</v>
          </cell>
          <cell r="Z134">
            <v>293.29272716455171</v>
          </cell>
          <cell r="AA134">
            <v>150.76315876122362</v>
          </cell>
          <cell r="AC134">
            <v>131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AZ134">
            <v>131</v>
          </cell>
          <cell r="BA134">
            <v>39.844655968200342</v>
          </cell>
          <cell r="BB134">
            <v>41.338890061049398</v>
          </cell>
          <cell r="BC134">
            <v>43.279822032006692</v>
          </cell>
          <cell r="BD134">
            <v>46.031609894814238</v>
          </cell>
          <cell r="BE134">
            <v>50.714706755578604</v>
          </cell>
          <cell r="BI134">
            <v>131</v>
          </cell>
          <cell r="BJ134">
            <v>3.4999999999999978</v>
          </cell>
          <cell r="BK134">
            <v>3.5699999999999976</v>
          </cell>
          <cell r="BL134">
            <v>3.7099999999999977</v>
          </cell>
          <cell r="BM134">
            <v>3.9899999999999971</v>
          </cell>
          <cell r="BN134">
            <v>4.8999999999999968</v>
          </cell>
          <cell r="BW134">
            <v>131</v>
          </cell>
          <cell r="BX134">
            <v>68.402186838509962</v>
          </cell>
          <cell r="BY134">
            <v>68.806795553848815</v>
          </cell>
          <cell r="BZ134">
            <v>69.234824229174819</v>
          </cell>
          <cell r="CA134">
            <v>69.702613670489626</v>
          </cell>
          <cell r="CB134">
            <v>70.183493178644127</v>
          </cell>
          <cell r="CC134">
            <v>70.183493178644127</v>
          </cell>
        </row>
        <row r="135">
          <cell r="F135">
            <v>133</v>
          </cell>
          <cell r="G135">
            <v>10084.535034121556</v>
          </cell>
          <cell r="N135">
            <v>142</v>
          </cell>
          <cell r="O135">
            <v>132</v>
          </cell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V135">
            <v>132</v>
          </cell>
          <cell r="W135">
            <v>630.1687190383891</v>
          </cell>
          <cell r="X135">
            <v>539.96553902713185</v>
          </cell>
          <cell r="Y135">
            <v>440.86396191899985</v>
          </cell>
          <cell r="Z135">
            <v>299.98200719299348</v>
          </cell>
          <cell r="AA135">
            <v>155.81242243544239</v>
          </cell>
          <cell r="AC135">
            <v>132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AZ135">
            <v>132</v>
          </cell>
          <cell r="BA135">
            <v>39.898688674913267</v>
          </cell>
          <cell r="BB135">
            <v>41.389172829914081</v>
          </cell>
          <cell r="BC135">
            <v>43.329750976586219</v>
          </cell>
          <cell r="BD135">
            <v>46.079770001861057</v>
          </cell>
          <cell r="BE135">
            <v>50.768222798676959</v>
          </cell>
          <cell r="BI135">
            <v>132</v>
          </cell>
          <cell r="BJ135">
            <v>3.4999999999999978</v>
          </cell>
          <cell r="BK135">
            <v>3.5699999999999976</v>
          </cell>
          <cell r="BL135">
            <v>3.7099999999999977</v>
          </cell>
          <cell r="BM135">
            <v>3.9899999999999971</v>
          </cell>
          <cell r="BN135">
            <v>4.8999999999999968</v>
          </cell>
          <cell r="BW135">
            <v>132</v>
          </cell>
          <cell r="BX135">
            <v>68.887255337837544</v>
          </cell>
          <cell r="BY135">
            <v>69.282090336127212</v>
          </cell>
          <cell r="BZ135">
            <v>69.723722100118692</v>
          </cell>
          <cell r="CA135">
            <v>70.174284544754997</v>
          </cell>
          <cell r="CB135">
            <v>70.631595403974814</v>
          </cell>
          <cell r="CC135">
            <v>70.631595403974814</v>
          </cell>
        </row>
        <row r="136">
          <cell r="F136">
            <v>134</v>
          </cell>
          <cell r="G136">
            <v>10808.408805051544</v>
          </cell>
          <cell r="N136">
            <v>143</v>
          </cell>
          <cell r="O136">
            <v>133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V136">
            <v>133</v>
          </cell>
          <cell r="W136">
            <v>675.39810998585199</v>
          </cell>
          <cell r="X136">
            <v>579.12601734346754</v>
          </cell>
          <cell r="Y136">
            <v>441.24898768939238</v>
          </cell>
          <cell r="Z136">
            <v>303.02285654468687</v>
          </cell>
          <cell r="AA136">
            <v>164.4383365862227</v>
          </cell>
          <cell r="AC136">
            <v>133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AZ136">
            <v>133</v>
          </cell>
          <cell r="BA136">
            <v>39.952721381626191</v>
          </cell>
          <cell r="BB136">
            <v>41.439455598778757</v>
          </cell>
          <cell r="BC136">
            <v>43.379679921165753</v>
          </cell>
          <cell r="BD136">
            <v>46.127930108907876</v>
          </cell>
          <cell r="BE136">
            <v>50.821738841775321</v>
          </cell>
          <cell r="BI136">
            <v>133</v>
          </cell>
          <cell r="BJ136">
            <v>3.4999999999999978</v>
          </cell>
          <cell r="BK136">
            <v>3.5699999999999976</v>
          </cell>
          <cell r="BL136">
            <v>3.7099999999999977</v>
          </cell>
          <cell r="BM136">
            <v>3.9899999999999971</v>
          </cell>
          <cell r="BN136">
            <v>4.8999999999999968</v>
          </cell>
          <cell r="BW136">
            <v>133</v>
          </cell>
          <cell r="BX136">
            <v>69.351933936401693</v>
          </cell>
          <cell r="BY136">
            <v>69.763758437872809</v>
          </cell>
          <cell r="BZ136">
            <v>70.18416857784301</v>
          </cell>
          <cell r="CA136">
            <v>70.61001750564904</v>
          </cell>
          <cell r="CB136">
            <v>71.090343829912982</v>
          </cell>
          <cell r="CC136">
            <v>71.090343829912982</v>
          </cell>
        </row>
        <row r="137">
          <cell r="F137">
            <v>135</v>
          </cell>
          <cell r="G137">
            <v>11584.237502960397</v>
          </cell>
          <cell r="N137">
            <v>144</v>
          </cell>
          <cell r="O137">
            <v>134</v>
          </cell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V137">
            <v>134</v>
          </cell>
          <cell r="W137">
            <v>723.87377092998759</v>
          </cell>
          <cell r="X137">
            <v>588.70103776452925</v>
          </cell>
          <cell r="Y137">
            <v>456.55647562394188</v>
          </cell>
          <cell r="Z137">
            <v>327.43014495644729</v>
          </cell>
          <cell r="AA137">
            <v>179.84006335434742</v>
          </cell>
          <cell r="AC137">
            <v>134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AZ137">
            <v>134</v>
          </cell>
          <cell r="BA137">
            <v>40.005827399112476</v>
          </cell>
          <cell r="BB137">
            <v>41.48973836764344</v>
          </cell>
          <cell r="BC137">
            <v>43.42960886574528</v>
          </cell>
          <cell r="BD137">
            <v>46.176090215954694</v>
          </cell>
          <cell r="BE137">
            <v>50.875254884873684</v>
          </cell>
          <cell r="BI137">
            <v>134</v>
          </cell>
          <cell r="BJ137">
            <v>3.4999999999999978</v>
          </cell>
          <cell r="BK137">
            <v>3.5699999999999976</v>
          </cell>
          <cell r="BL137">
            <v>3.7099999999999977</v>
          </cell>
          <cell r="BM137">
            <v>3.9899999999999971</v>
          </cell>
          <cell r="BN137">
            <v>4.8999999999999968</v>
          </cell>
          <cell r="BW137">
            <v>134</v>
          </cell>
          <cell r="BX137">
            <v>69.833579581329417</v>
          </cell>
          <cell r="BY137">
            <v>70.219043358665743</v>
          </cell>
          <cell r="BZ137">
            <v>70.621840083786836</v>
          </cell>
          <cell r="CA137">
            <v>71.069891702784773</v>
          </cell>
          <cell r="CB137">
            <v>71.537462736334334</v>
          </cell>
          <cell r="CC137">
            <v>71.537462736334334</v>
          </cell>
        </row>
        <row r="138">
          <cell r="F138">
            <v>136</v>
          </cell>
          <cell r="G138">
            <v>12415.750112853173</v>
          </cell>
          <cell r="N138">
            <v>145</v>
          </cell>
          <cell r="O138">
            <v>135</v>
          </cell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V138">
            <v>135</v>
          </cell>
          <cell r="W138">
            <v>775.82869790885343</v>
          </cell>
          <cell r="X138">
            <v>645.30992101646552</v>
          </cell>
          <cell r="Y138">
            <v>512.40514576811165</v>
          </cell>
          <cell r="Z138">
            <v>373.78362805935103</v>
          </cell>
          <cell r="AA138">
            <v>203.86650462417765</v>
          </cell>
          <cell r="AC138">
            <v>135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AZ138">
            <v>135</v>
          </cell>
          <cell r="BA138">
            <v>40.052446592012309</v>
          </cell>
          <cell r="BB138">
            <v>41.540021136508116</v>
          </cell>
          <cell r="BC138">
            <v>43.479537810324814</v>
          </cell>
          <cell r="BD138">
            <v>46.224250323001513</v>
          </cell>
          <cell r="BE138">
            <v>50.928770927972039</v>
          </cell>
          <cell r="BI138">
            <v>135</v>
          </cell>
          <cell r="BJ138">
            <v>3.4999999999999978</v>
          </cell>
          <cell r="BK138">
            <v>3.5699999999999976</v>
          </cell>
          <cell r="BL138">
            <v>3.7099999999999977</v>
          </cell>
          <cell r="BM138">
            <v>3.9899999999999971</v>
          </cell>
          <cell r="BN138">
            <v>4.8999999999999968</v>
          </cell>
          <cell r="BW138">
            <v>135</v>
          </cell>
          <cell r="BX138">
            <v>70.302380180961919</v>
          </cell>
          <cell r="BY138">
            <v>70.68300638407095</v>
          </cell>
          <cell r="BZ138">
            <v>71.09773107342663</v>
          </cell>
          <cell r="CA138">
            <v>71.534542692944868</v>
          </cell>
          <cell r="CB138">
            <v>72.038312955064598</v>
          </cell>
          <cell r="CC138">
            <v>72.038312955064598</v>
          </cell>
        </row>
        <row r="139">
          <cell r="F139">
            <v>137</v>
          </cell>
          <cell r="G139">
            <v>13306.943261900544</v>
          </cell>
          <cell r="N139">
            <v>146</v>
          </cell>
          <cell r="O139">
            <v>136</v>
          </cell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V139">
            <v>136</v>
          </cell>
          <cell r="W139">
            <v>831.5126098927758</v>
          </cell>
          <cell r="X139">
            <v>710.65966425403349</v>
          </cell>
          <cell r="Y139">
            <v>588.16421171740058</v>
          </cell>
          <cell r="Z139">
            <v>418.1597403192045</v>
          </cell>
          <cell r="AA139">
            <v>225.03921836599011</v>
          </cell>
          <cell r="AC139">
            <v>136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AZ139">
            <v>136</v>
          </cell>
          <cell r="BA139">
            <v>40.099065784912149</v>
          </cell>
          <cell r="BB139">
            <v>41.590303905372799</v>
          </cell>
          <cell r="BC139">
            <v>43.529466754904341</v>
          </cell>
          <cell r="BD139">
            <v>46.272410430048332</v>
          </cell>
          <cell r="BE139">
            <v>50.982286971070401</v>
          </cell>
          <cell r="BI139">
            <v>136</v>
          </cell>
          <cell r="BJ139">
            <v>3.4999999999999978</v>
          </cell>
          <cell r="BK139">
            <v>3.5699999999999976</v>
          </cell>
          <cell r="BL139">
            <v>3.7099999999999977</v>
          </cell>
          <cell r="BM139">
            <v>3.9899999999999971</v>
          </cell>
          <cell r="BN139">
            <v>4.8999999999999968</v>
          </cell>
          <cell r="BW139">
            <v>136</v>
          </cell>
          <cell r="BX139">
            <v>70.780650969721208</v>
          </cell>
          <cell r="BY139">
            <v>71.167672232752054</v>
          </cell>
          <cell r="BZ139">
            <v>71.585162950829655</v>
          </cell>
          <cell r="CA139">
            <v>72.046994133534497</v>
          </cell>
          <cell r="CB139">
            <v>72.52201443082113</v>
          </cell>
          <cell r="CC139">
            <v>72.52201443082113</v>
          </cell>
        </row>
        <row r="140">
          <cell r="F140">
            <v>138</v>
          </cell>
          <cell r="G140">
            <v>14262.10042904369</v>
          </cell>
          <cell r="N140">
            <v>147</v>
          </cell>
          <cell r="O140">
            <v>137</v>
          </cell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V140">
            <v>137</v>
          </cell>
          <cell r="W140">
            <v>891.19314904737075</v>
          </cell>
          <cell r="X140">
            <v>767.52370530068947</v>
          </cell>
          <cell r="Y140">
            <v>611.13759383501929</v>
          </cell>
          <cell r="Z140">
            <v>440.28367636787698</v>
          </cell>
          <cell r="AA140">
            <v>234.00903474769666</v>
          </cell>
          <cell r="AC140">
            <v>137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AZ140">
            <v>137</v>
          </cell>
          <cell r="BA140">
            <v>40.145684977811982</v>
          </cell>
          <cell r="BB140">
            <v>41.640586674237483</v>
          </cell>
          <cell r="BC140">
            <v>43.579395699483875</v>
          </cell>
          <cell r="BD140">
            <v>46.320570537095151</v>
          </cell>
          <cell r="BE140">
            <v>51.030916192165336</v>
          </cell>
          <cell r="BI140">
            <v>137</v>
          </cell>
          <cell r="BJ140">
            <v>3.4999999999999978</v>
          </cell>
          <cell r="BK140">
            <v>3.5699999999999976</v>
          </cell>
          <cell r="BL140">
            <v>3.7099999999999977</v>
          </cell>
          <cell r="BM140">
            <v>3.9899999999999971</v>
          </cell>
          <cell r="BN140">
            <v>4.8999999999999968</v>
          </cell>
          <cell r="BW140">
            <v>137</v>
          </cell>
          <cell r="BX140">
            <v>71.253511678983699</v>
          </cell>
          <cell r="BY140">
            <v>71.64472716890711</v>
          </cell>
          <cell r="BZ140">
            <v>72.079220511445328</v>
          </cell>
          <cell r="CA140">
            <v>72.52016913289016</v>
          </cell>
          <cell r="CB140">
            <v>73.021610706471975</v>
          </cell>
          <cell r="CC140">
            <v>73.021610706471975</v>
          </cell>
        </row>
        <row r="141">
          <cell r="F141">
            <v>139</v>
          </cell>
          <cell r="G141">
            <v>15285.812533339058</v>
          </cell>
          <cell r="N141">
            <v>148</v>
          </cell>
          <cell r="O141">
            <v>138</v>
          </cell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V141">
            <v>138</v>
          </cell>
          <cell r="W141">
            <v>955.15716714314658</v>
          </cell>
          <cell r="X141">
            <v>809.30466772038926</v>
          </cell>
          <cell r="Y141">
            <v>652.81729520328918</v>
          </cell>
          <cell r="Z141">
            <v>464.18680610813772</v>
          </cell>
          <cell r="AA141">
            <v>232.55051156074524</v>
          </cell>
          <cell r="AC141">
            <v>138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AZ141">
            <v>138</v>
          </cell>
          <cell r="BA141">
            <v>40.192304170711814</v>
          </cell>
          <cell r="BB141">
            <v>41.690869443102159</v>
          </cell>
          <cell r="BC141">
            <v>43.629324644063402</v>
          </cell>
          <cell r="BD141">
            <v>46.368730644141969</v>
          </cell>
          <cell r="BE141">
            <v>51.077127728003028</v>
          </cell>
          <cell r="BI141">
            <v>138</v>
          </cell>
          <cell r="BJ141">
            <v>3.4999999999999978</v>
          </cell>
          <cell r="BK141">
            <v>3.5699999999999976</v>
          </cell>
          <cell r="BL141">
            <v>3.7099999999999977</v>
          </cell>
          <cell r="BM141">
            <v>3.9899999999999971</v>
          </cell>
          <cell r="BN141">
            <v>4.8999999999999968</v>
          </cell>
          <cell r="BW141">
            <v>138</v>
          </cell>
          <cell r="BX141">
            <v>71.728454603344318</v>
          </cell>
          <cell r="BY141">
            <v>72.127736001811627</v>
          </cell>
          <cell r="BZ141">
            <v>72.546944450679874</v>
          </cell>
          <cell r="CA141">
            <v>73.016455431801333</v>
          </cell>
          <cell r="CB141">
            <v>73.453766032826792</v>
          </cell>
          <cell r="CC141">
            <v>73.453766032826792</v>
          </cell>
        </row>
        <row r="142">
          <cell r="F142">
            <v>140</v>
          </cell>
          <cell r="G142">
            <v>16383</v>
          </cell>
          <cell r="N142">
            <v>149</v>
          </cell>
          <cell r="O142">
            <v>139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V142">
            <v>139</v>
          </cell>
          <cell r="W142">
            <v>1023.7121042953677</v>
          </cell>
          <cell r="X142">
            <v>873.50559098279882</v>
          </cell>
          <cell r="Y142">
            <v>694.06981980915043</v>
          </cell>
          <cell r="Z142">
            <v>464.18144803616451</v>
          </cell>
          <cell r="AA142">
            <v>249.74626436562266</v>
          </cell>
          <cell r="AC142">
            <v>139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AZ142">
            <v>139</v>
          </cell>
          <cell r="BA142">
            <v>40.238923363611647</v>
          </cell>
          <cell r="BB142">
            <v>41.741152211966842</v>
          </cell>
          <cell r="BC142">
            <v>43.679253588642929</v>
          </cell>
          <cell r="BD142">
            <v>46.416890751188788</v>
          </cell>
          <cell r="BE142">
            <v>51.12333926384072</v>
          </cell>
          <cell r="BI142">
            <v>139</v>
          </cell>
          <cell r="BJ142">
            <v>3.4999999999999978</v>
          </cell>
          <cell r="BK142">
            <v>3.5699999999999976</v>
          </cell>
          <cell r="BL142">
            <v>3.7099999999999977</v>
          </cell>
          <cell r="BM142">
            <v>3.9899999999999971</v>
          </cell>
          <cell r="BN142">
            <v>4.8999999999999968</v>
          </cell>
          <cell r="BW142">
            <v>139</v>
          </cell>
          <cell r="BX142">
            <v>72.205314824634726</v>
          </cell>
          <cell r="BY142">
            <v>72.597116346388717</v>
          </cell>
          <cell r="BZ142">
            <v>73.038235529163615</v>
          </cell>
          <cell r="CA142">
            <v>73.447756321697511</v>
          </cell>
          <cell r="CB142">
            <v>73.91787672283759</v>
          </cell>
          <cell r="CC142">
            <v>73.91787672283759</v>
          </cell>
        </row>
        <row r="143">
          <cell r="F143">
            <v>141</v>
          </cell>
          <cell r="G143">
            <v>17558.936410194601</v>
          </cell>
          <cell r="N143">
            <v>150</v>
          </cell>
          <cell r="O143">
            <v>140</v>
          </cell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V143">
            <v>140</v>
          </cell>
          <cell r="W143">
            <v>1097.1874666609419</v>
          </cell>
          <cell r="X143">
            <v>923.53261548848241</v>
          </cell>
          <cell r="Y143">
            <v>694.84633994279284</v>
          </cell>
          <cell r="Z143">
            <v>492.1359652505862</v>
          </cell>
          <cell r="AA143">
            <v>271.59878519853146</v>
          </cell>
          <cell r="AC143">
            <v>140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AZ143">
            <v>140</v>
          </cell>
          <cell r="BA143">
            <v>40.28554255651148</v>
          </cell>
          <cell r="BB143">
            <v>41.791434980831518</v>
          </cell>
          <cell r="BC143">
            <v>43.729182533222463</v>
          </cell>
          <cell r="BD143">
            <v>46.465050858235607</v>
          </cell>
          <cell r="BE143">
            <v>51.169550799678412</v>
          </cell>
          <cell r="BI143">
            <v>140</v>
          </cell>
          <cell r="BJ143">
            <v>3.4999999999999978</v>
          </cell>
          <cell r="BK143">
            <v>3.5699999999999976</v>
          </cell>
          <cell r="BL143">
            <v>3.7099999999999977</v>
          </cell>
          <cell r="BM143">
            <v>3.9899999999999971</v>
          </cell>
          <cell r="BN143">
            <v>4.8999999999999968</v>
          </cell>
          <cell r="BW143">
            <v>140</v>
          </cell>
          <cell r="BX143">
            <v>72.676975898343528</v>
          </cell>
          <cell r="BY143">
            <v>73.080733134525161</v>
          </cell>
          <cell r="BZ143">
            <v>73.468653197407107</v>
          </cell>
          <cell r="CA143">
            <v>73.905031554605898</v>
          </cell>
          <cell r="CB143">
            <v>74.365384246573853</v>
          </cell>
          <cell r="CC143">
            <v>74.365384246573853</v>
          </cell>
        </row>
        <row r="144">
          <cell r="F144">
            <v>142</v>
          </cell>
          <cell r="G144">
            <v>18819.273848271412</v>
          </cell>
          <cell r="N144">
            <v>151</v>
          </cell>
          <cell r="O144">
            <v>141</v>
          </cell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V144">
            <v>141</v>
          </cell>
          <cell r="W144">
            <v>1175.9364101946012</v>
          </cell>
          <cell r="X144">
            <v>957.74126025545593</v>
          </cell>
          <cell r="Y144">
            <v>751.84280580465565</v>
          </cell>
          <cell r="Z144">
            <v>553.08294858588215</v>
          </cell>
          <cell r="AA144">
            <v>297.41034008675888</v>
          </cell>
          <cell r="AC144">
            <v>141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AZ144">
            <v>141</v>
          </cell>
          <cell r="BA144">
            <v>40.332161749411313</v>
          </cell>
          <cell r="BB144">
            <v>41.841717749696201</v>
          </cell>
          <cell r="BC144">
            <v>43.77911147780199</v>
          </cell>
          <cell r="BD144">
            <v>46.513210965282425</v>
          </cell>
          <cell r="BE144">
            <v>51.215762335516104</v>
          </cell>
          <cell r="BI144">
            <v>141</v>
          </cell>
          <cell r="BJ144">
            <v>3.4999999999999978</v>
          </cell>
          <cell r="BK144">
            <v>3.5699999999999976</v>
          </cell>
          <cell r="BL144">
            <v>3.7099999999999977</v>
          </cell>
          <cell r="BM144">
            <v>3.9899999999999971</v>
          </cell>
          <cell r="BN144">
            <v>4.8999999999999968</v>
          </cell>
          <cell r="BW144">
            <v>141</v>
          </cell>
          <cell r="BX144">
            <v>73.157776302859972</v>
          </cell>
          <cell r="BY144">
            <v>73.525682689904926</v>
          </cell>
          <cell r="BZ144">
            <v>73.934376924737577</v>
          </cell>
          <cell r="CA144">
            <v>74.362219724987099</v>
          </cell>
          <cell r="CB144">
            <v>74.843246220121955</v>
          </cell>
          <cell r="CC144">
            <v>74.843246220121955</v>
          </cell>
        </row>
        <row r="145">
          <cell r="F145">
            <v>143</v>
          </cell>
          <cell r="G145">
            <v>20170.070068243116</v>
          </cell>
          <cell r="N145">
            <v>152</v>
          </cell>
          <cell r="O145">
            <v>142</v>
          </cell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V145">
            <v>142</v>
          </cell>
          <cell r="W145">
            <v>1260.3374380768109</v>
          </cell>
          <cell r="X145">
            <v>1065.1111689187128</v>
          </cell>
          <cell r="Y145">
            <v>878.18332146683315</v>
          </cell>
          <cell r="Z145">
            <v>622.26026042716148</v>
          </cell>
          <cell r="AA145">
            <v>333.55984722520316</v>
          </cell>
          <cell r="AC145">
            <v>142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AZ145">
            <v>142</v>
          </cell>
          <cell r="BA145">
            <v>40.378780942311145</v>
          </cell>
          <cell r="BB145">
            <v>41.892000518560877</v>
          </cell>
          <cell r="BC145">
            <v>43.829040422381524</v>
          </cell>
          <cell r="BD145">
            <v>46.561371072329244</v>
          </cell>
          <cell r="BE145">
            <v>51.261973871353796</v>
          </cell>
          <cell r="BI145">
            <v>142</v>
          </cell>
          <cell r="BJ145">
            <v>3.4999999999999978</v>
          </cell>
          <cell r="BK145">
            <v>3.5699999999999976</v>
          </cell>
          <cell r="BL145">
            <v>3.7099999999999977</v>
          </cell>
          <cell r="BM145">
            <v>3.9899999999999971</v>
          </cell>
          <cell r="BN145">
            <v>4.8999999999999968</v>
          </cell>
          <cell r="BW145">
            <v>142</v>
          </cell>
          <cell r="BX145">
            <v>73.626200589019419</v>
          </cell>
          <cell r="BY145">
            <v>74.017737097591251</v>
          </cell>
          <cell r="BZ145">
            <v>74.413599457823011</v>
          </cell>
          <cell r="CA145">
            <v>74.862125874890182</v>
          </cell>
          <cell r="CB145">
            <v>75.327870415328007</v>
          </cell>
          <cell r="CC145">
            <v>75.327870415328007</v>
          </cell>
        </row>
        <row r="146">
          <cell r="F146">
            <v>144</v>
          </cell>
          <cell r="G146">
            <v>21617.817610103088</v>
          </cell>
          <cell r="N146">
            <v>153</v>
          </cell>
          <cell r="O146">
            <v>143</v>
          </cell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V146">
            <v>143</v>
          </cell>
          <cell r="W146">
            <v>1350.796219971704</v>
          </cell>
          <cell r="X146">
            <v>1161.7279555663281</v>
          </cell>
          <cell r="Y146">
            <v>927.37399872437163</v>
          </cell>
          <cell r="Z146">
            <v>666.39098170270518</v>
          </cell>
          <cell r="AA146">
            <v>362.34512723334319</v>
          </cell>
          <cell r="AC146">
            <v>143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AZ146">
            <v>143</v>
          </cell>
          <cell r="BA146">
            <v>40.425400135210978</v>
          </cell>
          <cell r="BB146">
            <v>41.94228328742556</v>
          </cell>
          <cell r="BC146">
            <v>43.878969366961051</v>
          </cell>
          <cell r="BD146">
            <v>46.609531179376063</v>
          </cell>
          <cell r="BE146">
            <v>51.308185407191495</v>
          </cell>
          <cell r="BI146">
            <v>143</v>
          </cell>
          <cell r="BJ146">
            <v>3.4999999999999978</v>
          </cell>
          <cell r="BK146">
            <v>3.5699999999999976</v>
          </cell>
          <cell r="BL146">
            <v>3.7099999999999977</v>
          </cell>
          <cell r="BM146">
            <v>3.9899999999999971</v>
          </cell>
          <cell r="BN146">
            <v>4.8999999999999968</v>
          </cell>
          <cell r="BW146">
            <v>143</v>
          </cell>
          <cell r="BX146">
            <v>74.110883090832957</v>
          </cell>
          <cell r="BY146">
            <v>74.48438665440473</v>
          </cell>
          <cell r="BZ146">
            <v>74.910283342584549</v>
          </cell>
          <cell r="CA146">
            <v>75.343688653389123</v>
          </cell>
          <cell r="CB146">
            <v>75.8312700089093</v>
          </cell>
          <cell r="CC146">
            <v>75.8312700089093</v>
          </cell>
        </row>
        <row r="147">
          <cell r="F147">
            <v>145</v>
          </cell>
          <cell r="G147">
            <v>23169.475005920798</v>
          </cell>
          <cell r="N147">
            <v>154</v>
          </cell>
          <cell r="O147">
            <v>144</v>
          </cell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V147">
            <v>144</v>
          </cell>
          <cell r="W147">
            <v>1447.7475418599715</v>
          </cell>
          <cell r="X147">
            <v>1224.9391951677244</v>
          </cell>
          <cell r="Y147">
            <v>990.91431554069277</v>
          </cell>
          <cell r="Z147">
            <v>711.34442565575409</v>
          </cell>
          <cell r="AA147">
            <v>361.40698420714671</v>
          </cell>
          <cell r="AC147">
            <v>144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AZ147">
            <v>144</v>
          </cell>
          <cell r="BA147">
            <v>40.472019328110811</v>
          </cell>
          <cell r="BB147">
            <v>41.992566056290244</v>
          </cell>
          <cell r="BC147">
            <v>43.928898311540586</v>
          </cell>
          <cell r="BD147">
            <v>46.657691286422882</v>
          </cell>
          <cell r="BE147">
            <v>51.354396943029187</v>
          </cell>
          <cell r="BI147">
            <v>144</v>
          </cell>
          <cell r="BJ147">
            <v>3.4999999999999978</v>
          </cell>
          <cell r="BK147">
            <v>3.5699999999999976</v>
          </cell>
          <cell r="BL147">
            <v>3.7099999999999977</v>
          </cell>
          <cell r="BM147">
            <v>3.9899999999999971</v>
          </cell>
          <cell r="BN147">
            <v>4.8999999999999968</v>
          </cell>
          <cell r="BW147">
            <v>144</v>
          </cell>
          <cell r="BX147">
            <v>74.576114728274206</v>
          </cell>
          <cell r="BY147">
            <v>74.976427264953529</v>
          </cell>
          <cell r="BZ147">
            <v>75.381312336600743</v>
          </cell>
          <cell r="CA147">
            <v>75.837817686537164</v>
          </cell>
          <cell r="CB147">
            <v>76.288260794883655</v>
          </cell>
          <cell r="CC147">
            <v>76.288260794883655</v>
          </cell>
        </row>
        <row r="148">
          <cell r="F148">
            <v>146</v>
          </cell>
          <cell r="G148">
            <v>24832.50022570635</v>
          </cell>
          <cell r="N148">
            <v>155</v>
          </cell>
          <cell r="O148">
            <v>145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V148">
            <v>145</v>
          </cell>
          <cell r="W148">
            <v>1551.6573958177105</v>
          </cell>
          <cell r="X148">
            <v>1340.6606926084714</v>
          </cell>
          <cell r="Y148">
            <v>1065.4388249629465</v>
          </cell>
          <cell r="Z148">
            <v>724.25335396633454</v>
          </cell>
          <cell r="AA148">
            <v>379.61970776208909</v>
          </cell>
          <cell r="AC148">
            <v>145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AZ148">
            <v>145</v>
          </cell>
          <cell r="BA148">
            <v>40.518638521010651</v>
          </cell>
          <cell r="BB148">
            <v>42.036975906461073</v>
          </cell>
          <cell r="BC148">
            <v>43.978827256120113</v>
          </cell>
          <cell r="BD148">
            <v>46.7058513934697</v>
          </cell>
          <cell r="BE148">
            <v>51.400608478866879</v>
          </cell>
          <cell r="BI148">
            <v>145</v>
          </cell>
          <cell r="BJ148">
            <v>3.4999999999999978</v>
          </cell>
          <cell r="BK148">
            <v>3.5699999999999976</v>
          </cell>
          <cell r="BL148">
            <v>3.7099999999999977</v>
          </cell>
          <cell r="BM148">
            <v>3.9899999999999971</v>
          </cell>
          <cell r="BN148">
            <v>4.8999999999999968</v>
          </cell>
          <cell r="BW148">
            <v>145</v>
          </cell>
          <cell r="BX148">
            <v>75.064622457794115</v>
          </cell>
          <cell r="BY148">
            <v>75.445256632228848</v>
          </cell>
          <cell r="BZ148">
            <v>75.874710693729909</v>
          </cell>
          <cell r="CA148">
            <v>76.294787124638759</v>
          </cell>
          <cell r="CB148">
            <v>76.744300993869714</v>
          </cell>
          <cell r="CC148">
            <v>76.744300993869714</v>
          </cell>
        </row>
        <row r="149">
          <cell r="F149">
            <v>147</v>
          </cell>
          <cell r="G149">
            <v>26614.886523801088</v>
          </cell>
          <cell r="N149">
            <v>156</v>
          </cell>
          <cell r="O149">
            <v>146</v>
          </cell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V149">
            <v>146</v>
          </cell>
          <cell r="W149">
            <v>1663.0252197855516</v>
          </cell>
          <cell r="X149">
            <v>1404.1147686791555</v>
          </cell>
          <cell r="Y149">
            <v>1068.7420354685873</v>
          </cell>
          <cell r="Z149">
            <v>742.45648734666247</v>
          </cell>
          <cell r="AA149">
            <v>398.08610097286601</v>
          </cell>
          <cell r="AC149">
            <v>146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AZ149">
            <v>146</v>
          </cell>
          <cell r="BA149">
            <v>40.565257713910484</v>
          </cell>
          <cell r="BB149">
            <v>42.080366850119908</v>
          </cell>
          <cell r="BC149">
            <v>44.024818750237806</v>
          </cell>
          <cell r="BD149">
            <v>46.754011500516519</v>
          </cell>
          <cell r="BE149">
            <v>51.446820014704571</v>
          </cell>
          <cell r="BI149">
            <v>146</v>
          </cell>
          <cell r="BJ149">
            <v>3.4999999999999978</v>
          </cell>
          <cell r="BK149">
            <v>3.5699999999999976</v>
          </cell>
          <cell r="BL149">
            <v>3.7099999999999977</v>
          </cell>
          <cell r="BM149">
            <v>3.9899999999999971</v>
          </cell>
          <cell r="BN149">
            <v>4.8999999999999968</v>
          </cell>
          <cell r="BW149">
            <v>146</v>
          </cell>
          <cell r="BX149">
            <v>75.526704686495577</v>
          </cell>
          <cell r="BY149">
            <v>75.932934505318755</v>
          </cell>
          <cell r="BZ149">
            <v>76.319625507968723</v>
          </cell>
          <cell r="CA149">
            <v>76.740746590526484</v>
          </cell>
          <cell r="CB149">
            <v>77.192425415760482</v>
          </cell>
          <cell r="CC149">
            <v>77.192425415760482</v>
          </cell>
        </row>
        <row r="150">
          <cell r="F150">
            <v>148</v>
          </cell>
          <cell r="G150">
            <v>28525.200858087381</v>
          </cell>
          <cell r="N150">
            <v>157</v>
          </cell>
          <cell r="O150">
            <v>147</v>
          </cell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V150">
            <v>147</v>
          </cell>
          <cell r="W150">
            <v>1782.3862980947379</v>
          </cell>
          <cell r="X150">
            <v>1435.3377508494086</v>
          </cell>
          <cell r="Y150">
            <v>1117.574546283402</v>
          </cell>
          <cell r="Z150">
            <v>783.83928651149654</v>
          </cell>
          <cell r="AA150">
            <v>430.02039225330918</v>
          </cell>
          <cell r="AC150">
            <v>147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AZ150">
            <v>147</v>
          </cell>
          <cell r="BA150">
            <v>40.611876906810316</v>
          </cell>
          <cell r="BB150">
            <v>42.123757793778736</v>
          </cell>
          <cell r="BC150">
            <v>44.067911160744309</v>
          </cell>
          <cell r="BD150">
            <v>46.802171607563338</v>
          </cell>
          <cell r="BE150">
            <v>51.493031550542263</v>
          </cell>
          <cell r="BI150">
            <v>147</v>
          </cell>
          <cell r="BJ150">
            <v>3.4999999999999978</v>
          </cell>
          <cell r="BK150">
            <v>3.5699999999999976</v>
          </cell>
          <cell r="BL150">
            <v>3.7099999999999977</v>
          </cell>
          <cell r="BM150">
            <v>3.9899999999999971</v>
          </cell>
          <cell r="BN150">
            <v>4.8999999999999968</v>
          </cell>
          <cell r="BW150">
            <v>147</v>
          </cell>
          <cell r="BX150">
            <v>76.018981963564528</v>
          </cell>
          <cell r="BY150">
            <v>76.37307935688159</v>
          </cell>
          <cell r="BZ150">
            <v>76.767142595945487</v>
          </cell>
          <cell r="CA150">
            <v>77.182945989803613</v>
          </cell>
          <cell r="CB150">
            <v>77.639136792985582</v>
          </cell>
          <cell r="CC150">
            <v>77.639136792985582</v>
          </cell>
        </row>
        <row r="151">
          <cell r="F151">
            <v>149</v>
          </cell>
          <cell r="G151">
            <v>30572.62506667812</v>
          </cell>
          <cell r="N151">
            <v>158</v>
          </cell>
          <cell r="O151">
            <v>148</v>
          </cell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V151">
            <v>148</v>
          </cell>
          <cell r="W151">
            <v>1910.3143342862932</v>
          </cell>
          <cell r="X151">
            <v>1612.8783924379204</v>
          </cell>
          <cell r="Y151">
            <v>1291.7027471819092</v>
          </cell>
          <cell r="Z151">
            <v>935.16038391036273</v>
          </cell>
          <cell r="AA151">
            <v>487.69029812766985</v>
          </cell>
          <cell r="AC151">
            <v>148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  <cell r="AZ151">
            <v>148</v>
          </cell>
          <cell r="BA151">
            <v>40.658496099710149</v>
          </cell>
          <cell r="BB151">
            <v>42.167148737437564</v>
          </cell>
          <cell r="BC151">
            <v>44.111003571250812</v>
          </cell>
          <cell r="BD151">
            <v>46.850331714610157</v>
          </cell>
          <cell r="BE151">
            <v>51.539243086379955</v>
          </cell>
          <cell r="BI151">
            <v>148</v>
          </cell>
          <cell r="BJ151">
            <v>3.4999999999999978</v>
          </cell>
          <cell r="BK151">
            <v>3.5699999999999976</v>
          </cell>
          <cell r="BL151">
            <v>3.7099999999999977</v>
          </cell>
          <cell r="BM151">
            <v>3.9899999999999971</v>
          </cell>
          <cell r="BN151">
            <v>4.8999999999999968</v>
          </cell>
          <cell r="BW151">
            <v>148</v>
          </cell>
          <cell r="BX151">
            <v>76.477957149162563</v>
          </cell>
          <cell r="BY151">
            <v>76.857470293382107</v>
          </cell>
          <cell r="BZ151">
            <v>77.245919604256756</v>
          </cell>
          <cell r="CA151">
            <v>77.668675027947558</v>
          </cell>
          <cell r="CB151">
            <v>78.126046531078771</v>
          </cell>
          <cell r="CC151">
            <v>78.126046531078771</v>
          </cell>
        </row>
        <row r="152">
          <cell r="F152">
            <v>150</v>
          </cell>
          <cell r="G152">
            <v>32767</v>
          </cell>
          <cell r="N152">
            <v>159</v>
          </cell>
          <cell r="O152">
            <v>149</v>
          </cell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V152">
            <v>149</v>
          </cell>
          <cell r="W152">
            <v>2047.424208590739</v>
          </cell>
          <cell r="X152">
            <v>1734.7547843264947</v>
          </cell>
          <cell r="Y152">
            <v>1391.3462493209554</v>
          </cell>
          <cell r="Z152">
            <v>982.92674112575696</v>
          </cell>
          <cell r="AA152">
            <v>525.95553157452377</v>
          </cell>
          <cell r="AC152">
            <v>149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  <cell r="AZ152">
            <v>149</v>
          </cell>
          <cell r="BA152">
            <v>40.705115292609982</v>
          </cell>
          <cell r="BB152">
            <v>42.2105396810964</v>
          </cell>
          <cell r="BC152">
            <v>44.154095981757315</v>
          </cell>
          <cell r="BD152">
            <v>46.898491821656968</v>
          </cell>
          <cell r="BE152">
            <v>51.585454622217647</v>
          </cell>
          <cell r="BI152">
            <v>149</v>
          </cell>
          <cell r="BJ152">
            <v>3.4999999999999978</v>
          </cell>
          <cell r="BK152">
            <v>3.5699999999999976</v>
          </cell>
          <cell r="BL152">
            <v>3.7099999999999977</v>
          </cell>
          <cell r="BM152">
            <v>3.9899999999999971</v>
          </cell>
          <cell r="BN152">
            <v>4.8999999999999968</v>
          </cell>
          <cell r="BW152">
            <v>149</v>
          </cell>
          <cell r="BX152">
            <v>76.969874573049196</v>
          </cell>
          <cell r="BY152">
            <v>77.327271482343065</v>
          </cell>
          <cell r="BZ152">
            <v>77.727703112223537</v>
          </cell>
          <cell r="CA152">
            <v>78.1549799524241</v>
          </cell>
          <cell r="CB152">
            <v>78.598533634779585</v>
          </cell>
          <cell r="CC152">
            <v>78.598533634779585</v>
          </cell>
        </row>
        <row r="153">
          <cell r="F153">
            <v>151</v>
          </cell>
          <cell r="G153">
            <v>35118.87282038921</v>
          </cell>
          <cell r="N153">
            <v>160</v>
          </cell>
          <cell r="O153">
            <v>150</v>
          </cell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V153">
            <v>150</v>
          </cell>
          <cell r="W153">
            <v>2194.3749333218802</v>
          </cell>
          <cell r="X153">
            <v>1853.1496311903284</v>
          </cell>
          <cell r="Y153">
            <v>1476.1411552456448</v>
          </cell>
          <cell r="Z153">
            <v>1054.1331307678847</v>
          </cell>
          <cell r="AA153">
            <v>587.08097055709095</v>
          </cell>
          <cell r="AC153">
            <v>150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  <cell r="AZ153">
            <v>150</v>
          </cell>
          <cell r="BA153">
            <v>40.751734485509814</v>
          </cell>
          <cell r="BB153">
            <v>42.253930624755228</v>
          </cell>
          <cell r="BC153">
            <v>44.197188392263818</v>
          </cell>
          <cell r="BD153">
            <v>46.946651928703787</v>
          </cell>
          <cell r="BE153">
            <v>51.631666158055346</v>
          </cell>
          <cell r="BI153">
            <v>150</v>
          </cell>
          <cell r="BJ153">
            <v>3.4999999999999978</v>
          </cell>
          <cell r="BK153">
            <v>3.5699999999999976</v>
          </cell>
          <cell r="BL153">
            <v>3.7099999999999977</v>
          </cell>
          <cell r="BM153">
            <v>3.9899999999999971</v>
          </cell>
          <cell r="BN153">
            <v>4.8999999999999968</v>
          </cell>
          <cell r="BW153">
            <v>150</v>
          </cell>
          <cell r="BX153">
            <v>77.429859113413457</v>
          </cell>
          <cell r="BY153">
            <v>77.808541114473428</v>
          </cell>
          <cell r="BZ153">
            <v>78.206550290005254</v>
          </cell>
          <cell r="CA153">
            <v>78.628465142683979</v>
          </cell>
          <cell r="CB153">
            <v>79.108907766261424</v>
          </cell>
          <cell r="CC153">
            <v>79.108907766261424</v>
          </cell>
        </row>
        <row r="154">
          <cell r="F154">
            <v>152</v>
          </cell>
          <cell r="G154">
            <v>37639.547696542824</v>
          </cell>
          <cell r="N154">
            <v>161</v>
          </cell>
          <cell r="O154">
            <v>151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V154">
            <v>151</v>
          </cell>
          <cell r="W154">
            <v>2351.8728203892097</v>
          </cell>
          <cell r="X154">
            <v>2000.2041459468419</v>
          </cell>
          <cell r="Y154">
            <v>1596.3716607374699</v>
          </cell>
          <cell r="Z154">
            <v>1200.7352445562356</v>
          </cell>
          <cell r="AA154">
            <v>740.2030604808042</v>
          </cell>
          <cell r="AC154">
            <v>151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  <cell r="AZ154">
            <v>151</v>
          </cell>
          <cell r="BA154">
            <v>40.798353678409647</v>
          </cell>
          <cell r="BB154">
            <v>42.297321568414056</v>
          </cell>
          <cell r="BC154">
            <v>44.240280802770329</v>
          </cell>
          <cell r="BD154">
            <v>46.994812035750606</v>
          </cell>
          <cell r="BE154">
            <v>51.677877693893038</v>
          </cell>
          <cell r="BI154">
            <v>151</v>
          </cell>
          <cell r="BJ154">
            <v>3.4999999999999978</v>
          </cell>
          <cell r="BK154">
            <v>3.5699999999999976</v>
          </cell>
          <cell r="BL154">
            <v>3.7099999999999977</v>
          </cell>
          <cell r="BM154">
            <v>3.9899999999999971</v>
          </cell>
          <cell r="BN154">
            <v>4.8999999999999968</v>
          </cell>
          <cell r="BW154">
            <v>151</v>
          </cell>
          <cell r="BX154">
            <v>77.918490985566862</v>
          </cell>
          <cell r="BY154">
            <v>78.283647251084375</v>
          </cell>
          <cell r="BZ154">
            <v>78.684578676520431</v>
          </cell>
          <cell r="CA154">
            <v>79.145115266529871</v>
          </cell>
          <cell r="CB154">
            <v>79.683968750737293</v>
          </cell>
          <cell r="CC154">
            <v>79.683968750737293</v>
          </cell>
        </row>
        <row r="155">
          <cell r="F155">
            <v>153</v>
          </cell>
          <cell r="G155">
            <v>40341.140136486232</v>
          </cell>
          <cell r="N155">
            <v>162</v>
          </cell>
          <cell r="O155">
            <v>152</v>
          </cell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V155">
            <v>152</v>
          </cell>
          <cell r="W155">
            <v>2520.6748761536146</v>
          </cell>
          <cell r="X155">
            <v>2122.1902933228812</v>
          </cell>
          <cell r="Y155">
            <v>1832.6557082772088</v>
          </cell>
          <cell r="Z155">
            <v>1450.7999882670338</v>
          </cell>
          <cell r="AA155">
            <v>5019.042325722754</v>
          </cell>
          <cell r="AC155">
            <v>152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  <cell r="AZ155">
            <v>152</v>
          </cell>
          <cell r="BA155">
            <v>40.84497287130948</v>
          </cell>
          <cell r="BB155">
            <v>42.340712512072891</v>
          </cell>
          <cell r="BC155">
            <v>44.283373213276832</v>
          </cell>
          <cell r="BD155">
            <v>47.037096473408994</v>
          </cell>
          <cell r="BE155">
            <v>51.72408922973073</v>
          </cell>
          <cell r="BI155">
            <v>152</v>
          </cell>
          <cell r="BJ155">
            <v>3.4999999999999978</v>
          </cell>
          <cell r="BK155">
            <v>3.5699999999999976</v>
          </cell>
          <cell r="BL155">
            <v>3.7099999999999977</v>
          </cell>
          <cell r="BM155">
            <v>3.9899999999999971</v>
          </cell>
          <cell r="BN155">
            <v>4.8999999999999968</v>
          </cell>
          <cell r="BW155">
            <v>152</v>
          </cell>
          <cell r="BX155">
            <v>78.382397883778651</v>
          </cell>
          <cell r="BY155">
            <v>78.760259571422736</v>
          </cell>
          <cell r="BZ155">
            <v>79.201814062049863</v>
          </cell>
          <cell r="CA155">
            <v>79.708675804221045</v>
          </cell>
          <cell r="CB155">
            <v>80</v>
          </cell>
          <cell r="CC155">
            <v>80</v>
          </cell>
        </row>
        <row r="156">
          <cell r="F156">
            <v>154</v>
          </cell>
          <cell r="G156">
            <v>43236.635220206183</v>
          </cell>
          <cell r="N156">
            <v>163</v>
          </cell>
          <cell r="O156">
            <v>153</v>
          </cell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V156">
            <v>153</v>
          </cell>
          <cell r="W156">
            <v>2701.592439943408</v>
          </cell>
          <cell r="X156">
            <v>2536.1843168800551</v>
          </cell>
          <cell r="Y156">
            <v>2127.4842442054214</v>
          </cell>
          <cell r="Z156">
            <v>5949.5034490684666</v>
          </cell>
          <cell r="AA156">
            <v>10089.853695688178</v>
          </cell>
          <cell r="AC156">
            <v>153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  <cell r="AZ156">
            <v>153</v>
          </cell>
          <cell r="BA156">
            <v>40.891592064209313</v>
          </cell>
          <cell r="BB156">
            <v>42.384103455731719</v>
          </cell>
          <cell r="BC156">
            <v>44.326465623783335</v>
          </cell>
          <cell r="BD156">
            <v>47.078671550054786</v>
          </cell>
          <cell r="BE156">
            <v>51.770300765568422</v>
          </cell>
          <cell r="BI156">
            <v>153</v>
          </cell>
          <cell r="BJ156">
            <v>3.4999999999999978</v>
          </cell>
          <cell r="BK156">
            <v>3.5699999999999976</v>
          </cell>
          <cell r="BL156">
            <v>3.7099999999999977</v>
          </cell>
          <cell r="BM156">
            <v>3.9899999999999971</v>
          </cell>
          <cell r="BN156">
            <v>4.8999999999999968</v>
          </cell>
          <cell r="BW156">
            <v>153</v>
          </cell>
          <cell r="BX156">
            <v>78.867787811519349</v>
          </cell>
          <cell r="BY156">
            <v>79.28525743882193</v>
          </cell>
          <cell r="BZ156">
            <v>79.75275890824517</v>
          </cell>
          <cell r="CA156">
            <v>80</v>
          </cell>
          <cell r="CB156">
            <v>80</v>
          </cell>
          <cell r="CC156">
            <v>80</v>
          </cell>
        </row>
        <row r="157">
          <cell r="F157">
            <v>155</v>
          </cell>
          <cell r="G157">
            <v>46339.950011841604</v>
          </cell>
          <cell r="N157">
            <v>164</v>
          </cell>
          <cell r="O157">
            <v>154</v>
          </cell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V157">
            <v>154</v>
          </cell>
          <cell r="W157">
            <v>2895.4950837199503</v>
          </cell>
          <cell r="X157">
            <v>2637.0128571265086</v>
          </cell>
          <cell r="Y157">
            <v>6387.7599346417555</v>
          </cell>
          <cell r="Z157">
            <v>9952.2577420711496</v>
          </cell>
          <cell r="AA157">
            <v>9952.2577420711496</v>
          </cell>
          <cell r="AC157">
            <v>154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  <cell r="AZ157">
            <v>154</v>
          </cell>
          <cell r="BA157">
            <v>40.938211257109145</v>
          </cell>
          <cell r="BB157">
            <v>42.427494399390554</v>
          </cell>
          <cell r="BC157">
            <v>44.369558034289838</v>
          </cell>
          <cell r="BD157">
            <v>47.12024662670057</v>
          </cell>
          <cell r="BE157">
            <v>51.816512301406114</v>
          </cell>
          <cell r="BI157">
            <v>154</v>
          </cell>
          <cell r="BJ157">
            <v>3.4999999999999978</v>
          </cell>
          <cell r="BK157">
            <v>3.5699999999999976</v>
          </cell>
          <cell r="BL157">
            <v>3.7099999999999977</v>
          </cell>
          <cell r="BM157">
            <v>3.9899999999999971</v>
          </cell>
          <cell r="BN157">
            <v>4.8999999999999968</v>
          </cell>
          <cell r="BW157">
            <v>154</v>
          </cell>
          <cell r="BX157">
            <v>79.335561067249373</v>
          </cell>
          <cell r="BY157">
            <v>79.797428791068725</v>
          </cell>
          <cell r="BZ157">
            <v>80</v>
          </cell>
          <cell r="CA157">
            <v>80</v>
          </cell>
          <cell r="CB157">
            <v>80</v>
          </cell>
          <cell r="CC157">
            <v>80</v>
          </cell>
        </row>
        <row r="158">
          <cell r="F158">
            <v>156</v>
          </cell>
          <cell r="G158">
            <v>49666.000451412707</v>
          </cell>
          <cell r="N158">
            <v>165</v>
          </cell>
          <cell r="O158">
            <v>155</v>
          </cell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V158">
            <v>155</v>
          </cell>
          <cell r="W158">
            <v>3103.314791635421</v>
          </cell>
          <cell r="X158">
            <v>7111.237337987448</v>
          </cell>
          <cell r="Y158">
            <v>10462.181453484773</v>
          </cell>
          <cell r="Z158">
            <v>10245.99827738374</v>
          </cell>
          <cell r="AA158">
            <v>10385.018127419266</v>
          </cell>
          <cell r="AC158">
            <v>155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  <cell r="AZ158">
            <v>155</v>
          </cell>
          <cell r="BA158">
            <v>40.984830450008985</v>
          </cell>
          <cell r="BB158">
            <v>42.470885343049382</v>
          </cell>
          <cell r="BC158">
            <v>44.412650444796341</v>
          </cell>
          <cell r="BD158">
            <v>47.161821703346362</v>
          </cell>
          <cell r="BE158">
            <v>51.862723837243806</v>
          </cell>
          <cell r="BI158">
            <v>155</v>
          </cell>
          <cell r="BJ158">
            <v>3.4999999999999978</v>
          </cell>
          <cell r="BK158">
            <v>3.5699999999999976</v>
          </cell>
          <cell r="BL158">
            <v>3.7099999999999977</v>
          </cell>
          <cell r="BM158">
            <v>3.9899999999999971</v>
          </cell>
          <cell r="BN158">
            <v>4.8999999999999968</v>
          </cell>
          <cell r="BW158">
            <v>155</v>
          </cell>
          <cell r="BX158">
            <v>79.8177517942256</v>
          </cell>
          <cell r="BY158">
            <v>80</v>
          </cell>
          <cell r="BZ158">
            <v>80</v>
          </cell>
          <cell r="CA158">
            <v>80</v>
          </cell>
          <cell r="CB158">
            <v>80</v>
          </cell>
          <cell r="CC158">
            <v>80</v>
          </cell>
        </row>
        <row r="159">
          <cell r="F159">
            <v>157</v>
          </cell>
          <cell r="G159">
            <v>53230.773047602182</v>
          </cell>
          <cell r="N159">
            <v>166</v>
          </cell>
          <cell r="O159">
            <v>156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V159">
            <v>156</v>
          </cell>
          <cell r="W159">
            <v>3326.0504395711032</v>
          </cell>
          <cell r="X159">
            <v>5587.4400001489703</v>
          </cell>
          <cell r="Y159">
            <v>5759.720354580204</v>
          </cell>
          <cell r="Z159">
            <v>5759.720354580204</v>
          </cell>
          <cell r="AA159">
            <v>5769.6985058989158</v>
          </cell>
          <cell r="AC159">
            <v>156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  <cell r="AZ159">
            <v>156</v>
          </cell>
          <cell r="BA159">
            <v>41.027136894088379</v>
          </cell>
          <cell r="BB159">
            <v>42.51427628670821</v>
          </cell>
          <cell r="BC159">
            <v>44.455742855302844</v>
          </cell>
          <cell r="BD159">
            <v>47.203396779992147</v>
          </cell>
          <cell r="BE159">
            <v>51.908935373081505</v>
          </cell>
          <cell r="BI159">
            <v>156</v>
          </cell>
          <cell r="BJ159">
            <v>3.4999999999999978</v>
          </cell>
          <cell r="BK159">
            <v>3.5699999999999976</v>
          </cell>
          <cell r="BL159">
            <v>3.7099999999999977</v>
          </cell>
          <cell r="BM159">
            <v>3.9899999999999971</v>
          </cell>
          <cell r="BN159">
            <v>4.8999999999999968</v>
          </cell>
          <cell r="BW159">
            <v>156</v>
          </cell>
          <cell r="BX159">
            <v>80</v>
          </cell>
          <cell r="BY159">
            <v>80</v>
          </cell>
          <cell r="BZ159">
            <v>80</v>
          </cell>
          <cell r="CA159">
            <v>80</v>
          </cell>
          <cell r="CB159">
            <v>80</v>
          </cell>
          <cell r="CC159">
            <v>80</v>
          </cell>
        </row>
        <row r="160">
          <cell r="F160">
            <v>158</v>
          </cell>
          <cell r="G160">
            <v>57051.401716174769</v>
          </cell>
          <cell r="N160">
            <v>167</v>
          </cell>
          <cell r="O160">
            <v>157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V160">
            <v>157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C160">
            <v>157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  <cell r="AZ160">
            <v>157</v>
          </cell>
          <cell r="BA160">
            <v>41.067363109180121</v>
          </cell>
          <cell r="BB160">
            <v>42.557667230367045</v>
          </cell>
          <cell r="BC160">
            <v>44.498835265809355</v>
          </cell>
          <cell r="BD160">
            <v>47.244971856637939</v>
          </cell>
          <cell r="BE160">
            <v>51.955146908919197</v>
          </cell>
          <cell r="BI160">
            <v>157</v>
          </cell>
          <cell r="BJ160">
            <v>3.4999999999999978</v>
          </cell>
          <cell r="BK160">
            <v>3.5699999999999976</v>
          </cell>
          <cell r="BL160">
            <v>3.7099999999999977</v>
          </cell>
          <cell r="BM160">
            <v>3.9899999999999971</v>
          </cell>
          <cell r="BN160">
            <v>4.8999999999999968</v>
          </cell>
          <cell r="BW160">
            <v>157</v>
          </cell>
          <cell r="BX160">
            <v>80</v>
          </cell>
          <cell r="BY160">
            <v>80</v>
          </cell>
          <cell r="BZ160">
            <v>80</v>
          </cell>
          <cell r="CA160">
            <v>80</v>
          </cell>
          <cell r="CB160">
            <v>80</v>
          </cell>
          <cell r="CC160">
            <v>80</v>
          </cell>
        </row>
        <row r="161">
          <cell r="F161">
            <v>159</v>
          </cell>
          <cell r="G161">
            <v>61146.25013335624</v>
          </cell>
          <cell r="N161">
            <v>168</v>
          </cell>
          <cell r="O161">
            <v>158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V161">
            <v>158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C161">
            <v>158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  <cell r="AZ161">
            <v>158</v>
          </cell>
          <cell r="BA161">
            <v>41.107589324271871</v>
          </cell>
          <cell r="BB161">
            <v>42.601058174025873</v>
          </cell>
          <cell r="BC161">
            <v>44.541927676315858</v>
          </cell>
          <cell r="BD161">
            <v>47.286546933283724</v>
          </cell>
          <cell r="BE161">
            <v>52.001173105835825</v>
          </cell>
          <cell r="BI161">
            <v>158</v>
          </cell>
          <cell r="BJ161">
            <v>3.4999999999999978</v>
          </cell>
          <cell r="BK161">
            <v>3.5699999999999976</v>
          </cell>
          <cell r="BL161">
            <v>3.7099999999999977</v>
          </cell>
          <cell r="BM161">
            <v>3.9899999999999971</v>
          </cell>
          <cell r="BN161">
            <v>4.8999999999999968</v>
          </cell>
          <cell r="BW161">
            <v>158</v>
          </cell>
          <cell r="BX161">
            <v>80</v>
          </cell>
          <cell r="BY161">
            <v>80</v>
          </cell>
          <cell r="BZ161">
            <v>80</v>
          </cell>
          <cell r="CA161">
            <v>80</v>
          </cell>
          <cell r="CB161">
            <v>80</v>
          </cell>
          <cell r="CC161">
            <v>80</v>
          </cell>
        </row>
        <row r="162">
          <cell r="F162">
            <v>160</v>
          </cell>
          <cell r="G162">
            <v>65535</v>
          </cell>
          <cell r="N162">
            <v>169</v>
          </cell>
          <cell r="O162">
            <v>159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V162">
            <v>159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C162">
            <v>159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  <cell r="AZ162">
            <v>159</v>
          </cell>
          <cell r="BA162">
            <v>41.147815539363613</v>
          </cell>
          <cell r="BB162">
            <v>42.644449117684701</v>
          </cell>
          <cell r="BC162">
            <v>44.585020086822361</v>
          </cell>
          <cell r="BD162">
            <v>47.328122009929508</v>
          </cell>
          <cell r="BE162">
            <v>52.041079787427918</v>
          </cell>
          <cell r="BI162">
            <v>159</v>
          </cell>
          <cell r="BJ162">
            <v>3.4999999999999978</v>
          </cell>
          <cell r="BK162">
            <v>3.5699999999999976</v>
          </cell>
          <cell r="BL162">
            <v>3.7099999999999977</v>
          </cell>
          <cell r="BM162">
            <v>3.9899999999999971</v>
          </cell>
          <cell r="BN162">
            <v>4.8999999999999968</v>
          </cell>
          <cell r="BW162">
            <v>159</v>
          </cell>
          <cell r="BX162">
            <v>80</v>
          </cell>
          <cell r="BY162">
            <v>80</v>
          </cell>
          <cell r="BZ162">
            <v>80</v>
          </cell>
          <cell r="CA162">
            <v>80</v>
          </cell>
          <cell r="CB162">
            <v>80</v>
          </cell>
          <cell r="CC162">
            <v>80</v>
          </cell>
        </row>
        <row r="163">
          <cell r="N163">
            <v>170</v>
          </cell>
          <cell r="O163">
            <v>160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V163">
            <v>160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C163">
            <v>160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  <cell r="AZ163">
            <v>160</v>
          </cell>
          <cell r="BA163">
            <v>41.188041754455355</v>
          </cell>
          <cell r="BB163">
            <v>42.687840061343536</v>
          </cell>
          <cell r="BC163">
            <v>44.628112497328864</v>
          </cell>
          <cell r="BD163">
            <v>47.3696970865753</v>
          </cell>
          <cell r="BE163">
            <v>52.080986469020011</v>
          </cell>
          <cell r="BI163">
            <v>160</v>
          </cell>
          <cell r="BJ163">
            <v>3.4999999999999978</v>
          </cell>
          <cell r="BK163">
            <v>3.5699999999999976</v>
          </cell>
          <cell r="BL163">
            <v>3.7099999999999977</v>
          </cell>
          <cell r="BM163">
            <v>3.9899999999999971</v>
          </cell>
          <cell r="BN163">
            <v>4.8999999999999968</v>
          </cell>
          <cell r="BW163">
            <v>160</v>
          </cell>
          <cell r="BX163">
            <v>80</v>
          </cell>
          <cell r="BY163">
            <v>80</v>
          </cell>
          <cell r="BZ163">
            <v>80</v>
          </cell>
          <cell r="CA163">
            <v>80</v>
          </cell>
          <cell r="CB163">
            <v>80</v>
          </cell>
          <cell r="CC163">
            <v>80</v>
          </cell>
        </row>
        <row r="164">
          <cell r="AC164">
            <v>161</v>
          </cell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  <cell r="AZ164">
            <v>161</v>
          </cell>
          <cell r="BA164">
            <v>41.228267969547105</v>
          </cell>
          <cell r="BB164">
            <v>42.731231005002364</v>
          </cell>
          <cell r="BC164">
            <v>44.671204907835367</v>
          </cell>
          <cell r="BD164">
            <v>47.411272163221085</v>
          </cell>
          <cell r="BE164">
            <v>52.120893150612112</v>
          </cell>
        </row>
        <row r="165">
          <cell r="AC165">
            <v>162</v>
          </cell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  <cell r="AZ165">
            <v>162</v>
          </cell>
          <cell r="BA165">
            <v>41.268494184638847</v>
          </cell>
          <cell r="BB165">
            <v>42.774621948661192</v>
          </cell>
          <cell r="BC165">
            <v>44.714297318341877</v>
          </cell>
          <cell r="BD165">
            <v>47.452847239866877</v>
          </cell>
          <cell r="BE165">
            <v>52.160799832204205</v>
          </cell>
        </row>
        <row r="166">
          <cell r="AC166">
            <v>163</v>
          </cell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  <cell r="AZ166">
            <v>163</v>
          </cell>
          <cell r="BA166">
            <v>41.308720399730589</v>
          </cell>
          <cell r="BB166">
            <v>42.818012892320027</v>
          </cell>
          <cell r="BC166">
            <v>44.757389728848381</v>
          </cell>
          <cell r="BD166">
            <v>47.494422316512662</v>
          </cell>
          <cell r="BE166">
            <v>52.200706513796298</v>
          </cell>
        </row>
        <row r="167">
          <cell r="AC167">
            <v>164</v>
          </cell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  <cell r="AZ167">
            <v>164</v>
          </cell>
          <cell r="BA167">
            <v>41.348946614822331</v>
          </cell>
          <cell r="BB167">
            <v>42.861403835978855</v>
          </cell>
          <cell r="BC167">
            <v>44.800482139354884</v>
          </cell>
          <cell r="BD167">
            <v>47.535997393158453</v>
          </cell>
          <cell r="BE167">
            <v>52.240613195388391</v>
          </cell>
        </row>
        <row r="168">
          <cell r="AC168">
            <v>165</v>
          </cell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  <cell r="AZ168">
            <v>165</v>
          </cell>
          <cell r="BA168">
            <v>41.389172829914081</v>
          </cell>
          <cell r="BB168">
            <v>42.904794779637683</v>
          </cell>
          <cell r="BC168">
            <v>44.843574549861387</v>
          </cell>
          <cell r="BD168">
            <v>47.577572469804238</v>
          </cell>
          <cell r="BE168">
            <v>52.280519876980485</v>
          </cell>
        </row>
        <row r="169">
          <cell r="AC169">
            <v>166</v>
          </cell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  <cell r="AZ169">
            <v>166</v>
          </cell>
          <cell r="BA169">
            <v>41.429399045005823</v>
          </cell>
          <cell r="BB169">
            <v>42.948185723296518</v>
          </cell>
          <cell r="BC169">
            <v>44.88666696036789</v>
          </cell>
          <cell r="BD169">
            <v>47.619147546450023</v>
          </cell>
          <cell r="BE169">
            <v>52.320426558572585</v>
          </cell>
        </row>
        <row r="170">
          <cell r="AC170">
            <v>167</v>
          </cell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  <cell r="AZ170">
            <v>167</v>
          </cell>
          <cell r="BA170">
            <v>41.469625260097565</v>
          </cell>
          <cell r="BB170">
            <v>42.991576666955346</v>
          </cell>
          <cell r="BC170">
            <v>44.9297593708744</v>
          </cell>
          <cell r="BD170">
            <v>47.660722623095815</v>
          </cell>
          <cell r="BE170">
            <v>52.360333240164678</v>
          </cell>
        </row>
        <row r="171">
          <cell r="AC171">
            <v>168</v>
          </cell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  <cell r="AZ171">
            <v>168</v>
          </cell>
          <cell r="BA171">
            <v>41.509851475189308</v>
          </cell>
          <cell r="BB171">
            <v>43.030177309109042</v>
          </cell>
          <cell r="BC171">
            <v>44.972851781380903</v>
          </cell>
          <cell r="BD171">
            <v>47.7022976997416</v>
          </cell>
          <cell r="BE171">
            <v>52.400239921756771</v>
          </cell>
        </row>
        <row r="172">
          <cell r="AC172">
            <v>169</v>
          </cell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  <cell r="AZ172">
            <v>169</v>
          </cell>
          <cell r="BA172">
            <v>41.550077690281057</v>
          </cell>
          <cell r="BB172">
            <v>43.067624017543686</v>
          </cell>
          <cell r="BC172">
            <v>45.013762077986961</v>
          </cell>
          <cell r="BD172">
            <v>47.743872776387391</v>
          </cell>
          <cell r="BE172">
            <v>52.440146603348865</v>
          </cell>
        </row>
        <row r="173">
          <cell r="AC173">
            <v>170</v>
          </cell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  <cell r="AZ173">
            <v>170</v>
          </cell>
          <cell r="BA173">
            <v>41.590303905372799</v>
          </cell>
          <cell r="BB173">
            <v>43.105070725978337</v>
          </cell>
          <cell r="BC173">
            <v>45.050956883357138</v>
          </cell>
          <cell r="BD173">
            <v>47.785447853033176</v>
          </cell>
          <cell r="BE173">
            <v>52.480053284940965</v>
          </cell>
        </row>
        <row r="174">
          <cell r="AC174">
            <v>171</v>
          </cell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  <cell r="AZ174">
            <v>171</v>
          </cell>
          <cell r="BA174">
            <v>41.630530120464542</v>
          </cell>
          <cell r="BB174">
            <v>43.14251743441298</v>
          </cell>
          <cell r="BC174">
            <v>45.088151688727308</v>
          </cell>
          <cell r="BD174">
            <v>47.827022929678968</v>
          </cell>
          <cell r="BE174">
            <v>52.519959966533058</v>
          </cell>
        </row>
        <row r="175">
          <cell r="AC175">
            <v>172</v>
          </cell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  <cell r="AZ175">
            <v>172</v>
          </cell>
          <cell r="BA175">
            <v>41.670756335556291</v>
          </cell>
          <cell r="BB175">
            <v>43.179964142847631</v>
          </cell>
          <cell r="BC175">
            <v>45.125346494097485</v>
          </cell>
          <cell r="BD175">
            <v>47.868598006324753</v>
          </cell>
          <cell r="BE175">
            <v>52.559866648125151</v>
          </cell>
        </row>
        <row r="176">
          <cell r="AC176">
            <v>173</v>
          </cell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  <cell r="AZ176">
            <v>173</v>
          </cell>
          <cell r="BA176">
            <v>41.710982550648033</v>
          </cell>
          <cell r="BB176">
            <v>43.217410851282274</v>
          </cell>
          <cell r="BC176">
            <v>45.162541299467655</v>
          </cell>
          <cell r="BD176">
            <v>47.910173082970537</v>
          </cell>
          <cell r="BE176">
            <v>52.599773329717245</v>
          </cell>
        </row>
        <row r="177">
          <cell r="AC177">
            <v>174</v>
          </cell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  <cell r="AZ177">
            <v>174</v>
          </cell>
          <cell r="BA177">
            <v>41.751208765739776</v>
          </cell>
          <cell r="BB177">
            <v>43.254857559716925</v>
          </cell>
          <cell r="BC177">
            <v>45.199736104837832</v>
          </cell>
          <cell r="BD177">
            <v>47.951748159616329</v>
          </cell>
          <cell r="BE177">
            <v>52.639680011309345</v>
          </cell>
        </row>
        <row r="178">
          <cell r="AC178">
            <v>175</v>
          </cell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  <cell r="AZ178">
            <v>175</v>
          </cell>
          <cell r="BA178">
            <v>41.791434980831518</v>
          </cell>
          <cell r="BB178">
            <v>43.292304268151575</v>
          </cell>
          <cell r="BC178">
            <v>45.236930910208002</v>
          </cell>
          <cell r="BD178">
            <v>47.993323236262114</v>
          </cell>
          <cell r="BE178">
            <v>52.679586692901438</v>
          </cell>
        </row>
        <row r="179">
          <cell r="AC179">
            <v>176</v>
          </cell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  <cell r="AZ179">
            <v>176</v>
          </cell>
          <cell r="BA179">
            <v>41.831661195923267</v>
          </cell>
          <cell r="BB179">
            <v>43.329750976586219</v>
          </cell>
          <cell r="BC179">
            <v>45.274125715578172</v>
          </cell>
          <cell r="BD179">
            <v>48.030128751164234</v>
          </cell>
          <cell r="BE179">
            <v>52.719493374493531</v>
          </cell>
        </row>
        <row r="180">
          <cell r="AC180">
            <v>177</v>
          </cell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  <cell r="AZ180">
            <v>177</v>
          </cell>
          <cell r="BA180">
            <v>41.87188741101501</v>
          </cell>
          <cell r="BB180">
            <v>43.367197685020869</v>
          </cell>
          <cell r="BC180">
            <v>45.31132052094835</v>
          </cell>
          <cell r="BD180">
            <v>48.066021750983474</v>
          </cell>
          <cell r="BE180">
            <v>52.759400056085624</v>
          </cell>
        </row>
        <row r="181">
          <cell r="AC181">
            <v>178</v>
          </cell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  <cell r="AZ181">
            <v>178</v>
          </cell>
          <cell r="BA181">
            <v>41.912113626106752</v>
          </cell>
          <cell r="BB181">
            <v>43.404644393455513</v>
          </cell>
          <cell r="BC181">
            <v>45.34851532631852</v>
          </cell>
          <cell r="BD181">
            <v>48.101914750802706</v>
          </cell>
          <cell r="BE181">
            <v>52.799306737677718</v>
          </cell>
        </row>
        <row r="182">
          <cell r="AC182">
            <v>179</v>
          </cell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  <cell r="AZ182">
            <v>179</v>
          </cell>
          <cell r="BA182">
            <v>41.952339841198494</v>
          </cell>
          <cell r="BB182">
            <v>43.442091101890163</v>
          </cell>
          <cell r="BC182">
            <v>45.385710131688697</v>
          </cell>
          <cell r="BD182">
            <v>48.137807750621946</v>
          </cell>
          <cell r="BE182">
            <v>52.839213419269818</v>
          </cell>
        </row>
        <row r="183">
          <cell r="AC183">
            <v>180</v>
          </cell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  <cell r="AZ183">
            <v>180</v>
          </cell>
          <cell r="BA183">
            <v>41.992566056290244</v>
          </cell>
          <cell r="BB183">
            <v>43.479537810324807</v>
          </cell>
          <cell r="BC183">
            <v>45.422904937058867</v>
          </cell>
          <cell r="BD183">
            <v>48.173700750441178</v>
          </cell>
          <cell r="BE183">
            <v>52.879120100861911</v>
          </cell>
        </row>
        <row r="184">
          <cell r="AC184">
            <v>181</v>
          </cell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  <cell r="AZ184">
            <v>181</v>
          </cell>
          <cell r="BA184">
            <v>42.028297717729309</v>
          </cell>
          <cell r="BB184">
            <v>43.516984518759458</v>
          </cell>
          <cell r="BC184">
            <v>45.460099742429037</v>
          </cell>
          <cell r="BD184">
            <v>48.209593750260417</v>
          </cell>
          <cell r="BE184">
            <v>52.919026782454004</v>
          </cell>
        </row>
        <row r="185">
          <cell r="AC185">
            <v>182</v>
          </cell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  <cell r="AZ185">
            <v>182</v>
          </cell>
          <cell r="BA185">
            <v>42.063010472656373</v>
          </cell>
          <cell r="BB185">
            <v>43.554431227194108</v>
          </cell>
          <cell r="BC185">
            <v>45.497294547799214</v>
          </cell>
          <cell r="BD185">
            <v>48.24548675007965</v>
          </cell>
          <cell r="BE185">
            <v>52.958933464046098</v>
          </cell>
        </row>
        <row r="186">
          <cell r="AC186">
            <v>183</v>
          </cell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  <cell r="AZ186">
            <v>183</v>
          </cell>
          <cell r="BA186">
            <v>42.097723227583437</v>
          </cell>
          <cell r="BB186">
            <v>43.591877935628752</v>
          </cell>
          <cell r="BC186">
            <v>45.534489353169384</v>
          </cell>
          <cell r="BD186">
            <v>48.281379749898889</v>
          </cell>
          <cell r="BE186">
            <v>52.998840145638198</v>
          </cell>
        </row>
        <row r="187">
          <cell r="AC187">
            <v>184</v>
          </cell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  <cell r="AZ187">
            <v>184</v>
          </cell>
          <cell r="BA187">
            <v>42.132435982510501</v>
          </cell>
          <cell r="BB187">
            <v>43.629324644063402</v>
          </cell>
          <cell r="BC187">
            <v>45.571684158539561</v>
          </cell>
          <cell r="BD187">
            <v>48.317272749718121</v>
          </cell>
          <cell r="BE187">
            <v>53.033462597729766</v>
          </cell>
        </row>
        <row r="188">
          <cell r="AC188">
            <v>185</v>
          </cell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  <cell r="AZ188">
            <v>185</v>
          </cell>
          <cell r="BA188">
            <v>42.167148737437564</v>
          </cell>
          <cell r="BB188">
            <v>43.666771352498046</v>
          </cell>
          <cell r="BC188">
            <v>45.608878963909731</v>
          </cell>
          <cell r="BD188">
            <v>48.353165749537354</v>
          </cell>
          <cell r="BE188">
            <v>53.067926870763252</v>
          </cell>
        </row>
        <row r="189">
          <cell r="AC189">
            <v>186</v>
          </cell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  <cell r="AZ189">
            <v>186</v>
          </cell>
          <cell r="BA189">
            <v>42.201861492364635</v>
          </cell>
          <cell r="BB189">
            <v>43.704218060932696</v>
          </cell>
          <cell r="BC189">
            <v>45.646073769279901</v>
          </cell>
          <cell r="BD189">
            <v>48.389058749356593</v>
          </cell>
          <cell r="BE189">
            <v>53.102391143796744</v>
          </cell>
        </row>
        <row r="190">
          <cell r="AC190">
            <v>187</v>
          </cell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  <cell r="AZ190">
            <v>187</v>
          </cell>
          <cell r="BA190">
            <v>42.236574247291699</v>
          </cell>
          <cell r="BB190">
            <v>43.741664769367347</v>
          </cell>
          <cell r="BC190">
            <v>45.683268574650079</v>
          </cell>
          <cell r="BD190">
            <v>48.424951749175825</v>
          </cell>
          <cell r="BE190">
            <v>53.13685541683023</v>
          </cell>
        </row>
        <row r="191">
          <cell r="AC191">
            <v>188</v>
          </cell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  <cell r="AZ191">
            <v>188</v>
          </cell>
          <cell r="BA191">
            <v>42.271287002218763</v>
          </cell>
          <cell r="BB191">
            <v>43.77911147780199</v>
          </cell>
          <cell r="BC191">
            <v>45.720463380020249</v>
          </cell>
          <cell r="BD191">
            <v>48.460844748995065</v>
          </cell>
          <cell r="BE191">
            <v>53.171319689863722</v>
          </cell>
        </row>
        <row r="192">
          <cell r="AC192">
            <v>189</v>
          </cell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  <cell r="AZ192">
            <v>189</v>
          </cell>
          <cell r="BA192">
            <v>42.305999757145827</v>
          </cell>
          <cell r="BB192">
            <v>43.816558186236641</v>
          </cell>
          <cell r="BC192">
            <v>45.757658185390426</v>
          </cell>
          <cell r="BD192">
            <v>48.496737748814297</v>
          </cell>
          <cell r="BE192">
            <v>53.205783962897208</v>
          </cell>
        </row>
        <row r="193">
          <cell r="AC193">
            <v>190</v>
          </cell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  <cell r="AZ193">
            <v>190</v>
          </cell>
          <cell r="BA193">
            <v>42.340712512072891</v>
          </cell>
          <cell r="BB193">
            <v>43.854004894671284</v>
          </cell>
          <cell r="BC193">
            <v>45.794852990760596</v>
          </cell>
          <cell r="BD193">
            <v>48.532630748633537</v>
          </cell>
          <cell r="BE193">
            <v>53.240248235930693</v>
          </cell>
        </row>
        <row r="194">
          <cell r="AC194">
            <v>191</v>
          </cell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  <cell r="AZ194">
            <v>191</v>
          </cell>
          <cell r="BA194">
            <v>42.375425266999954</v>
          </cell>
          <cell r="BB194">
            <v>43.891451603105935</v>
          </cell>
          <cell r="BC194">
            <v>45.832047796130773</v>
          </cell>
          <cell r="BD194">
            <v>48.568523748452769</v>
          </cell>
          <cell r="BE194">
            <v>53.274712508964186</v>
          </cell>
        </row>
        <row r="195">
          <cell r="AC195">
            <v>192</v>
          </cell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  <cell r="AZ195">
            <v>192</v>
          </cell>
          <cell r="BA195">
            <v>42.410138021927018</v>
          </cell>
          <cell r="BB195">
            <v>43.928898311540578</v>
          </cell>
          <cell r="BC195">
            <v>45.869242601500943</v>
          </cell>
          <cell r="BD195">
            <v>48.604416748272008</v>
          </cell>
          <cell r="BE195">
            <v>53.309176781997671</v>
          </cell>
        </row>
        <row r="196">
          <cell r="AC196">
            <v>193</v>
          </cell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  <cell r="AZ196">
            <v>193</v>
          </cell>
          <cell r="BA196">
            <v>42.444850776854082</v>
          </cell>
          <cell r="BB196">
            <v>43.966345019975229</v>
          </cell>
          <cell r="BC196">
            <v>45.906437406871113</v>
          </cell>
          <cell r="BD196">
            <v>48.640309748091241</v>
          </cell>
          <cell r="BE196">
            <v>53.343641055031163</v>
          </cell>
        </row>
        <row r="197">
          <cell r="AC197">
            <v>194</v>
          </cell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  <cell r="AZ197">
            <v>194</v>
          </cell>
          <cell r="BA197">
            <v>42.479563531781146</v>
          </cell>
          <cell r="BB197">
            <v>44.003272544984547</v>
          </cell>
          <cell r="BC197">
            <v>45.94363221224129</v>
          </cell>
          <cell r="BD197">
            <v>48.67620274791048</v>
          </cell>
          <cell r="BE197">
            <v>53.378105328064649</v>
          </cell>
        </row>
        <row r="198">
          <cell r="AC198">
            <v>195</v>
          </cell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  <cell r="AZ198">
            <v>195</v>
          </cell>
          <cell r="BA198">
            <v>42.51427628670821</v>
          </cell>
          <cell r="BB198">
            <v>44.035591852864428</v>
          </cell>
          <cell r="BC198">
            <v>45.98082701761146</v>
          </cell>
          <cell r="BD198">
            <v>48.712095747729713</v>
          </cell>
          <cell r="BE198">
            <v>53.412569601098134</v>
          </cell>
        </row>
        <row r="199">
          <cell r="AC199">
            <v>196</v>
          </cell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  <cell r="AZ199">
            <v>196</v>
          </cell>
          <cell r="BA199">
            <v>42.548989041635274</v>
          </cell>
          <cell r="BB199">
            <v>44.067911160744309</v>
          </cell>
          <cell r="BC199">
            <v>46.01555652579863</v>
          </cell>
          <cell r="BD199">
            <v>48.747988747548945</v>
          </cell>
          <cell r="BE199">
            <v>53.447033874131627</v>
          </cell>
        </row>
        <row r="200">
          <cell r="AC200">
            <v>197</v>
          </cell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  <cell r="AZ200">
            <v>197</v>
          </cell>
          <cell r="BA200">
            <v>42.583701796562345</v>
          </cell>
          <cell r="BB200">
            <v>44.100230468624183</v>
          </cell>
          <cell r="BC200">
            <v>46.047663263829847</v>
          </cell>
          <cell r="BD200">
            <v>48.783881747368184</v>
          </cell>
          <cell r="BE200">
            <v>53.481498147165112</v>
          </cell>
        </row>
        <row r="201">
          <cell r="AC201">
            <v>198</v>
          </cell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  <cell r="AZ201">
            <v>198</v>
          </cell>
          <cell r="BA201">
            <v>42.618414551489408</v>
          </cell>
          <cell r="BB201">
            <v>44.132549776504064</v>
          </cell>
          <cell r="BC201">
            <v>46.079770001861057</v>
          </cell>
          <cell r="BD201">
            <v>48.819774747187417</v>
          </cell>
          <cell r="BE201">
            <v>53.515962420198605</v>
          </cell>
        </row>
        <row r="202">
          <cell r="AC202">
            <v>199</v>
          </cell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  <cell r="AZ202">
            <v>199</v>
          </cell>
          <cell r="BA202">
            <v>42.653127306416472</v>
          </cell>
          <cell r="BB202">
            <v>44.164869084383938</v>
          </cell>
          <cell r="BC202">
            <v>46.111876739892267</v>
          </cell>
          <cell r="BD202">
            <v>48.855667747006656</v>
          </cell>
          <cell r="BE202">
            <v>53.55042669323209</v>
          </cell>
        </row>
        <row r="203">
          <cell r="AC203">
            <v>200</v>
          </cell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  <cell r="AZ203">
            <v>200</v>
          </cell>
          <cell r="BA203">
            <v>42.687840061343536</v>
          </cell>
          <cell r="BB203">
            <v>44.197188392263818</v>
          </cell>
          <cell r="BC203">
            <v>46.143983477923484</v>
          </cell>
          <cell r="BD203">
            <v>48.891560746825888</v>
          </cell>
          <cell r="BE203">
            <v>53.584890966265583</v>
          </cell>
        </row>
        <row r="204">
          <cell r="AC204">
            <v>201</v>
          </cell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  <cell r="AZ204">
            <v>201</v>
          </cell>
          <cell r="BA204">
            <v>42.7225528162706</v>
          </cell>
          <cell r="BB204">
            <v>44.229507700143699</v>
          </cell>
          <cell r="BC204">
            <v>46.176090215954694</v>
          </cell>
          <cell r="BD204">
            <v>48.927453746645128</v>
          </cell>
          <cell r="BE204">
            <v>53.619355239299068</v>
          </cell>
        </row>
        <row r="205">
          <cell r="AC205">
            <v>202</v>
          </cell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  <cell r="AZ205">
            <v>202</v>
          </cell>
          <cell r="BA205">
            <v>42.757265571197664</v>
          </cell>
          <cell r="BB205">
            <v>44.261827008023573</v>
          </cell>
          <cell r="BC205">
            <v>46.208196953985905</v>
          </cell>
          <cell r="BD205">
            <v>48.96334674646436</v>
          </cell>
          <cell r="BE205">
            <v>53.653819512332554</v>
          </cell>
        </row>
        <row r="206">
          <cell r="AC206">
            <v>203</v>
          </cell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  <cell r="AZ206">
            <v>203</v>
          </cell>
          <cell r="BA206">
            <v>42.791978326124728</v>
          </cell>
          <cell r="BB206">
            <v>44.294146315903454</v>
          </cell>
          <cell r="BC206">
            <v>46.240303692017122</v>
          </cell>
          <cell r="BD206">
            <v>48.9992397462836</v>
          </cell>
          <cell r="BE206">
            <v>53.688283785366046</v>
          </cell>
        </row>
        <row r="207">
          <cell r="AC207">
            <v>204</v>
          </cell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  <cell r="AZ207">
            <v>204</v>
          </cell>
          <cell r="BA207">
            <v>42.826691081051791</v>
          </cell>
          <cell r="BB207">
            <v>44.326465623783335</v>
          </cell>
          <cell r="BC207">
            <v>46.272410430048332</v>
          </cell>
          <cell r="BD207">
            <v>49.030333272797542</v>
          </cell>
          <cell r="BE207">
            <v>53.722748058399532</v>
          </cell>
        </row>
        <row r="208">
          <cell r="AC208">
            <v>205</v>
          </cell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  <cell r="AZ208">
            <v>205</v>
          </cell>
          <cell r="BA208">
            <v>42.861403835978855</v>
          </cell>
          <cell r="BB208">
            <v>44.358784931663209</v>
          </cell>
          <cell r="BC208">
            <v>46.304517168079542</v>
          </cell>
          <cell r="BD208">
            <v>49.061322941292346</v>
          </cell>
          <cell r="BE208">
            <v>53.757212331433024</v>
          </cell>
        </row>
        <row r="209">
          <cell r="AC209">
            <v>206</v>
          </cell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  <cell r="AZ209">
            <v>206</v>
          </cell>
          <cell r="BA209">
            <v>42.896116590905919</v>
          </cell>
          <cell r="BB209">
            <v>44.39110423954309</v>
          </cell>
          <cell r="BC209">
            <v>46.336623906110759</v>
          </cell>
          <cell r="BD209">
            <v>49.09231260978715</v>
          </cell>
          <cell r="BE209">
            <v>53.79167660446651</v>
          </cell>
        </row>
        <row r="210">
          <cell r="AC210">
            <v>207</v>
          </cell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  <cell r="AZ210">
            <v>207</v>
          </cell>
          <cell r="BA210">
            <v>42.930829345832983</v>
          </cell>
          <cell r="BB210">
            <v>44.423423547422971</v>
          </cell>
          <cell r="BC210">
            <v>46.368730644141969</v>
          </cell>
          <cell r="BD210">
            <v>49.123302278281955</v>
          </cell>
          <cell r="BE210">
            <v>53.826140877499995</v>
          </cell>
        </row>
        <row r="211">
          <cell r="AC211">
            <v>208</v>
          </cell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  <cell r="AZ211">
            <v>208</v>
          </cell>
          <cell r="BA211">
            <v>42.965542100760054</v>
          </cell>
          <cell r="BB211">
            <v>44.455742855302844</v>
          </cell>
          <cell r="BC211">
            <v>46.400837382173179</v>
          </cell>
          <cell r="BD211">
            <v>49.154291946776759</v>
          </cell>
          <cell r="BE211">
            <v>53.860605150533488</v>
          </cell>
        </row>
        <row r="212">
          <cell r="AC212">
            <v>209</v>
          </cell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  <cell r="AZ212">
            <v>209</v>
          </cell>
          <cell r="BA212">
            <v>43.000219942361319</v>
          </cell>
          <cell r="BB212">
            <v>44.488062163182725</v>
          </cell>
          <cell r="BC212">
            <v>46.432944120204397</v>
          </cell>
          <cell r="BD212">
            <v>49.18528161527157</v>
          </cell>
          <cell r="BE212">
            <v>53.895069423566973</v>
          </cell>
        </row>
        <row r="213">
          <cell r="AC213">
            <v>210</v>
          </cell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  <cell r="AZ213">
            <v>210</v>
          </cell>
          <cell r="BA213">
            <v>43.030177309109042</v>
          </cell>
          <cell r="BB213">
            <v>44.520381471062606</v>
          </cell>
          <cell r="BC213">
            <v>46.465050858235607</v>
          </cell>
          <cell r="BD213">
            <v>49.216271283766375</v>
          </cell>
          <cell r="BE213">
            <v>53.929533696600465</v>
          </cell>
        </row>
        <row r="214">
          <cell r="AC214">
            <v>211</v>
          </cell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  <cell r="AZ214">
            <v>211</v>
          </cell>
          <cell r="BA214">
            <v>43.060134675856759</v>
          </cell>
          <cell r="BB214">
            <v>44.55270077894248</v>
          </cell>
          <cell r="BC214">
            <v>46.497157596266817</v>
          </cell>
          <cell r="BD214">
            <v>49.247260952261179</v>
          </cell>
          <cell r="BE214">
            <v>53.963997969633951</v>
          </cell>
        </row>
        <row r="215">
          <cell r="AC215">
            <v>212</v>
          </cell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  <cell r="AZ215">
            <v>212</v>
          </cell>
          <cell r="BA215">
            <v>43.090092042604475</v>
          </cell>
          <cell r="BB215">
            <v>44.585020086822361</v>
          </cell>
          <cell r="BC215">
            <v>46.529264334298034</v>
          </cell>
          <cell r="BD215">
            <v>49.278250620755983</v>
          </cell>
          <cell r="BE215">
            <v>53.998462242667436</v>
          </cell>
        </row>
        <row r="216">
          <cell r="AC216">
            <v>213</v>
          </cell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  <cell r="AZ216">
            <v>213</v>
          </cell>
          <cell r="BA216">
            <v>43.120049409352191</v>
          </cell>
          <cell r="BB216">
            <v>44.617339394702242</v>
          </cell>
          <cell r="BC216">
            <v>46.561371072329244</v>
          </cell>
          <cell r="BD216">
            <v>49.309240289250788</v>
          </cell>
          <cell r="BE216">
            <v>54.028437871105552</v>
          </cell>
        </row>
        <row r="217">
          <cell r="AC217">
            <v>214</v>
          </cell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  <cell r="AZ217">
            <v>214</v>
          </cell>
          <cell r="BA217">
            <v>43.150006776099914</v>
          </cell>
          <cell r="BB217">
            <v>44.649658702582116</v>
          </cell>
          <cell r="BC217">
            <v>46.593477810360454</v>
          </cell>
          <cell r="BD217">
            <v>49.340229957745592</v>
          </cell>
          <cell r="BE217">
            <v>54.058203867701586</v>
          </cell>
        </row>
        <row r="218">
          <cell r="AC218">
            <v>215</v>
          </cell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  <cell r="AZ218">
            <v>215</v>
          </cell>
          <cell r="BA218">
            <v>43.179964142847631</v>
          </cell>
          <cell r="BB218">
            <v>44.681978010461997</v>
          </cell>
          <cell r="BC218">
            <v>46.625584548391664</v>
          </cell>
          <cell r="BD218">
            <v>49.371219626240396</v>
          </cell>
          <cell r="BE218">
            <v>54.087969864297619</v>
          </cell>
        </row>
        <row r="219">
          <cell r="AC219">
            <v>216</v>
          </cell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  <cell r="AZ219">
            <v>216</v>
          </cell>
          <cell r="BA219">
            <v>43.209921509595347</v>
          </cell>
          <cell r="BB219">
            <v>44.71429731834187</v>
          </cell>
          <cell r="BC219">
            <v>46.657691286422882</v>
          </cell>
          <cell r="BD219">
            <v>49.402209294735208</v>
          </cell>
          <cell r="BE219">
            <v>54.117735860893646</v>
          </cell>
        </row>
        <row r="220">
          <cell r="AC220">
            <v>217</v>
          </cell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  <cell r="AZ220">
            <v>217</v>
          </cell>
          <cell r="BA220">
            <v>43.239878876343063</v>
          </cell>
          <cell r="BB220">
            <v>44.746616626221751</v>
          </cell>
          <cell r="BC220">
            <v>46.689798024454092</v>
          </cell>
          <cell r="BD220">
            <v>49.433198963230012</v>
          </cell>
          <cell r="BE220">
            <v>54.147501857489679</v>
          </cell>
        </row>
        <row r="221">
          <cell r="AC221">
            <v>218</v>
          </cell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  <cell r="AZ221">
            <v>218</v>
          </cell>
          <cell r="BA221">
            <v>43.269836243090786</v>
          </cell>
          <cell r="BB221">
            <v>44.778935934101632</v>
          </cell>
          <cell r="BC221">
            <v>46.721904762485302</v>
          </cell>
          <cell r="BD221">
            <v>49.464188631724817</v>
          </cell>
          <cell r="BE221">
            <v>54.177267854085706</v>
          </cell>
        </row>
        <row r="222">
          <cell r="AC222">
            <v>219</v>
          </cell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  <cell r="AZ222">
            <v>219</v>
          </cell>
          <cell r="BA222">
            <v>43.299793609838503</v>
          </cell>
          <cell r="BB222">
            <v>44.811255241981506</v>
          </cell>
          <cell r="BC222">
            <v>46.754011500516519</v>
          </cell>
          <cell r="BD222">
            <v>49.495178300219621</v>
          </cell>
          <cell r="BE222">
            <v>54.207033850681739</v>
          </cell>
        </row>
        <row r="223">
          <cell r="AC223">
            <v>220</v>
          </cell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  <cell r="AZ223">
            <v>220</v>
          </cell>
          <cell r="BA223">
            <v>43.329750976586219</v>
          </cell>
          <cell r="BB223">
            <v>44.843574549861387</v>
          </cell>
          <cell r="BC223">
            <v>46.786118238547729</v>
          </cell>
          <cell r="BD223">
            <v>49.526167968714425</v>
          </cell>
          <cell r="BE223">
            <v>54.236799847277773</v>
          </cell>
        </row>
        <row r="224">
          <cell r="AC224">
            <v>221</v>
          </cell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  <cell r="AZ224">
            <v>221</v>
          </cell>
          <cell r="BA224">
            <v>43.359708343333942</v>
          </cell>
          <cell r="BB224">
            <v>44.875893857741268</v>
          </cell>
          <cell r="BC224">
            <v>46.818224976578939</v>
          </cell>
          <cell r="BD224">
            <v>49.55715763720923</v>
          </cell>
          <cell r="BE224">
            <v>54.266565843873799</v>
          </cell>
        </row>
        <row r="225">
          <cell r="AC225">
            <v>222</v>
          </cell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  <cell r="AZ225">
            <v>222</v>
          </cell>
          <cell r="BA225">
            <v>43.389665710081658</v>
          </cell>
          <cell r="BB225">
            <v>44.908213165621142</v>
          </cell>
          <cell r="BC225">
            <v>46.850331714610157</v>
          </cell>
          <cell r="BD225">
            <v>49.588147305704041</v>
          </cell>
          <cell r="BE225">
            <v>54.296331840469833</v>
          </cell>
        </row>
        <row r="226">
          <cell r="AC226">
            <v>223</v>
          </cell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  <cell r="AZ226">
            <v>223</v>
          </cell>
          <cell r="BA226">
            <v>43.419623076829374</v>
          </cell>
          <cell r="BB226">
            <v>44.940532473501023</v>
          </cell>
          <cell r="BC226">
            <v>46.882438452641367</v>
          </cell>
          <cell r="BD226">
            <v>49.619136974198845</v>
          </cell>
          <cell r="BE226">
            <v>54.326097837065859</v>
          </cell>
        </row>
        <row r="227">
          <cell r="AC227">
            <v>224</v>
          </cell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  <cell r="AZ227">
            <v>224</v>
          </cell>
          <cell r="BA227">
            <v>43.449580443577091</v>
          </cell>
          <cell r="BB227">
            <v>44.972851781380903</v>
          </cell>
          <cell r="BC227">
            <v>46.914545190672577</v>
          </cell>
          <cell r="BD227">
            <v>49.65012664269365</v>
          </cell>
          <cell r="BE227">
            <v>54.355863833661893</v>
          </cell>
        </row>
        <row r="228">
          <cell r="AC228">
            <v>225</v>
          </cell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  <cell r="AZ228">
            <v>225</v>
          </cell>
          <cell r="BA228">
            <v>43.479537810324814</v>
          </cell>
          <cell r="BB228">
            <v>45.004463376644416</v>
          </cell>
          <cell r="BC228">
            <v>46.946651928703794</v>
          </cell>
          <cell r="BD228">
            <v>49.681116311188454</v>
          </cell>
          <cell r="BE228">
            <v>54.385629830257926</v>
          </cell>
        </row>
        <row r="229">
          <cell r="AC229">
            <v>226</v>
          </cell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  <cell r="AZ229">
            <v>226</v>
          </cell>
          <cell r="BA229">
            <v>43.50949517707253</v>
          </cell>
          <cell r="BB229">
            <v>45.032359480672049</v>
          </cell>
          <cell r="BC229">
            <v>46.978758666735004</v>
          </cell>
          <cell r="BD229">
            <v>49.712105979683258</v>
          </cell>
          <cell r="BE229">
            <v>54.415395826853953</v>
          </cell>
        </row>
        <row r="230">
          <cell r="AC230">
            <v>227</v>
          </cell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  <cell r="AZ230">
            <v>227</v>
          </cell>
          <cell r="BA230">
            <v>43.539452543820246</v>
          </cell>
          <cell r="BB230">
            <v>45.060255584699682</v>
          </cell>
          <cell r="BC230">
            <v>47.009379755645142</v>
          </cell>
          <cell r="BD230">
            <v>49.743095648178063</v>
          </cell>
          <cell r="BE230">
            <v>54.445161823449986</v>
          </cell>
        </row>
        <row r="231">
          <cell r="AC231">
            <v>228</v>
          </cell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  <cell r="AZ231">
            <v>228</v>
          </cell>
          <cell r="BA231">
            <v>43.569409910567963</v>
          </cell>
          <cell r="BB231">
            <v>45.088151688727308</v>
          </cell>
          <cell r="BC231">
            <v>47.037096473409001</v>
          </cell>
          <cell r="BD231">
            <v>49.774085316672867</v>
          </cell>
          <cell r="BE231">
            <v>54.47492782004602</v>
          </cell>
        </row>
        <row r="232">
          <cell r="AC232">
            <v>229</v>
          </cell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  <cell r="AZ232">
            <v>229</v>
          </cell>
          <cell r="BA232">
            <v>43.599367277315686</v>
          </cell>
          <cell r="BB232">
            <v>45.116047792754941</v>
          </cell>
          <cell r="BC232">
            <v>47.06481319117286</v>
          </cell>
          <cell r="BD232">
            <v>49.805074985167678</v>
          </cell>
          <cell r="BE232">
            <v>54.504693816642046</v>
          </cell>
        </row>
        <row r="233">
          <cell r="AC233">
            <v>230</v>
          </cell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  <cell r="AZ233">
            <v>230</v>
          </cell>
          <cell r="BA233">
            <v>43.629324644063402</v>
          </cell>
          <cell r="BB233">
            <v>45.143943896782567</v>
          </cell>
          <cell r="BC233">
            <v>47.092529908936719</v>
          </cell>
          <cell r="BD233">
            <v>49.836064653662483</v>
          </cell>
          <cell r="BE233">
            <v>54.53445981323808</v>
          </cell>
        </row>
        <row r="234">
          <cell r="AC234">
            <v>231</v>
          </cell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  <cell r="AZ234">
            <v>231</v>
          </cell>
          <cell r="BA234">
            <v>43.659282010811118</v>
          </cell>
          <cell r="BB234">
            <v>45.171840000810199</v>
          </cell>
          <cell r="BC234">
            <v>47.120246626700578</v>
          </cell>
          <cell r="BD234">
            <v>49.867054322157287</v>
          </cell>
          <cell r="BE234">
            <v>54.564225809834106</v>
          </cell>
        </row>
        <row r="235">
          <cell r="AC235">
            <v>232</v>
          </cell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  <cell r="AZ235">
            <v>232</v>
          </cell>
          <cell r="BA235">
            <v>43.689239377558835</v>
          </cell>
          <cell r="BB235">
            <v>45.199736104837825</v>
          </cell>
          <cell r="BC235">
            <v>47.147963344464429</v>
          </cell>
          <cell r="BD235">
            <v>49.898043990652091</v>
          </cell>
          <cell r="BE235">
            <v>54.593991806430139</v>
          </cell>
        </row>
        <row r="236">
          <cell r="AC236">
            <v>233</v>
          </cell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  <cell r="AZ236">
            <v>233</v>
          </cell>
          <cell r="BA236">
            <v>43.719196744306558</v>
          </cell>
          <cell r="BB236">
            <v>45.227632208865458</v>
          </cell>
          <cell r="BC236">
            <v>47.175680062228288</v>
          </cell>
          <cell r="BD236">
            <v>49.929033659146896</v>
          </cell>
          <cell r="BE236">
            <v>54.623757803026173</v>
          </cell>
        </row>
        <row r="237">
          <cell r="AC237">
            <v>234</v>
          </cell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  <cell r="AZ237">
            <v>234</v>
          </cell>
          <cell r="BA237">
            <v>43.749154111054274</v>
          </cell>
          <cell r="BB237">
            <v>45.255528312893091</v>
          </cell>
          <cell r="BC237">
            <v>47.203396779992147</v>
          </cell>
          <cell r="BD237">
            <v>49.9600233276417</v>
          </cell>
          <cell r="BE237">
            <v>54.653523799622199</v>
          </cell>
        </row>
        <row r="238">
          <cell r="AC238">
            <v>235</v>
          </cell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  <cell r="AZ238">
            <v>235</v>
          </cell>
          <cell r="BA238">
            <v>43.77911147780199</v>
          </cell>
          <cell r="BB238">
            <v>45.283424416920717</v>
          </cell>
          <cell r="BC238">
            <v>47.231113497756006</v>
          </cell>
          <cell r="BD238">
            <v>49.991012996136504</v>
          </cell>
          <cell r="BE238">
            <v>54.683289796218233</v>
          </cell>
        </row>
        <row r="239">
          <cell r="AC239">
            <v>236</v>
          </cell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  <cell r="AZ239">
            <v>236</v>
          </cell>
          <cell r="BA239">
            <v>43.809068844549707</v>
          </cell>
          <cell r="BB239">
            <v>45.31132052094835</v>
          </cell>
          <cell r="BC239">
            <v>47.258830215519865</v>
          </cell>
          <cell r="BD239">
            <v>50.018998195299922</v>
          </cell>
          <cell r="BE239">
            <v>54.713055792814259</v>
          </cell>
        </row>
        <row r="240">
          <cell r="AC240">
            <v>237</v>
          </cell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  <cell r="AZ240">
            <v>237</v>
          </cell>
          <cell r="BA240">
            <v>43.83902621129743</v>
          </cell>
          <cell r="BB240">
            <v>45.339216624975975</v>
          </cell>
          <cell r="BC240">
            <v>47.286546933283724</v>
          </cell>
          <cell r="BD240">
            <v>50.045756216849099</v>
          </cell>
          <cell r="BE240">
            <v>54.742821789410293</v>
          </cell>
        </row>
        <row r="241">
          <cell r="AC241">
            <v>238</v>
          </cell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  <cell r="AZ241">
            <v>238</v>
          </cell>
          <cell r="BA241">
            <v>43.868983578045146</v>
          </cell>
          <cell r="BB241">
            <v>45.367112729003608</v>
          </cell>
          <cell r="BC241">
            <v>47.314263651047582</v>
          </cell>
          <cell r="BD241">
            <v>50.072514238398277</v>
          </cell>
          <cell r="BE241">
            <v>54.772587786006326</v>
          </cell>
        </row>
        <row r="242">
          <cell r="AC242">
            <v>239</v>
          </cell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  <cell r="AZ242">
            <v>239</v>
          </cell>
          <cell r="BA242">
            <v>43.898940944792862</v>
          </cell>
          <cell r="BB242">
            <v>45.395008833031234</v>
          </cell>
          <cell r="BC242">
            <v>47.341980368811441</v>
          </cell>
          <cell r="BD242">
            <v>50.099272259947462</v>
          </cell>
          <cell r="BE242">
            <v>54.802353782602353</v>
          </cell>
        </row>
        <row r="243">
          <cell r="AC243">
            <v>240</v>
          </cell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  <cell r="AZ243">
            <v>240</v>
          </cell>
          <cell r="BA243">
            <v>43.928898311540586</v>
          </cell>
          <cell r="BB243">
            <v>45.422904937058867</v>
          </cell>
          <cell r="BC243">
            <v>47.3696970865753</v>
          </cell>
          <cell r="BD243">
            <v>50.126030281496639</v>
          </cell>
          <cell r="BE243">
            <v>54.832119779198386</v>
          </cell>
        </row>
        <row r="244">
          <cell r="AC244">
            <v>241</v>
          </cell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  <cell r="AZ244">
            <v>241</v>
          </cell>
          <cell r="BA244">
            <v>43.958855678288302</v>
          </cell>
          <cell r="BB244">
            <v>45.450801041086493</v>
          </cell>
          <cell r="BC244">
            <v>47.397413804339159</v>
          </cell>
          <cell r="BD244">
            <v>50.152788303045817</v>
          </cell>
          <cell r="BE244">
            <v>54.86188577579442</v>
          </cell>
        </row>
        <row r="245">
          <cell r="AC245">
            <v>242</v>
          </cell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  <cell r="AZ245">
            <v>242</v>
          </cell>
          <cell r="BA245">
            <v>43.988813045036018</v>
          </cell>
          <cell r="BB245">
            <v>45.478697145114126</v>
          </cell>
          <cell r="BC245">
            <v>47.425130522103018</v>
          </cell>
          <cell r="BD245">
            <v>50.179546324595002</v>
          </cell>
          <cell r="BE245">
            <v>54.891651772390446</v>
          </cell>
        </row>
        <row r="246">
          <cell r="AC246">
            <v>243</v>
          </cell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  <cell r="AZ246">
            <v>243</v>
          </cell>
          <cell r="BA246">
            <v>44.016200268136501</v>
          </cell>
          <cell r="BB246">
            <v>45.506593249141758</v>
          </cell>
          <cell r="BC246">
            <v>47.452847239866877</v>
          </cell>
          <cell r="BD246">
            <v>50.206304346144179</v>
          </cell>
          <cell r="BE246">
            <v>54.92141776898648</v>
          </cell>
        </row>
        <row r="247">
          <cell r="AC247">
            <v>244</v>
          </cell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  <cell r="AZ247">
            <v>244</v>
          </cell>
          <cell r="BA247">
            <v>44.042055714440401</v>
          </cell>
          <cell r="BB247">
            <v>45.534489353169384</v>
          </cell>
          <cell r="BC247">
            <v>47.480563957630736</v>
          </cell>
          <cell r="BD247">
            <v>50.233062367693357</v>
          </cell>
          <cell r="BE247">
            <v>54.951183765582506</v>
          </cell>
        </row>
        <row r="248">
          <cell r="AC248">
            <v>245</v>
          </cell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  <cell r="AZ248">
            <v>245</v>
          </cell>
          <cell r="BA248">
            <v>44.067911160744309</v>
          </cell>
          <cell r="BB248">
            <v>45.562385457197017</v>
          </cell>
          <cell r="BC248">
            <v>47.508280675394595</v>
          </cell>
          <cell r="BD248">
            <v>50.259820389242542</v>
          </cell>
          <cell r="BE248">
            <v>54.98094976217854</v>
          </cell>
        </row>
        <row r="249">
          <cell r="AC249">
            <v>246</v>
          </cell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  <cell r="AZ249">
            <v>246</v>
          </cell>
          <cell r="BA249">
            <v>44.093766607048209</v>
          </cell>
          <cell r="BB249">
            <v>45.590281561224643</v>
          </cell>
          <cell r="BC249">
            <v>47.535997393158453</v>
          </cell>
          <cell r="BD249">
            <v>50.286578410791719</v>
          </cell>
          <cell r="BE249">
            <v>55.009255535630842</v>
          </cell>
        </row>
        <row r="250">
          <cell r="AC250">
            <v>247</v>
          </cell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  <cell r="AZ250">
            <v>247</v>
          </cell>
          <cell r="BA250">
            <v>44.11962205335211</v>
          </cell>
          <cell r="BB250">
            <v>45.618177665252276</v>
          </cell>
          <cell r="BC250">
            <v>47.563714110922312</v>
          </cell>
          <cell r="BD250">
            <v>50.313336432340897</v>
          </cell>
          <cell r="BE250">
            <v>55.034965356827627</v>
          </cell>
        </row>
        <row r="251">
          <cell r="AC251">
            <v>248</v>
          </cell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  <cell r="AZ251">
            <v>248</v>
          </cell>
          <cell r="BA251">
            <v>44.145477499656018</v>
          </cell>
          <cell r="BB251">
            <v>45.646073769279901</v>
          </cell>
          <cell r="BC251">
            <v>47.591430828686171</v>
          </cell>
          <cell r="BD251">
            <v>50.340094453890082</v>
          </cell>
          <cell r="BE251">
            <v>55.060675178024418</v>
          </cell>
        </row>
        <row r="252">
          <cell r="AC252">
            <v>249</v>
          </cell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  <cell r="AZ252">
            <v>249</v>
          </cell>
          <cell r="BA252">
            <v>44.171332945959918</v>
          </cell>
          <cell r="BB252">
            <v>45.673969873307534</v>
          </cell>
          <cell r="BC252">
            <v>47.61914754645003</v>
          </cell>
          <cell r="BD252">
            <v>50.366852475439259</v>
          </cell>
          <cell r="BE252">
            <v>55.086384999221202</v>
          </cell>
        </row>
        <row r="253">
          <cell r="AC253">
            <v>250</v>
          </cell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  <cell r="AZ253">
            <v>250</v>
          </cell>
          <cell r="BA253">
            <v>44.197188392263818</v>
          </cell>
          <cell r="BB253">
            <v>45.701865977335167</v>
          </cell>
          <cell r="BC253">
            <v>47.646864264213889</v>
          </cell>
          <cell r="BD253">
            <v>50.393610496988437</v>
          </cell>
          <cell r="BE253">
            <v>55.112094820417994</v>
          </cell>
        </row>
        <row r="254">
          <cell r="AC254">
            <v>251</v>
          </cell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  <cell r="AZ254">
            <v>251</v>
          </cell>
          <cell r="BA254">
            <v>44.223043838567726</v>
          </cell>
          <cell r="BB254">
            <v>45.729762081362793</v>
          </cell>
          <cell r="BC254">
            <v>47.674580981977748</v>
          </cell>
          <cell r="BD254">
            <v>50.420368518537622</v>
          </cell>
          <cell r="BE254">
            <v>55.137804641614778</v>
          </cell>
        </row>
        <row r="255">
          <cell r="AC255">
            <v>252</v>
          </cell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  <cell r="AZ255">
            <v>252</v>
          </cell>
          <cell r="BA255">
            <v>44.248899284871626</v>
          </cell>
          <cell r="BB255">
            <v>45.757658185390426</v>
          </cell>
          <cell r="BC255">
            <v>47.7022976997416</v>
          </cell>
          <cell r="BD255">
            <v>50.447126540086799</v>
          </cell>
          <cell r="BE255">
            <v>55.163514462811563</v>
          </cell>
        </row>
        <row r="256">
          <cell r="AC256">
            <v>253</v>
          </cell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  <cell r="AZ256">
            <v>253</v>
          </cell>
          <cell r="BA256">
            <v>44.274754731175527</v>
          </cell>
          <cell r="BB256">
            <v>45.785554289418052</v>
          </cell>
          <cell r="BC256">
            <v>47.730014417505458</v>
          </cell>
          <cell r="BD256">
            <v>50.473884561635977</v>
          </cell>
          <cell r="BE256">
            <v>55.189224284008354</v>
          </cell>
        </row>
        <row r="257">
          <cell r="AC257">
            <v>254</v>
          </cell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  <cell r="AZ257">
            <v>254</v>
          </cell>
          <cell r="BA257">
            <v>44.300610177479435</v>
          </cell>
          <cell r="BB257">
            <v>45.813450393445684</v>
          </cell>
          <cell r="BC257">
            <v>47.757731135269317</v>
          </cell>
          <cell r="BD257">
            <v>50.500642583185162</v>
          </cell>
          <cell r="BE257">
            <v>55.214934105205138</v>
          </cell>
        </row>
        <row r="258">
          <cell r="AC258">
            <v>255</v>
          </cell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  <cell r="AZ258">
            <v>255</v>
          </cell>
          <cell r="BA258">
            <v>44.326465623783335</v>
          </cell>
          <cell r="BB258">
            <v>45.84134649747331</v>
          </cell>
          <cell r="BC258">
            <v>47.785447853033176</v>
          </cell>
          <cell r="BD258">
            <v>50.527400604734339</v>
          </cell>
          <cell r="BE258">
            <v>55.24064392640193</v>
          </cell>
        </row>
        <row r="259">
          <cell r="AC259">
            <v>256</v>
          </cell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  <cell r="AZ259">
            <v>256</v>
          </cell>
          <cell r="BA259">
            <v>44.352321070087235</v>
          </cell>
          <cell r="BB259">
            <v>45.869242601500943</v>
          </cell>
          <cell r="BC259">
            <v>47.813164570797035</v>
          </cell>
          <cell r="BD259">
            <v>50.554158626283517</v>
          </cell>
          <cell r="BE259">
            <v>55.266353747598714</v>
          </cell>
        </row>
        <row r="260">
          <cell r="AC260">
            <v>257</v>
          </cell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  <cell r="AZ260">
            <v>257</v>
          </cell>
          <cell r="BA260">
            <v>44.378176516391136</v>
          </cell>
          <cell r="BB260">
            <v>45.897138705528576</v>
          </cell>
          <cell r="BC260">
            <v>47.840881288560894</v>
          </cell>
          <cell r="BD260">
            <v>50.580916647832701</v>
          </cell>
          <cell r="BE260">
            <v>55.292063568795498</v>
          </cell>
        </row>
        <row r="261">
          <cell r="AC261">
            <v>258</v>
          </cell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  <cell r="AZ261">
            <v>258</v>
          </cell>
          <cell r="BA261">
            <v>44.404031962695043</v>
          </cell>
          <cell r="BB261">
            <v>45.925034809556202</v>
          </cell>
          <cell r="BC261">
            <v>47.868598006324753</v>
          </cell>
          <cell r="BD261">
            <v>50.607674669381879</v>
          </cell>
          <cell r="BE261">
            <v>55.31777338999229</v>
          </cell>
        </row>
        <row r="262">
          <cell r="AC262">
            <v>259</v>
          </cell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  <cell r="AZ262">
            <v>259</v>
          </cell>
          <cell r="BA262">
            <v>44.429887408998944</v>
          </cell>
          <cell r="BB262">
            <v>45.952930913583835</v>
          </cell>
          <cell r="BC262">
            <v>47.896314724088612</v>
          </cell>
          <cell r="BD262">
            <v>50.634432690931064</v>
          </cell>
          <cell r="BE262">
            <v>55.343483211189074</v>
          </cell>
        </row>
        <row r="263">
          <cell r="AC263">
            <v>260</v>
          </cell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  <cell r="AZ263">
            <v>260</v>
          </cell>
          <cell r="BA263">
            <v>44.455742855302844</v>
          </cell>
          <cell r="BB263">
            <v>45.98082701761146</v>
          </cell>
          <cell r="BC263">
            <v>47.92403144185247</v>
          </cell>
          <cell r="BD263">
            <v>50.661190712480241</v>
          </cell>
          <cell r="BE263">
            <v>55.369193032385866</v>
          </cell>
        </row>
        <row r="264">
          <cell r="AC264">
            <v>261</v>
          </cell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  <cell r="AZ264">
            <v>261</v>
          </cell>
          <cell r="BA264">
            <v>44.481598301606752</v>
          </cell>
          <cell r="BB264">
            <v>46.007529841290832</v>
          </cell>
          <cell r="BC264">
            <v>47.951748159616329</v>
          </cell>
          <cell r="BD264">
            <v>50.687948734029419</v>
          </cell>
          <cell r="BE264">
            <v>55.39490285358265</v>
          </cell>
        </row>
        <row r="265">
          <cell r="AC265">
            <v>262</v>
          </cell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  <cell r="AZ265">
            <v>262</v>
          </cell>
          <cell r="BA265">
            <v>44.507453747910652</v>
          </cell>
          <cell r="BB265">
            <v>46.031609894814238</v>
          </cell>
          <cell r="BC265">
            <v>47.979464877380188</v>
          </cell>
          <cell r="BD265">
            <v>50.714706755578604</v>
          </cell>
          <cell r="BE265">
            <v>55.420612674779434</v>
          </cell>
        </row>
        <row r="266">
          <cell r="AC266">
            <v>263</v>
          </cell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  <cell r="AZ266">
            <v>263</v>
          </cell>
          <cell r="BA266">
            <v>44.533309194214553</v>
          </cell>
          <cell r="BB266">
            <v>46.055689948337651</v>
          </cell>
          <cell r="BC266">
            <v>48.006200084618079</v>
          </cell>
          <cell r="BD266">
            <v>50.741464777127781</v>
          </cell>
          <cell r="BE266">
            <v>55.446322495976226</v>
          </cell>
        </row>
        <row r="267">
          <cell r="AC267">
            <v>264</v>
          </cell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  <cell r="AZ267">
            <v>264</v>
          </cell>
          <cell r="BA267">
            <v>44.55916464051846</v>
          </cell>
          <cell r="BB267">
            <v>46.079770001861057</v>
          </cell>
          <cell r="BC267">
            <v>48.030128751164241</v>
          </cell>
          <cell r="BD267">
            <v>50.768222798676959</v>
          </cell>
          <cell r="BE267">
            <v>55.47203231717301</v>
          </cell>
        </row>
        <row r="268">
          <cell r="AC268">
            <v>265</v>
          </cell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  <cell r="AZ268">
            <v>265</v>
          </cell>
          <cell r="BA268">
            <v>44.585020086822361</v>
          </cell>
          <cell r="BB268">
            <v>46.10385005538447</v>
          </cell>
          <cell r="BC268">
            <v>48.054057417710396</v>
          </cell>
          <cell r="BD268">
            <v>50.794980820226144</v>
          </cell>
          <cell r="BE268">
            <v>55.497742138369794</v>
          </cell>
        </row>
        <row r="269">
          <cell r="AC269">
            <v>266</v>
          </cell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  <cell r="AZ269">
            <v>266</v>
          </cell>
          <cell r="BA269">
            <v>44.610875533126261</v>
          </cell>
          <cell r="BB269">
            <v>46.127930108907876</v>
          </cell>
          <cell r="BC269">
            <v>48.077986084256551</v>
          </cell>
          <cell r="BD269">
            <v>50.821738841775321</v>
          </cell>
          <cell r="BE269">
            <v>55.523451959566586</v>
          </cell>
        </row>
        <row r="270">
          <cell r="AC270">
            <v>267</v>
          </cell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  <cell r="AZ270">
            <v>267</v>
          </cell>
          <cell r="BA270">
            <v>44.636730979430169</v>
          </cell>
          <cell r="BB270">
            <v>46.152010162431289</v>
          </cell>
          <cell r="BC270">
            <v>48.101914750802706</v>
          </cell>
          <cell r="BD270">
            <v>50.848496863324499</v>
          </cell>
          <cell r="BE270">
            <v>55.54916178076337</v>
          </cell>
        </row>
        <row r="271">
          <cell r="AC271">
            <v>268</v>
          </cell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  <cell r="AZ271">
            <v>268</v>
          </cell>
          <cell r="BA271">
            <v>44.662586425734069</v>
          </cell>
          <cell r="BB271">
            <v>46.176090215954694</v>
          </cell>
          <cell r="BC271">
            <v>48.125843417348868</v>
          </cell>
          <cell r="BD271">
            <v>50.875254884873684</v>
          </cell>
          <cell r="BE271">
            <v>55.574871601960162</v>
          </cell>
        </row>
        <row r="272">
          <cell r="AC272">
            <v>269</v>
          </cell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  <cell r="AZ272">
            <v>269</v>
          </cell>
          <cell r="BA272">
            <v>44.68844187203797</v>
          </cell>
          <cell r="BB272">
            <v>46.200170269478107</v>
          </cell>
          <cell r="BC272">
            <v>48.149772083895023</v>
          </cell>
          <cell r="BD272">
            <v>50.902012906422861</v>
          </cell>
          <cell r="BE272">
            <v>55.600581423156946</v>
          </cell>
        </row>
        <row r="273">
          <cell r="AC273">
            <v>270</v>
          </cell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  <cell r="AZ273">
            <v>270</v>
          </cell>
          <cell r="BA273">
            <v>44.714297318341877</v>
          </cell>
          <cell r="BB273">
            <v>46.224250323001513</v>
          </cell>
          <cell r="BC273">
            <v>48.173700750441178</v>
          </cell>
          <cell r="BD273">
            <v>50.928770927972039</v>
          </cell>
          <cell r="BE273">
            <v>55.62629124435373</v>
          </cell>
        </row>
        <row r="274">
          <cell r="AC274">
            <v>271</v>
          </cell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  <cell r="AZ274">
            <v>271</v>
          </cell>
          <cell r="BA274">
            <v>44.740152764645778</v>
          </cell>
          <cell r="BB274">
            <v>46.248330376524919</v>
          </cell>
          <cell r="BC274">
            <v>48.19762941698734</v>
          </cell>
          <cell r="BD274">
            <v>50.955528949521224</v>
          </cell>
          <cell r="BE274">
            <v>55.652001065550522</v>
          </cell>
        </row>
        <row r="275">
          <cell r="AC275">
            <v>272</v>
          </cell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  <cell r="AZ275">
            <v>272</v>
          </cell>
          <cell r="BA275">
            <v>44.766008210949678</v>
          </cell>
          <cell r="BB275">
            <v>46.272410430048332</v>
          </cell>
          <cell r="BC275">
            <v>48.221558083533495</v>
          </cell>
          <cell r="BD275">
            <v>50.982286971070401</v>
          </cell>
          <cell r="BE275">
            <v>55.677710886747306</v>
          </cell>
        </row>
        <row r="276">
          <cell r="AC276">
            <v>273</v>
          </cell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  <cell r="AZ276">
            <v>273</v>
          </cell>
          <cell r="BA276">
            <v>44.791863657253586</v>
          </cell>
          <cell r="BB276">
            <v>46.296490483571738</v>
          </cell>
          <cell r="BC276">
            <v>48.24548675007965</v>
          </cell>
          <cell r="BD276">
            <v>51.007810424246486</v>
          </cell>
          <cell r="BE276">
            <v>55.703420707944098</v>
          </cell>
        </row>
        <row r="277">
          <cell r="AC277">
            <v>274</v>
          </cell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  <cell r="AZ277">
            <v>274</v>
          </cell>
          <cell r="BA277">
            <v>44.817719103557486</v>
          </cell>
          <cell r="BB277">
            <v>46.320570537095151</v>
          </cell>
          <cell r="BC277">
            <v>48.269415416625804</v>
          </cell>
          <cell r="BD277">
            <v>51.030916192165336</v>
          </cell>
          <cell r="BE277">
            <v>55.729130529140882</v>
          </cell>
        </row>
        <row r="278">
          <cell r="AC278">
            <v>275</v>
          </cell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  <cell r="AZ278">
            <v>275</v>
          </cell>
          <cell r="BA278">
            <v>44.843574549861387</v>
          </cell>
          <cell r="BB278">
            <v>46.344650590618556</v>
          </cell>
          <cell r="BC278">
            <v>48.293344083171966</v>
          </cell>
          <cell r="BD278">
            <v>51.054021960084178</v>
          </cell>
          <cell r="BE278">
            <v>55.754840350337666</v>
          </cell>
        </row>
        <row r="279">
          <cell r="AC279">
            <v>276</v>
          </cell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  <cell r="AZ279">
            <v>276</v>
          </cell>
          <cell r="BA279">
            <v>44.869429996165294</v>
          </cell>
          <cell r="BB279">
            <v>46.368730644141969</v>
          </cell>
          <cell r="BC279">
            <v>48.317272749718121</v>
          </cell>
          <cell r="BD279">
            <v>51.077127728003028</v>
          </cell>
          <cell r="BE279">
            <v>55.780550171534458</v>
          </cell>
        </row>
        <row r="280">
          <cell r="AC280">
            <v>277</v>
          </cell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  <cell r="AZ280">
            <v>277</v>
          </cell>
          <cell r="BA280">
            <v>44.895285442469195</v>
          </cell>
          <cell r="BB280">
            <v>46.392810697665375</v>
          </cell>
          <cell r="BC280">
            <v>48.341201416264276</v>
          </cell>
          <cell r="BD280">
            <v>51.10023349592187</v>
          </cell>
          <cell r="BE280">
            <v>55.806259992731242</v>
          </cell>
        </row>
        <row r="281">
          <cell r="AC281">
            <v>278</v>
          </cell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  <cell r="AZ281">
            <v>278</v>
          </cell>
          <cell r="BA281">
            <v>44.921140888773095</v>
          </cell>
          <cell r="BB281">
            <v>46.416890751188788</v>
          </cell>
          <cell r="BC281">
            <v>48.365130082810438</v>
          </cell>
          <cell r="BD281">
            <v>51.12333926384072</v>
          </cell>
          <cell r="BE281">
            <v>55.831969813928033</v>
          </cell>
        </row>
        <row r="282">
          <cell r="AC282">
            <v>279</v>
          </cell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  <cell r="AZ282">
            <v>279</v>
          </cell>
          <cell r="BA282">
            <v>44.946996335076996</v>
          </cell>
          <cell r="BB282">
            <v>46.440970804712194</v>
          </cell>
          <cell r="BC282">
            <v>48.389058749356593</v>
          </cell>
          <cell r="BD282">
            <v>51.146445031759569</v>
          </cell>
          <cell r="BE282">
            <v>55.857679635124818</v>
          </cell>
        </row>
        <row r="283">
          <cell r="AC283">
            <v>280</v>
          </cell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  <cell r="AZ283">
            <v>280</v>
          </cell>
          <cell r="BA283">
            <v>44.972851781380903</v>
          </cell>
          <cell r="BB283">
            <v>46.465050858235607</v>
          </cell>
          <cell r="BC283">
            <v>48.412987415902748</v>
          </cell>
          <cell r="BD283">
            <v>51.169550799678412</v>
          </cell>
          <cell r="BE283">
            <v>55.883389456321602</v>
          </cell>
        </row>
        <row r="284">
          <cell r="AC284">
            <v>281</v>
          </cell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  <cell r="AZ284">
            <v>281</v>
          </cell>
          <cell r="BA284">
            <v>44.998707227684804</v>
          </cell>
          <cell r="BB284">
            <v>46.489130911759013</v>
          </cell>
          <cell r="BC284">
            <v>48.43691608244891</v>
          </cell>
          <cell r="BD284">
            <v>51.192656567597261</v>
          </cell>
          <cell r="BE284">
            <v>55.909099277518393</v>
          </cell>
        </row>
        <row r="285">
          <cell r="AC285">
            <v>282</v>
          </cell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  <cell r="AZ285">
            <v>282</v>
          </cell>
          <cell r="BA285">
            <v>45.021201039060998</v>
          </cell>
          <cell r="BB285">
            <v>46.513210965282425</v>
          </cell>
          <cell r="BC285">
            <v>48.460844748995065</v>
          </cell>
          <cell r="BD285">
            <v>51.215762335516104</v>
          </cell>
          <cell r="BE285">
            <v>55.934809098715178</v>
          </cell>
        </row>
        <row r="286">
          <cell r="AC286">
            <v>283</v>
          </cell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  <cell r="AZ286">
            <v>283</v>
          </cell>
          <cell r="BA286">
            <v>45.043517922283101</v>
          </cell>
          <cell r="BB286">
            <v>46.537291018805831</v>
          </cell>
          <cell r="BC286">
            <v>48.48477341554122</v>
          </cell>
          <cell r="BD286">
            <v>51.238868103434953</v>
          </cell>
          <cell r="BE286">
            <v>55.960518919911962</v>
          </cell>
        </row>
        <row r="287">
          <cell r="AC287">
            <v>284</v>
          </cell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  <cell r="AZ287">
            <v>284</v>
          </cell>
          <cell r="BA287">
            <v>45.065834805505204</v>
          </cell>
          <cell r="BB287">
            <v>46.561371072329244</v>
          </cell>
          <cell r="BC287">
            <v>48.508702082087382</v>
          </cell>
          <cell r="BD287">
            <v>51.261973871353796</v>
          </cell>
          <cell r="BE287">
            <v>55.986228741108754</v>
          </cell>
        </row>
        <row r="288">
          <cell r="AC288">
            <v>285</v>
          </cell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  <cell r="AZ288">
            <v>285</v>
          </cell>
          <cell r="BA288">
            <v>45.088151688727308</v>
          </cell>
          <cell r="BB288">
            <v>46.58545112585265</v>
          </cell>
          <cell r="BC288">
            <v>48.532630748633537</v>
          </cell>
          <cell r="BD288">
            <v>51.285079639272645</v>
          </cell>
          <cell r="BE288">
            <v>56.010312347085055</v>
          </cell>
        </row>
        <row r="289">
          <cell r="AC289">
            <v>286</v>
          </cell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  <cell r="AZ289">
            <v>286</v>
          </cell>
          <cell r="BA289">
            <v>45.110468571949411</v>
          </cell>
          <cell r="BB289">
            <v>46.609531179376063</v>
          </cell>
          <cell r="BC289">
            <v>48.556559415179692</v>
          </cell>
          <cell r="BD289">
            <v>51.308185407191495</v>
          </cell>
          <cell r="BE289">
            <v>56.032520096468168</v>
          </cell>
        </row>
        <row r="290">
          <cell r="AC290">
            <v>287</v>
          </cell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  <cell r="AZ290">
            <v>287</v>
          </cell>
          <cell r="BA290">
            <v>45.132785455171515</v>
          </cell>
          <cell r="BB290">
            <v>46.633611232899469</v>
          </cell>
          <cell r="BC290">
            <v>48.580488081725846</v>
          </cell>
          <cell r="BD290">
            <v>51.331291175110337</v>
          </cell>
          <cell r="BE290">
            <v>56.054727845851275</v>
          </cell>
        </row>
        <row r="291">
          <cell r="AC291">
            <v>288</v>
          </cell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  <cell r="AZ291">
            <v>288</v>
          </cell>
          <cell r="BA291">
            <v>45.155102338393618</v>
          </cell>
          <cell r="BB291">
            <v>46.657691286422882</v>
          </cell>
          <cell r="BC291">
            <v>48.604416748272008</v>
          </cell>
          <cell r="BD291">
            <v>51.354396943029187</v>
          </cell>
          <cell r="BE291">
            <v>56.076935595234382</v>
          </cell>
        </row>
        <row r="292">
          <cell r="AC292">
            <v>289</v>
          </cell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  <cell r="AZ292">
            <v>289</v>
          </cell>
          <cell r="BA292">
            <v>45.177419221615722</v>
          </cell>
          <cell r="BB292">
            <v>46.681771339946287</v>
          </cell>
          <cell r="BC292">
            <v>48.628345414818163</v>
          </cell>
          <cell r="BD292">
            <v>51.377502710948029</v>
          </cell>
          <cell r="BE292">
            <v>56.099143344617488</v>
          </cell>
        </row>
        <row r="293">
          <cell r="AC293">
            <v>290</v>
          </cell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  <cell r="AZ293">
            <v>290</v>
          </cell>
          <cell r="BA293">
            <v>45.199736104837825</v>
          </cell>
          <cell r="BB293">
            <v>46.7058513934697</v>
          </cell>
          <cell r="BC293">
            <v>48.652274081364318</v>
          </cell>
          <cell r="BD293">
            <v>51.400608478866879</v>
          </cell>
          <cell r="BE293">
            <v>56.121351094000602</v>
          </cell>
        </row>
        <row r="294">
          <cell r="AC294">
            <v>291</v>
          </cell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  <cell r="AZ294">
            <v>291</v>
          </cell>
          <cell r="BA294">
            <v>45.222052988059936</v>
          </cell>
          <cell r="BB294">
            <v>46.729931446993106</v>
          </cell>
          <cell r="BC294">
            <v>48.67620274791048</v>
          </cell>
          <cell r="BD294">
            <v>51.423714246785721</v>
          </cell>
          <cell r="BE294">
            <v>56.143558843383708</v>
          </cell>
        </row>
        <row r="295">
          <cell r="AC295">
            <v>292</v>
          </cell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  <cell r="AZ295">
            <v>292</v>
          </cell>
          <cell r="BA295">
            <v>45.244369871282039</v>
          </cell>
          <cell r="BB295">
            <v>46.754011500516519</v>
          </cell>
          <cell r="BC295">
            <v>48.700131414456635</v>
          </cell>
          <cell r="BD295">
            <v>51.446820014704571</v>
          </cell>
          <cell r="BE295">
            <v>56.165766592766815</v>
          </cell>
        </row>
        <row r="296">
          <cell r="AC296">
            <v>293</v>
          </cell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  <cell r="AZ296">
            <v>293</v>
          </cell>
          <cell r="BA296">
            <v>45.266686754504143</v>
          </cell>
          <cell r="BB296">
            <v>46.778091554039925</v>
          </cell>
          <cell r="BC296">
            <v>48.72406008100279</v>
          </cell>
          <cell r="BD296">
            <v>51.46992578262342</v>
          </cell>
          <cell r="BE296">
            <v>56.187974342149921</v>
          </cell>
        </row>
        <row r="297">
          <cell r="AC297">
            <v>294</v>
          </cell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  <cell r="AZ297">
            <v>294</v>
          </cell>
          <cell r="BA297">
            <v>45.289003637726246</v>
          </cell>
          <cell r="BB297">
            <v>46.802171607563338</v>
          </cell>
          <cell r="BC297">
            <v>48.747988747548945</v>
          </cell>
          <cell r="BD297">
            <v>51.493031550542263</v>
          </cell>
          <cell r="BE297">
            <v>56.210182091533035</v>
          </cell>
        </row>
        <row r="298">
          <cell r="AC298">
            <v>295</v>
          </cell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  <cell r="AZ298">
            <v>295</v>
          </cell>
          <cell r="BA298">
            <v>45.31132052094835</v>
          </cell>
          <cell r="BB298">
            <v>46.826251661086744</v>
          </cell>
          <cell r="BC298">
            <v>48.771917414095107</v>
          </cell>
          <cell r="BD298">
            <v>51.516137318461112</v>
          </cell>
          <cell r="BE298">
            <v>56.232389840916142</v>
          </cell>
        </row>
        <row r="299">
          <cell r="AC299">
            <v>296</v>
          </cell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  <cell r="AZ299">
            <v>296</v>
          </cell>
          <cell r="BA299">
            <v>45.333637404170453</v>
          </cell>
          <cell r="BB299">
            <v>46.850331714610157</v>
          </cell>
          <cell r="BC299">
            <v>48.795846080641262</v>
          </cell>
          <cell r="BD299">
            <v>51.539243086379955</v>
          </cell>
          <cell r="BE299">
            <v>56.254597590299248</v>
          </cell>
        </row>
        <row r="300">
          <cell r="AC300">
            <v>297</v>
          </cell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  <cell r="AZ300">
            <v>297</v>
          </cell>
          <cell r="BA300">
            <v>45.355954287392557</v>
          </cell>
          <cell r="BB300">
            <v>46.874411768133562</v>
          </cell>
          <cell r="BC300">
            <v>48.819774747187417</v>
          </cell>
          <cell r="BD300">
            <v>51.562348854298804</v>
          </cell>
          <cell r="BE300">
            <v>56.276805339682355</v>
          </cell>
        </row>
        <row r="301">
          <cell r="AC301">
            <v>298</v>
          </cell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  <cell r="AZ301">
            <v>298</v>
          </cell>
          <cell r="BA301">
            <v>45.37827117061466</v>
          </cell>
          <cell r="BB301">
            <v>46.898491821656968</v>
          </cell>
          <cell r="BC301">
            <v>48.843703413733579</v>
          </cell>
          <cell r="BD301">
            <v>51.585454622217647</v>
          </cell>
          <cell r="BE301">
            <v>56.299013089065468</v>
          </cell>
        </row>
        <row r="302">
          <cell r="AC302">
            <v>299</v>
          </cell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  <cell r="AZ302">
            <v>299</v>
          </cell>
          <cell r="BA302">
            <v>45.400588053836763</v>
          </cell>
          <cell r="BB302">
            <v>46.922571875180381</v>
          </cell>
          <cell r="BC302">
            <v>48.867632080279733</v>
          </cell>
          <cell r="BD302">
            <v>51.608560390136496</v>
          </cell>
          <cell r="BE302">
            <v>56.321220838448575</v>
          </cell>
        </row>
        <row r="303">
          <cell r="AC303">
            <v>300</v>
          </cell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  <cell r="AZ303">
            <v>300</v>
          </cell>
          <cell r="BA303">
            <v>45.422904937058867</v>
          </cell>
          <cell r="BB303">
            <v>46.946651928703787</v>
          </cell>
          <cell r="BC303">
            <v>48.891560746825888</v>
          </cell>
          <cell r="BD303">
            <v>51.631666158055346</v>
          </cell>
          <cell r="BE303">
            <v>56.343428587831681</v>
          </cell>
        </row>
        <row r="304">
          <cell r="AC304">
            <v>301</v>
          </cell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  <cell r="AZ304">
            <v>301</v>
          </cell>
          <cell r="BA304">
            <v>45.44522182028097</v>
          </cell>
          <cell r="BB304">
            <v>46.9707319822272</v>
          </cell>
          <cell r="BC304">
            <v>48.91548941337205</v>
          </cell>
          <cell r="BD304">
            <v>51.654771925974188</v>
          </cell>
          <cell r="BE304">
            <v>56.365636337214795</v>
          </cell>
        </row>
        <row r="305">
          <cell r="AC305">
            <v>302</v>
          </cell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  <cell r="AZ305">
            <v>302</v>
          </cell>
          <cell r="BA305">
            <v>45.467538703503074</v>
          </cell>
          <cell r="BB305">
            <v>46.994812035750606</v>
          </cell>
          <cell r="BC305">
            <v>48.939418079918205</v>
          </cell>
          <cell r="BD305">
            <v>51.677877693893038</v>
          </cell>
          <cell r="BE305">
            <v>56.387844086597902</v>
          </cell>
        </row>
        <row r="306">
          <cell r="AC306">
            <v>303</v>
          </cell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  <cell r="AZ306">
            <v>303</v>
          </cell>
          <cell r="BA306">
            <v>45.489855586725177</v>
          </cell>
          <cell r="BB306">
            <v>47.016308935086101</v>
          </cell>
          <cell r="BC306">
            <v>48.96334674646436</v>
          </cell>
          <cell r="BD306">
            <v>51.70098346181188</v>
          </cell>
          <cell r="BE306">
            <v>56.410051835981008</v>
          </cell>
        </row>
        <row r="307">
          <cell r="AC307">
            <v>304</v>
          </cell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  <cell r="AZ307">
            <v>304</v>
          </cell>
          <cell r="BA307">
            <v>45.512172469947281</v>
          </cell>
          <cell r="BB307">
            <v>47.037096473408994</v>
          </cell>
          <cell r="BC307">
            <v>48.987275413010522</v>
          </cell>
          <cell r="BD307">
            <v>51.72408922973073</v>
          </cell>
          <cell r="BE307">
            <v>56.432259585364115</v>
          </cell>
        </row>
        <row r="308">
          <cell r="AC308">
            <v>305</v>
          </cell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  <cell r="AZ308">
            <v>305</v>
          </cell>
          <cell r="BA308">
            <v>45.534489353169384</v>
          </cell>
          <cell r="BB308">
            <v>47.057884011731893</v>
          </cell>
          <cell r="BC308">
            <v>49.009673493801003</v>
          </cell>
          <cell r="BD308">
            <v>51.747194997649579</v>
          </cell>
          <cell r="BE308">
            <v>56.454467334747228</v>
          </cell>
        </row>
        <row r="309">
          <cell r="AC309">
            <v>306</v>
          </cell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  <cell r="AZ309">
            <v>306</v>
          </cell>
          <cell r="BA309">
            <v>45.556806236391488</v>
          </cell>
          <cell r="BB309">
            <v>47.078671550054786</v>
          </cell>
          <cell r="BC309">
            <v>49.030333272797542</v>
          </cell>
          <cell r="BD309">
            <v>51.770300765568422</v>
          </cell>
          <cell r="BE309">
            <v>56.476675084130335</v>
          </cell>
        </row>
        <row r="310">
          <cell r="AC310">
            <v>307</v>
          </cell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  <cell r="AZ310">
            <v>307</v>
          </cell>
          <cell r="BA310">
            <v>45.579123119613591</v>
          </cell>
          <cell r="BB310">
            <v>47.099459088377678</v>
          </cell>
          <cell r="BC310">
            <v>49.05099305179408</v>
          </cell>
          <cell r="BD310">
            <v>51.793406533487271</v>
          </cell>
          <cell r="BE310">
            <v>56.498882833513441</v>
          </cell>
        </row>
        <row r="311">
          <cell r="AC311">
            <v>308</v>
          </cell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  <cell r="AZ311">
            <v>308</v>
          </cell>
          <cell r="BA311">
            <v>45.601440002835695</v>
          </cell>
          <cell r="BB311">
            <v>47.12024662670057</v>
          </cell>
          <cell r="BC311">
            <v>49.071652830790612</v>
          </cell>
          <cell r="BD311">
            <v>51.816512301406114</v>
          </cell>
          <cell r="BE311">
            <v>56.521090582896548</v>
          </cell>
        </row>
        <row r="312">
          <cell r="AC312">
            <v>309</v>
          </cell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  <cell r="AZ312">
            <v>309</v>
          </cell>
          <cell r="BA312">
            <v>45.623756886057798</v>
          </cell>
          <cell r="BB312">
            <v>47.14103416502347</v>
          </cell>
          <cell r="BC312">
            <v>49.09231260978715</v>
          </cell>
          <cell r="BD312">
            <v>51.839618069324963</v>
          </cell>
          <cell r="BE312">
            <v>56.543298332279662</v>
          </cell>
        </row>
        <row r="313">
          <cell r="AC313">
            <v>310</v>
          </cell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  <cell r="AZ313">
            <v>310</v>
          </cell>
          <cell r="BA313">
            <v>45.646073769279901</v>
          </cell>
          <cell r="BB313">
            <v>47.161821703346362</v>
          </cell>
          <cell r="BC313">
            <v>49.112972388783689</v>
          </cell>
          <cell r="BD313">
            <v>51.862723837243806</v>
          </cell>
          <cell r="BE313">
            <v>56.565506081662768</v>
          </cell>
        </row>
        <row r="314">
          <cell r="AC314">
            <v>311</v>
          </cell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  <cell r="AZ314">
            <v>311</v>
          </cell>
          <cell r="BA314">
            <v>45.668390652502012</v>
          </cell>
          <cell r="BB314">
            <v>47.182609241669255</v>
          </cell>
          <cell r="BC314">
            <v>49.133632167780227</v>
          </cell>
          <cell r="BD314">
            <v>51.885829605162655</v>
          </cell>
          <cell r="BE314">
            <v>56.587713831045875</v>
          </cell>
        </row>
        <row r="315">
          <cell r="AC315">
            <v>312</v>
          </cell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  <cell r="AZ315">
            <v>312</v>
          </cell>
          <cell r="BA315">
            <v>45.690707535724115</v>
          </cell>
          <cell r="BB315">
            <v>47.203396779992147</v>
          </cell>
          <cell r="BC315">
            <v>49.154291946776759</v>
          </cell>
          <cell r="BD315">
            <v>51.908935373081505</v>
          </cell>
          <cell r="BE315">
            <v>56.609921580428981</v>
          </cell>
        </row>
        <row r="316">
          <cell r="AC316">
            <v>313</v>
          </cell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  <cell r="AZ316">
            <v>313</v>
          </cell>
          <cell r="BA316">
            <v>45.713024418946219</v>
          </cell>
          <cell r="BB316">
            <v>47.224184318315039</v>
          </cell>
          <cell r="BC316">
            <v>49.174951725773298</v>
          </cell>
          <cell r="BD316">
            <v>51.932041141000347</v>
          </cell>
          <cell r="BE316">
            <v>56.632129329812095</v>
          </cell>
        </row>
        <row r="317">
          <cell r="AC317">
            <v>314</v>
          </cell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  <cell r="AZ317">
            <v>314</v>
          </cell>
          <cell r="BA317">
            <v>45.735341302168322</v>
          </cell>
          <cell r="BB317">
            <v>47.244971856637939</v>
          </cell>
          <cell r="BC317">
            <v>49.195611504769836</v>
          </cell>
          <cell r="BD317">
            <v>51.955146908919197</v>
          </cell>
          <cell r="BE317">
            <v>56.654337079195201</v>
          </cell>
        </row>
        <row r="318">
          <cell r="AC318">
            <v>315</v>
          </cell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  <cell r="AZ318">
            <v>315</v>
          </cell>
          <cell r="BA318">
            <v>45.757658185390426</v>
          </cell>
          <cell r="BB318">
            <v>47.265759394960831</v>
          </cell>
          <cell r="BC318">
            <v>49.216271283766375</v>
          </cell>
          <cell r="BD318">
            <v>51.978252676838039</v>
          </cell>
          <cell r="BE318">
            <v>56.676544828578308</v>
          </cell>
        </row>
        <row r="319">
          <cell r="AC319">
            <v>316</v>
          </cell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  <cell r="AZ319">
            <v>316</v>
          </cell>
          <cell r="BA319">
            <v>45.779975068612529</v>
          </cell>
          <cell r="BB319">
            <v>47.286546933283724</v>
          </cell>
          <cell r="BC319">
            <v>49.236931062762913</v>
          </cell>
          <cell r="BD319">
            <v>52.001173105835825</v>
          </cell>
          <cell r="BE319">
            <v>56.698752577961415</v>
          </cell>
        </row>
        <row r="320">
          <cell r="AC320">
            <v>317</v>
          </cell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  <cell r="AZ320">
            <v>317</v>
          </cell>
          <cell r="BA320">
            <v>45.802291951834633</v>
          </cell>
          <cell r="BB320">
            <v>47.307334471606616</v>
          </cell>
          <cell r="BC320">
            <v>49.257590841759445</v>
          </cell>
          <cell r="BD320">
            <v>52.021126446631868</v>
          </cell>
          <cell r="BE320">
            <v>56.720960327344528</v>
          </cell>
        </row>
        <row r="321">
          <cell r="AC321">
            <v>318</v>
          </cell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  <cell r="AZ321">
            <v>318</v>
          </cell>
          <cell r="BA321">
            <v>45.824608835056736</v>
          </cell>
          <cell r="BB321">
            <v>47.328122009929508</v>
          </cell>
          <cell r="BC321">
            <v>49.278250620755983</v>
          </cell>
          <cell r="BD321">
            <v>52.041079787427918</v>
          </cell>
          <cell r="BE321">
            <v>56.743168076727635</v>
          </cell>
        </row>
        <row r="322">
          <cell r="AC322">
            <v>319</v>
          </cell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  <cell r="AZ322">
            <v>319</v>
          </cell>
          <cell r="BA322">
            <v>45.84692571827884</v>
          </cell>
          <cell r="BB322">
            <v>47.348909548252408</v>
          </cell>
          <cell r="BC322">
            <v>49.298910399752522</v>
          </cell>
          <cell r="BD322">
            <v>52.061033128223968</v>
          </cell>
          <cell r="BE322">
            <v>56.765375826110741</v>
          </cell>
        </row>
        <row r="323">
          <cell r="AC323">
            <v>320</v>
          </cell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  <cell r="AZ323">
            <v>320</v>
          </cell>
          <cell r="BA323">
            <v>45.869242601500943</v>
          </cell>
          <cell r="BB323">
            <v>47.3696970865753</v>
          </cell>
          <cell r="BC323">
            <v>49.319570178749061</v>
          </cell>
          <cell r="BD323">
            <v>52.080986469020011</v>
          </cell>
          <cell r="BE323">
            <v>56.787583575493848</v>
          </cell>
        </row>
        <row r="324">
          <cell r="AC324">
            <v>321</v>
          </cell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  <cell r="AZ324">
            <v>321</v>
          </cell>
          <cell r="BA324">
            <v>45.891559484723047</v>
          </cell>
          <cell r="BB324">
            <v>47.390484624898193</v>
          </cell>
          <cell r="BC324">
            <v>49.340229957745592</v>
          </cell>
          <cell r="BD324">
            <v>52.100939809816062</v>
          </cell>
          <cell r="BE324">
            <v>56.809791324876961</v>
          </cell>
        </row>
        <row r="325">
          <cell r="AC325">
            <v>322</v>
          </cell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  <cell r="AZ325">
            <v>322</v>
          </cell>
          <cell r="BA325">
            <v>45.91387636794515</v>
          </cell>
          <cell r="BB325">
            <v>47.411272163221085</v>
          </cell>
          <cell r="BC325">
            <v>49.360889736742131</v>
          </cell>
          <cell r="BD325">
            <v>52.120893150612112</v>
          </cell>
          <cell r="BE325">
            <v>56.831999074260068</v>
          </cell>
        </row>
        <row r="326">
          <cell r="AC326">
            <v>323</v>
          </cell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  <cell r="AZ326">
            <v>323</v>
          </cell>
          <cell r="BA326">
            <v>45.936193251167253</v>
          </cell>
          <cell r="BB326">
            <v>47.432059701543984</v>
          </cell>
          <cell r="BC326">
            <v>49.381549515738669</v>
          </cell>
          <cell r="BD326">
            <v>52.140846491408155</v>
          </cell>
          <cell r="BE326">
            <v>56.854206823643175</v>
          </cell>
        </row>
        <row r="327">
          <cell r="AC327">
            <v>324</v>
          </cell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  <cell r="AZ327">
            <v>324</v>
          </cell>
          <cell r="BA327">
            <v>45.958510134389357</v>
          </cell>
          <cell r="BB327">
            <v>47.452847239866877</v>
          </cell>
          <cell r="BC327">
            <v>49.402209294735208</v>
          </cell>
          <cell r="BD327">
            <v>52.160799832204205</v>
          </cell>
          <cell r="BE327">
            <v>56.876414573026281</v>
          </cell>
        </row>
        <row r="328">
          <cell r="AC328">
            <v>325</v>
          </cell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  <cell r="AZ328">
            <v>325</v>
          </cell>
          <cell r="BA328">
            <v>45.98082701761146</v>
          </cell>
          <cell r="BB328">
            <v>47.473634778189769</v>
          </cell>
          <cell r="BC328">
            <v>49.422869073731739</v>
          </cell>
          <cell r="BD328">
            <v>52.180753173000248</v>
          </cell>
          <cell r="BE328">
            <v>56.898622322409395</v>
          </cell>
        </row>
        <row r="329">
          <cell r="AC329">
            <v>326</v>
          </cell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  <cell r="AZ329">
            <v>326</v>
          </cell>
          <cell r="BA329">
            <v>46.002713830586146</v>
          </cell>
          <cell r="BB329">
            <v>47.494422316512662</v>
          </cell>
          <cell r="BC329">
            <v>49.443528852728278</v>
          </cell>
          <cell r="BD329">
            <v>52.200706513796298</v>
          </cell>
          <cell r="BE329">
            <v>56.920830071792501</v>
          </cell>
        </row>
        <row r="330">
          <cell r="AC330">
            <v>327</v>
          </cell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  <cell r="AZ330">
            <v>327</v>
          </cell>
          <cell r="BA330">
            <v>46.021977873404879</v>
          </cell>
          <cell r="BB330">
            <v>47.515209854835554</v>
          </cell>
          <cell r="BC330">
            <v>49.464188631724817</v>
          </cell>
          <cell r="BD330">
            <v>52.220659854592348</v>
          </cell>
          <cell r="BE330">
            <v>56.943037821175608</v>
          </cell>
        </row>
        <row r="331">
          <cell r="AC331">
            <v>328</v>
          </cell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  <cell r="AZ331">
            <v>328</v>
          </cell>
          <cell r="BA331">
            <v>46.041241916223605</v>
          </cell>
          <cell r="BB331">
            <v>47.535997393158453</v>
          </cell>
          <cell r="BC331">
            <v>49.484848410721355</v>
          </cell>
          <cell r="BD331">
            <v>52.240613195388391</v>
          </cell>
          <cell r="BE331">
            <v>56.965245570558714</v>
          </cell>
        </row>
        <row r="332">
          <cell r="AC332">
            <v>329</v>
          </cell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  <cell r="AZ332">
            <v>329</v>
          </cell>
          <cell r="BA332">
            <v>46.060505959042331</v>
          </cell>
          <cell r="BB332">
            <v>47.556784931481346</v>
          </cell>
          <cell r="BC332">
            <v>49.505508189717887</v>
          </cell>
          <cell r="BD332">
            <v>52.260566536184442</v>
          </cell>
          <cell r="BE332">
            <v>56.987453319941828</v>
          </cell>
        </row>
        <row r="333">
          <cell r="AC333">
            <v>330</v>
          </cell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  <cell r="AZ333">
            <v>330</v>
          </cell>
          <cell r="BA333">
            <v>46.079770001861057</v>
          </cell>
          <cell r="BB333">
            <v>47.577572469804238</v>
          </cell>
          <cell r="BC333">
            <v>49.526167968714425</v>
          </cell>
          <cell r="BD333">
            <v>52.280519876980485</v>
          </cell>
          <cell r="BE333">
            <v>57.008345591208631</v>
          </cell>
        </row>
        <row r="334">
          <cell r="AC334">
            <v>331</v>
          </cell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  <cell r="AZ334">
            <v>331</v>
          </cell>
          <cell r="BA334">
            <v>46.099034044679783</v>
          </cell>
          <cell r="BB334">
            <v>47.598360008127131</v>
          </cell>
          <cell r="BC334">
            <v>49.546827747710964</v>
          </cell>
          <cell r="BD334">
            <v>52.300473217776535</v>
          </cell>
          <cell r="BE334">
            <v>57.027529471561998</v>
          </cell>
        </row>
        <row r="335">
          <cell r="AC335">
            <v>332</v>
          </cell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  <cell r="AZ335">
            <v>332</v>
          </cell>
          <cell r="BA335">
            <v>46.118298087498509</v>
          </cell>
          <cell r="BB335">
            <v>47.619147546450023</v>
          </cell>
          <cell r="BC335">
            <v>49.567487526707502</v>
          </cell>
          <cell r="BD335">
            <v>52.320426558572585</v>
          </cell>
          <cell r="BE335">
            <v>57.046713351915365</v>
          </cell>
        </row>
        <row r="336">
          <cell r="AC336">
            <v>333</v>
          </cell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  <cell r="AZ336">
            <v>333</v>
          </cell>
          <cell r="BA336">
            <v>46.137562130317242</v>
          </cell>
          <cell r="BB336">
            <v>47.639935084772922</v>
          </cell>
          <cell r="BC336">
            <v>49.588147305704041</v>
          </cell>
          <cell r="BD336">
            <v>52.340379899368628</v>
          </cell>
          <cell r="BE336">
            <v>57.065897232268732</v>
          </cell>
        </row>
        <row r="337">
          <cell r="AC337">
            <v>334</v>
          </cell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  <cell r="AZ337">
            <v>334</v>
          </cell>
          <cell r="BA337">
            <v>46.156826173135968</v>
          </cell>
          <cell r="BB337">
            <v>47.660722623095815</v>
          </cell>
          <cell r="BC337">
            <v>49.608807084700572</v>
          </cell>
          <cell r="BD337">
            <v>52.360333240164678</v>
          </cell>
          <cell r="BE337">
            <v>57.085081112622099</v>
          </cell>
        </row>
        <row r="338">
          <cell r="AC338">
            <v>335</v>
          </cell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  <cell r="AZ338">
            <v>335</v>
          </cell>
          <cell r="BA338">
            <v>46.176090215954694</v>
          </cell>
          <cell r="BB338">
            <v>47.681510161418707</v>
          </cell>
          <cell r="BC338">
            <v>49.629466863697111</v>
          </cell>
          <cell r="BD338">
            <v>52.380286580960728</v>
          </cell>
          <cell r="BE338">
            <v>57.104264992975466</v>
          </cell>
        </row>
        <row r="339">
          <cell r="AC339">
            <v>336</v>
          </cell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  <cell r="AZ339">
            <v>336</v>
          </cell>
          <cell r="BA339">
            <v>46.19535425877342</v>
          </cell>
          <cell r="BB339">
            <v>47.7022976997416</v>
          </cell>
          <cell r="BC339">
            <v>49.65012664269365</v>
          </cell>
          <cell r="BD339">
            <v>52.400239921756771</v>
          </cell>
          <cell r="BE339">
            <v>57.123448873328833</v>
          </cell>
        </row>
        <row r="340">
          <cell r="AC340">
            <v>337</v>
          </cell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  <cell r="AZ340">
            <v>337</v>
          </cell>
          <cell r="BA340">
            <v>46.214618301592147</v>
          </cell>
          <cell r="BB340">
            <v>47.723085238064499</v>
          </cell>
          <cell r="BC340">
            <v>49.670786421690188</v>
          </cell>
          <cell r="BD340">
            <v>52.420193262552822</v>
          </cell>
          <cell r="BE340">
            <v>57.1426327536822</v>
          </cell>
        </row>
        <row r="341">
          <cell r="AC341">
            <v>338</v>
          </cell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  <cell r="AZ341">
            <v>338</v>
          </cell>
          <cell r="BA341">
            <v>46.23388234441088</v>
          </cell>
          <cell r="BB341">
            <v>47.743872776387391</v>
          </cell>
          <cell r="BC341">
            <v>49.69144620068672</v>
          </cell>
          <cell r="BD341">
            <v>52.440146603348865</v>
          </cell>
          <cell r="BE341">
            <v>57.161816634035567</v>
          </cell>
        </row>
        <row r="342">
          <cell r="AC342">
            <v>339</v>
          </cell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  <cell r="AZ342">
            <v>339</v>
          </cell>
          <cell r="BA342">
            <v>46.253146387229606</v>
          </cell>
          <cell r="BB342">
            <v>47.764660314710284</v>
          </cell>
          <cell r="BC342">
            <v>49.712105979683258</v>
          </cell>
          <cell r="BD342">
            <v>52.460099944144915</v>
          </cell>
          <cell r="BE342">
            <v>57.181000514388934</v>
          </cell>
        </row>
        <row r="343">
          <cell r="AC343">
            <v>340</v>
          </cell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  <cell r="AZ343">
            <v>340</v>
          </cell>
          <cell r="BA343">
            <v>46.272410430048332</v>
          </cell>
          <cell r="BB343">
            <v>47.785447853033176</v>
          </cell>
          <cell r="BC343">
            <v>49.732765758679797</v>
          </cell>
          <cell r="BD343">
            <v>52.480053284940965</v>
          </cell>
          <cell r="BE343">
            <v>57.200184394742301</v>
          </cell>
        </row>
        <row r="344">
          <cell r="AC344">
            <v>341</v>
          </cell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  <cell r="AZ344">
            <v>341</v>
          </cell>
          <cell r="BA344">
            <v>46.291674472867058</v>
          </cell>
          <cell r="BB344">
            <v>47.806235391356068</v>
          </cell>
          <cell r="BC344">
            <v>49.753425537676335</v>
          </cell>
          <cell r="BD344">
            <v>52.500006625737008</v>
          </cell>
          <cell r="BE344">
            <v>57.219368275095675</v>
          </cell>
        </row>
        <row r="345">
          <cell r="AC345">
            <v>342</v>
          </cell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  <cell r="AZ345">
            <v>342</v>
          </cell>
          <cell r="BA345">
            <v>46.310938515685784</v>
          </cell>
          <cell r="BB345">
            <v>47.827022929678968</v>
          </cell>
          <cell r="BC345">
            <v>49.774085316672867</v>
          </cell>
          <cell r="BD345">
            <v>52.519959966533058</v>
          </cell>
          <cell r="BE345">
            <v>57.238552155449042</v>
          </cell>
        </row>
        <row r="346">
          <cell r="AC346">
            <v>343</v>
          </cell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  <cell r="AZ346">
            <v>343</v>
          </cell>
          <cell r="BA346">
            <v>46.330202558504517</v>
          </cell>
          <cell r="BB346">
            <v>47.84781046800186</v>
          </cell>
          <cell r="BC346">
            <v>49.794745095669406</v>
          </cell>
          <cell r="BD346">
            <v>52.539913307329101</v>
          </cell>
          <cell r="BE346">
            <v>57.257736035802409</v>
          </cell>
        </row>
        <row r="347">
          <cell r="AC347">
            <v>344</v>
          </cell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  <cell r="AZ347">
            <v>344</v>
          </cell>
          <cell r="BA347">
            <v>46.349466601323243</v>
          </cell>
          <cell r="BB347">
            <v>47.868598006324753</v>
          </cell>
          <cell r="BC347">
            <v>49.815404874665944</v>
          </cell>
          <cell r="BD347">
            <v>52.559866648125151</v>
          </cell>
          <cell r="BE347">
            <v>57.276919916155776</v>
          </cell>
        </row>
        <row r="348">
          <cell r="AC348">
            <v>345</v>
          </cell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  <cell r="AZ348">
            <v>345</v>
          </cell>
          <cell r="BA348">
            <v>46.368730644141969</v>
          </cell>
          <cell r="BB348">
            <v>47.889385544647645</v>
          </cell>
          <cell r="BC348">
            <v>49.836064653662483</v>
          </cell>
          <cell r="BD348">
            <v>52.579819988921201</v>
          </cell>
          <cell r="BE348">
            <v>57.296103796509144</v>
          </cell>
        </row>
        <row r="349">
          <cell r="AC349">
            <v>346</v>
          </cell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  <cell r="AZ349">
            <v>346</v>
          </cell>
          <cell r="BA349">
            <v>46.387994686960695</v>
          </cell>
          <cell r="BB349">
            <v>47.910173082970537</v>
          </cell>
          <cell r="BC349">
            <v>49.856724432659014</v>
          </cell>
          <cell r="BD349">
            <v>52.599773329717245</v>
          </cell>
          <cell r="BE349">
            <v>57.315287676862511</v>
          </cell>
        </row>
        <row r="350">
          <cell r="AC350">
            <v>347</v>
          </cell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  <cell r="AZ350">
            <v>347</v>
          </cell>
          <cell r="BA350">
            <v>46.407258729779421</v>
          </cell>
          <cell r="BB350">
            <v>47.930960621293437</v>
          </cell>
          <cell r="BC350">
            <v>49.877384211655553</v>
          </cell>
          <cell r="BD350">
            <v>52.619726670513295</v>
          </cell>
          <cell r="BE350">
            <v>57.334471557215878</v>
          </cell>
        </row>
        <row r="351">
          <cell r="AC351">
            <v>348</v>
          </cell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  <cell r="AZ351">
            <v>348</v>
          </cell>
          <cell r="BA351">
            <v>46.426522772598148</v>
          </cell>
          <cell r="BB351">
            <v>47.951748159616329</v>
          </cell>
          <cell r="BC351">
            <v>49.898043990652091</v>
          </cell>
          <cell r="BD351">
            <v>52.639680011309345</v>
          </cell>
          <cell r="BE351">
            <v>57.353655437569245</v>
          </cell>
        </row>
        <row r="352">
          <cell r="AC352">
            <v>349</v>
          </cell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  <cell r="AZ352">
            <v>349</v>
          </cell>
          <cell r="BA352">
            <v>46.445786815416881</v>
          </cell>
          <cell r="BB352">
            <v>47.972535697939222</v>
          </cell>
          <cell r="BC352">
            <v>49.91870376964863</v>
          </cell>
          <cell r="BD352">
            <v>52.659633352105388</v>
          </cell>
          <cell r="BE352">
            <v>57.372839317922612</v>
          </cell>
        </row>
        <row r="353">
          <cell r="AC353">
            <v>350</v>
          </cell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  <cell r="AZ353">
            <v>350</v>
          </cell>
          <cell r="BA353">
            <v>46.465050858235607</v>
          </cell>
          <cell r="BB353">
            <v>47.993323236262114</v>
          </cell>
          <cell r="BC353">
            <v>49.939363548645169</v>
          </cell>
          <cell r="BD353">
            <v>52.679586692901438</v>
          </cell>
          <cell r="BE353">
            <v>57.392023198275979</v>
          </cell>
        </row>
        <row r="354">
          <cell r="AC354">
            <v>351</v>
          </cell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  <cell r="AZ354">
            <v>351</v>
          </cell>
          <cell r="BA354">
            <v>46.484314901054333</v>
          </cell>
          <cell r="BB354">
            <v>48.012182251254622</v>
          </cell>
          <cell r="BC354">
            <v>49.9600233276417</v>
          </cell>
          <cell r="BD354">
            <v>52.699540033697481</v>
          </cell>
          <cell r="BE354">
            <v>57.411207078629346</v>
          </cell>
        </row>
        <row r="355">
          <cell r="AC355">
            <v>352</v>
          </cell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  <cell r="AZ355">
            <v>352</v>
          </cell>
          <cell r="BA355">
            <v>46.503578943873059</v>
          </cell>
          <cell r="BB355">
            <v>48.030128751164234</v>
          </cell>
          <cell r="BC355">
            <v>49.980683106638239</v>
          </cell>
          <cell r="BD355">
            <v>52.719493374493531</v>
          </cell>
          <cell r="BE355">
            <v>57.430390958982713</v>
          </cell>
        </row>
        <row r="356">
          <cell r="AC356">
            <v>353</v>
          </cell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  <cell r="AZ356">
            <v>353</v>
          </cell>
          <cell r="BA356">
            <v>46.522842986691785</v>
          </cell>
          <cell r="BB356">
            <v>48.048075251073854</v>
          </cell>
          <cell r="BC356">
            <v>50.00115951426713</v>
          </cell>
          <cell r="BD356">
            <v>52.739446715289581</v>
          </cell>
          <cell r="BE356">
            <v>57.44957483933608</v>
          </cell>
        </row>
        <row r="357">
          <cell r="AC357">
            <v>354</v>
          </cell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  <cell r="AZ357">
            <v>354</v>
          </cell>
          <cell r="BA357">
            <v>46.542107029510518</v>
          </cell>
          <cell r="BB357">
            <v>48.066021750983474</v>
          </cell>
          <cell r="BC357">
            <v>50.018998195299922</v>
          </cell>
          <cell r="BD357">
            <v>52.759400056085624</v>
          </cell>
          <cell r="BE357">
            <v>57.468758719689447</v>
          </cell>
        </row>
        <row r="358">
          <cell r="AC358">
            <v>355</v>
          </cell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  <cell r="AZ358">
            <v>355</v>
          </cell>
          <cell r="BA358">
            <v>46.561371072329244</v>
          </cell>
          <cell r="BB358">
            <v>48.083968250893093</v>
          </cell>
          <cell r="BC358">
            <v>50.036836876332707</v>
          </cell>
          <cell r="BD358">
            <v>52.779353396881675</v>
          </cell>
          <cell r="BE358">
            <v>57.487942600042821</v>
          </cell>
        </row>
        <row r="359">
          <cell r="AC359">
            <v>356</v>
          </cell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  <cell r="AZ359">
            <v>356</v>
          </cell>
          <cell r="BA359">
            <v>46.58063511514797</v>
          </cell>
          <cell r="BB359">
            <v>48.101914750802706</v>
          </cell>
          <cell r="BC359">
            <v>50.054675557365492</v>
          </cell>
          <cell r="BD359">
            <v>52.799306737677718</v>
          </cell>
          <cell r="BE359">
            <v>57.507126480396188</v>
          </cell>
        </row>
        <row r="360">
          <cell r="AC360">
            <v>357</v>
          </cell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  <cell r="AZ360">
            <v>357</v>
          </cell>
          <cell r="BA360">
            <v>46.599899157966696</v>
          </cell>
          <cell r="BB360">
            <v>48.119861250712326</v>
          </cell>
          <cell r="BC360">
            <v>50.072514238398277</v>
          </cell>
          <cell r="BD360">
            <v>52.819260078473768</v>
          </cell>
          <cell r="BE360">
            <v>57.526310360749555</v>
          </cell>
        </row>
        <row r="361">
          <cell r="AC361">
            <v>358</v>
          </cell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  <cell r="AZ361">
            <v>358</v>
          </cell>
          <cell r="BA361">
            <v>46.619163200785422</v>
          </cell>
          <cell r="BB361">
            <v>48.137807750621946</v>
          </cell>
          <cell r="BC361">
            <v>50.090352919431069</v>
          </cell>
          <cell r="BD361">
            <v>52.839213419269818</v>
          </cell>
          <cell r="BE361">
            <v>57.545494241102922</v>
          </cell>
        </row>
        <row r="362">
          <cell r="AC362">
            <v>359</v>
          </cell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  <cell r="AZ362">
            <v>359</v>
          </cell>
          <cell r="BA362">
            <v>46.638427243604156</v>
          </cell>
          <cell r="BB362">
            <v>48.155754250531558</v>
          </cell>
          <cell r="BC362">
            <v>50.108191600463854</v>
          </cell>
          <cell r="BD362">
            <v>52.859166760065861</v>
          </cell>
          <cell r="BE362">
            <v>57.564678121456289</v>
          </cell>
        </row>
        <row r="363">
          <cell r="AC363">
            <v>360</v>
          </cell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  <cell r="AZ363">
            <v>360</v>
          </cell>
          <cell r="BA363">
            <v>46.657691286422882</v>
          </cell>
          <cell r="BB363">
            <v>48.173700750441178</v>
          </cell>
          <cell r="BC363">
            <v>50.126030281496639</v>
          </cell>
          <cell r="BD363">
            <v>52.879120100861911</v>
          </cell>
          <cell r="BE363">
            <v>57.583862001809656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5">
          <cell r="AO5">
            <v>3</v>
          </cell>
          <cell r="AP5">
            <v>2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</row>
        <row r="6">
          <cell r="AO6">
            <v>5</v>
          </cell>
          <cell r="AP6">
            <v>2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</row>
        <row r="7">
          <cell r="AO7">
            <v>7</v>
          </cell>
          <cell r="AP7">
            <v>2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</row>
        <row r="8">
          <cell r="AO8">
            <v>10</v>
          </cell>
          <cell r="AP8">
            <v>1</v>
          </cell>
          <cell r="AQ8">
            <v>1</v>
          </cell>
          <cell r="AR8">
            <v>0</v>
          </cell>
          <cell r="AS8">
            <v>0</v>
          </cell>
          <cell r="AT8">
            <v>0</v>
          </cell>
        </row>
        <row r="9">
          <cell r="AO9">
            <v>13</v>
          </cell>
          <cell r="AP9">
            <v>0.95</v>
          </cell>
          <cell r="AQ9">
            <v>1.05</v>
          </cell>
          <cell r="AR9">
            <v>0</v>
          </cell>
          <cell r="AS9">
            <v>0</v>
          </cell>
          <cell r="AT9">
            <v>0</v>
          </cell>
        </row>
        <row r="10">
          <cell r="AO10">
            <v>16</v>
          </cell>
          <cell r="AP10">
            <v>0.89749999999999996</v>
          </cell>
          <cell r="AQ10">
            <v>1.1025</v>
          </cell>
          <cell r="AR10">
            <v>0</v>
          </cell>
          <cell r="AS10">
            <v>0</v>
          </cell>
          <cell r="AT10">
            <v>0</v>
          </cell>
        </row>
        <row r="11">
          <cell r="AO11">
            <v>20</v>
          </cell>
          <cell r="AP11">
            <v>0.89749999999999996</v>
          </cell>
          <cell r="AQ11">
            <v>0.58500000000000008</v>
          </cell>
          <cell r="AR11">
            <v>0.51749999999999996</v>
          </cell>
          <cell r="AS11">
            <v>0</v>
          </cell>
          <cell r="AT11">
            <v>0</v>
          </cell>
        </row>
        <row r="12">
          <cell r="AO12">
            <v>24</v>
          </cell>
          <cell r="AP12">
            <v>0.84574999999999978</v>
          </cell>
          <cell r="AQ12">
            <v>0.58500000000000008</v>
          </cell>
          <cell r="AR12">
            <v>0.56925000000000003</v>
          </cell>
          <cell r="AS12">
            <v>0</v>
          </cell>
          <cell r="AT12">
            <v>0</v>
          </cell>
        </row>
        <row r="13">
          <cell r="AO13">
            <v>28</v>
          </cell>
          <cell r="AQ13">
            <v>1.43075</v>
          </cell>
          <cell r="AR13">
            <v>0.56925000000000003</v>
          </cell>
          <cell r="AS13">
            <v>0</v>
          </cell>
          <cell r="AT13">
            <v>0</v>
          </cell>
        </row>
        <row r="14">
          <cell r="AO14">
            <v>34</v>
          </cell>
          <cell r="AQ14">
            <v>1.43075</v>
          </cell>
          <cell r="AR14">
            <v>0.32925000000000004</v>
          </cell>
          <cell r="AS14">
            <v>0.24</v>
          </cell>
          <cell r="AT14">
            <v>0</v>
          </cell>
        </row>
        <row r="15">
          <cell r="AO15">
            <v>39</v>
          </cell>
          <cell r="AQ15">
            <v>1.41875</v>
          </cell>
          <cell r="AR15">
            <v>0.32925000000000004</v>
          </cell>
          <cell r="AS15">
            <v>0.252</v>
          </cell>
          <cell r="AT15">
            <v>0</v>
          </cell>
        </row>
        <row r="16">
          <cell r="AO16">
            <v>44</v>
          </cell>
          <cell r="AQ16">
            <v>1.40615</v>
          </cell>
          <cell r="AR16">
            <v>0.32925000000000004</v>
          </cell>
          <cell r="AS16">
            <v>0.2646</v>
          </cell>
          <cell r="AT16">
            <v>0</v>
          </cell>
        </row>
        <row r="17">
          <cell r="AO17">
            <v>53</v>
          </cell>
          <cell r="AR17">
            <v>1.7354000000000001</v>
          </cell>
          <cell r="AS17">
            <v>0.2326</v>
          </cell>
          <cell r="AT17">
            <v>3.2000000000000001E-2</v>
          </cell>
        </row>
        <row r="18">
          <cell r="AO18">
            <v>59</v>
          </cell>
          <cell r="AR18">
            <v>1.7338</v>
          </cell>
          <cell r="AS18">
            <v>0.2326</v>
          </cell>
          <cell r="AT18">
            <v>3.3600000000000005E-2</v>
          </cell>
        </row>
        <row r="19">
          <cell r="AO19">
            <v>65</v>
          </cell>
          <cell r="AR19">
            <v>1.7321200000000001</v>
          </cell>
          <cell r="AS19">
            <v>0.2326</v>
          </cell>
          <cell r="AT19">
            <v>3.5280000000000006E-2</v>
          </cell>
        </row>
        <row r="20">
          <cell r="AO20">
            <v>72</v>
          </cell>
          <cell r="AR20">
            <v>1.7321200000000001</v>
          </cell>
          <cell r="AS20">
            <v>0.2326</v>
          </cell>
          <cell r="AT20">
            <v>3.5280000000000006E-2</v>
          </cell>
        </row>
        <row r="21">
          <cell r="AO21">
            <v>79</v>
          </cell>
          <cell r="AR21">
            <v>1.7321200000000001</v>
          </cell>
          <cell r="AS21">
            <v>0.2326</v>
          </cell>
          <cell r="AT21">
            <v>3.5280000000000006E-2</v>
          </cell>
        </row>
      </sheetData>
      <sheetData sheetId="11">
        <row r="6">
          <cell r="U6">
            <v>9.6563133372030412E-3</v>
          </cell>
          <cell r="AS6">
            <v>3.0487804878048782E-3</v>
          </cell>
          <cell r="BB6">
            <v>3.7499999999999999E-2</v>
          </cell>
        </row>
        <row r="7">
          <cell r="U7">
            <v>4.6597325609309993E-3</v>
          </cell>
          <cell r="AS7">
            <v>2.976190476190476E-3</v>
          </cell>
          <cell r="BB7">
            <v>3.125E-2</v>
          </cell>
        </row>
        <row r="8">
          <cell r="U8">
            <v>2.9965606364945065E-3</v>
          </cell>
          <cell r="AS8">
            <v>2.9069767441860465E-3</v>
          </cell>
          <cell r="BB8">
            <v>2.615062761506276E-2</v>
          </cell>
        </row>
        <row r="9">
          <cell r="U9">
            <v>2.1669141525364165E-3</v>
          </cell>
          <cell r="AS9">
            <v>2.840909090909091E-3</v>
          </cell>
          <cell r="BB9">
            <v>2.1975317323582152E-2</v>
          </cell>
        </row>
        <row r="10">
          <cell r="U10">
            <v>1.6709846742029182E-3</v>
          </cell>
          <cell r="AS10">
            <v>2.7777777777777779E-3</v>
          </cell>
          <cell r="BB10">
            <v>1.8544571581081984E-2</v>
          </cell>
        </row>
        <row r="11">
          <cell r="U11">
            <v>1.5680888375192168E-3</v>
          </cell>
          <cell r="AS11">
            <v>2.717391304347826E-3</v>
          </cell>
          <cell r="BB11">
            <v>1.5715738628035578E-2</v>
          </cell>
        </row>
        <row r="12">
          <cell r="U12">
            <v>1.4715277507227754E-3</v>
          </cell>
          <cell r="AS12">
            <v>2.6595744680851063E-3</v>
          </cell>
          <cell r="BB12">
            <v>1.3375096704711131E-2</v>
          </cell>
        </row>
        <row r="13">
          <cell r="U13">
            <v>1.3822431576566651E-3</v>
          </cell>
          <cell r="AS13">
            <v>2.6041666666666665E-3</v>
          </cell>
          <cell r="BB13">
            <v>1.1431706585223189E-2</v>
          </cell>
        </row>
        <row r="14">
          <cell r="U14">
            <v>1.2982552443556075E-3</v>
          </cell>
          <cell r="AS14">
            <v>2.5510204081632651E-3</v>
          </cell>
          <cell r="BB14">
            <v>9.8126236783031666E-3</v>
          </cell>
        </row>
        <row r="15">
          <cell r="U15">
            <v>1.2198489485780004E-3</v>
          </cell>
          <cell r="AS15">
            <v>2.5000000000000001E-3</v>
          </cell>
          <cell r="BB15">
            <v>8.4591583433647997E-3</v>
          </cell>
        </row>
        <row r="16">
          <cell r="U16">
            <v>1.1546355563929948E-3</v>
          </cell>
          <cell r="AS16">
            <v>2.4509803921568627E-3</v>
          </cell>
          <cell r="BB16">
            <v>7.323946617631861E-3</v>
          </cell>
        </row>
        <row r="17">
          <cell r="U17">
            <v>1.0938282456546321E-3</v>
          </cell>
          <cell r="AS17">
            <v>2.403846153846154E-3</v>
          </cell>
          <cell r="BB17">
            <v>6.3686492327233576E-3</v>
          </cell>
        </row>
        <row r="18">
          <cell r="U18">
            <v>1.0362568060746026E-3</v>
          </cell>
          <cell r="AS18">
            <v>2.3584905660377358E-3</v>
          </cell>
          <cell r="BB18">
            <v>5.5621390678806618E-3</v>
          </cell>
        </row>
        <row r="19">
          <cell r="U19">
            <v>9.820185725746076E-4</v>
          </cell>
          <cell r="AS19">
            <v>2.3148148148148147E-3</v>
          </cell>
          <cell r="BB19">
            <v>4.8790693577900543E-3</v>
          </cell>
        </row>
        <row r="20">
          <cell r="U20">
            <v>9.3042353614136741E-4</v>
          </cell>
          <cell r="AS20">
            <v>2.2727272727272726E-3</v>
          </cell>
          <cell r="BB20">
            <v>4.298739522281987E-3</v>
          </cell>
        </row>
        <row r="21">
          <cell r="U21">
            <v>8.8152676556011789E-4</v>
          </cell>
          <cell r="AS21">
            <v>2.232142857142857E-3</v>
          </cell>
          <cell r="BB21">
            <v>3.8041942675061829E-3</v>
          </cell>
        </row>
        <row r="22">
          <cell r="U22">
            <v>8.3536150536780626E-4</v>
          </cell>
          <cell r="AS22">
            <v>2.1929824561403508E-3</v>
          </cell>
          <cell r="BB22">
            <v>3.3815060155610514E-3</v>
          </cell>
        </row>
        <row r="23">
          <cell r="U23">
            <v>7.9095135667157197E-4</v>
          </cell>
          <cell r="AS23">
            <v>2.1551724137931034E-3</v>
          </cell>
          <cell r="BB23">
            <v>3.0192017996080811E-3</v>
          </cell>
        </row>
        <row r="24">
          <cell r="U24">
            <v>6.2144922827904198E-4</v>
          </cell>
          <cell r="AS24">
            <v>2.1186440677966102E-3</v>
          </cell>
          <cell r="BB24">
            <v>2.6957158925072153E-3</v>
          </cell>
        </row>
        <row r="25">
          <cell r="U25">
            <v>5.846420494907957E-4</v>
          </cell>
          <cell r="AS25">
            <v>2.0833333333333333E-3</v>
          </cell>
          <cell r="BB25">
            <v>2.4068891897385848E-3</v>
          </cell>
        </row>
        <row r="26">
          <cell r="U26">
            <v>5.4471591624584957E-4</v>
          </cell>
          <cell r="AS26">
            <v>2.0491803278688526E-3</v>
          </cell>
          <cell r="BB26">
            <v>2.1490082051237361E-3</v>
          </cell>
        </row>
        <row r="27">
          <cell r="U27">
            <v>5.0685435632515032E-4</v>
          </cell>
          <cell r="AS27">
            <v>2.0161290322580645E-3</v>
          </cell>
          <cell r="BB27">
            <v>1.9187573260033358E-3</v>
          </cell>
        </row>
        <row r="28">
          <cell r="U28">
            <v>4.2860375631870894E-4</v>
          </cell>
          <cell r="AS28">
            <v>1.984126984126984E-3</v>
          </cell>
          <cell r="BB28">
            <v>1.7131761839315495E-3</v>
          </cell>
        </row>
        <row r="29">
          <cell r="U29">
            <v>3.9613034120303405E-4</v>
          </cell>
          <cell r="AS29">
            <v>1.953125E-3</v>
          </cell>
          <cell r="BB29">
            <v>1.5296215927960263E-3</v>
          </cell>
        </row>
        <row r="30">
          <cell r="U30">
            <v>3.7168691454867857E-4</v>
          </cell>
          <cell r="AS30">
            <v>1.9230769230769232E-3</v>
          </cell>
          <cell r="BB30">
            <v>1.365733564996452E-3</v>
          </cell>
        </row>
        <row r="31">
          <cell r="U31">
            <v>3.5139301400864491E-4</v>
          </cell>
          <cell r="AS31">
            <v>1.893939393939394E-3</v>
          </cell>
          <cell r="BB31">
            <v>1.219404968746832E-3</v>
          </cell>
        </row>
        <row r="32">
          <cell r="U32">
            <v>3.3225669252857237E-4</v>
          </cell>
          <cell r="AS32">
            <v>1.8656716417910447E-3</v>
          </cell>
          <cell r="BB32">
            <v>1.0887544363810998E-3</v>
          </cell>
        </row>
        <row r="33">
          <cell r="U33">
            <v>3.1468470104961254E-4</v>
          </cell>
          <cell r="AS33">
            <v>1.838235294117647E-3</v>
          </cell>
          <cell r="BB33">
            <v>9.7210217534026756E-4</v>
          </cell>
        </row>
        <row r="34">
          <cell r="U34">
            <v>2.9824075490672526E-4</v>
          </cell>
          <cell r="AS34">
            <v>1.8115942028985507E-3</v>
          </cell>
          <cell r="BB34">
            <v>8.6794837083952457E-4</v>
          </cell>
        </row>
        <row r="35">
          <cell r="U35">
            <v>2.8272581770126602E-4</v>
          </cell>
          <cell r="AS35">
            <v>1.7857142857142857E-3</v>
          </cell>
          <cell r="BB35">
            <v>7.7495390253528977E-4</v>
          </cell>
        </row>
        <row r="36">
          <cell r="U36">
            <v>2.6544914157780586E-4</v>
          </cell>
          <cell r="AS36">
            <v>1.7605633802816902E-3</v>
          </cell>
          <cell r="BB36">
            <v>6.9502592155631373E-4</v>
          </cell>
        </row>
        <row r="37">
          <cell r="U37">
            <v>2.49381662702475E-4</v>
          </cell>
          <cell r="AS37">
            <v>1.736111111111111E-3</v>
          </cell>
          <cell r="BB37">
            <v>6.2614947887956187E-4</v>
          </cell>
        </row>
        <row r="38">
          <cell r="U38">
            <v>2.3443444738191198E-4</v>
          </cell>
          <cell r="AS38">
            <v>1.7123287671232876E-3</v>
          </cell>
          <cell r="BB38">
            <v>5.6665111210820081E-4</v>
          </cell>
        </row>
        <row r="39">
          <cell r="U39">
            <v>2.2051104075448131E-4</v>
          </cell>
          <cell r="AS39">
            <v>1.6891891891891893E-3</v>
          </cell>
          <cell r="BB39">
            <v>5.1513737464381883E-4</v>
          </cell>
        </row>
        <row r="40">
          <cell r="U40">
            <v>2.0773686718996798E-4</v>
          </cell>
          <cell r="AS40">
            <v>1.6666666666666668E-3</v>
          </cell>
          <cell r="BB40">
            <v>4.6830670422165342E-4</v>
          </cell>
        </row>
        <row r="41">
          <cell r="U41">
            <v>1.9584856426430269E-4</v>
          </cell>
          <cell r="AS41">
            <v>1.6447368421052631E-3</v>
          </cell>
          <cell r="BB41">
            <v>4.2573336747423038E-4</v>
          </cell>
        </row>
        <row r="42">
          <cell r="U42">
            <v>1.8472124048255718E-4</v>
          </cell>
          <cell r="AS42">
            <v>1.6233766233766235E-3</v>
          </cell>
          <cell r="BB42">
            <v>3.8703033406748213E-4</v>
          </cell>
        </row>
        <row r="43">
          <cell r="U43">
            <v>1.7429862785459986E-4</v>
          </cell>
          <cell r="AS43">
            <v>1.6025641025641025E-3</v>
          </cell>
          <cell r="BB43">
            <v>3.5184575824316556E-4</v>
          </cell>
        </row>
        <row r="44">
          <cell r="U44">
            <v>1.6451883800158162E-4</v>
          </cell>
          <cell r="AS44">
            <v>1.5822784810126582E-3</v>
          </cell>
          <cell r="BB44">
            <v>3.1985978022105956E-4</v>
          </cell>
        </row>
        <row r="45">
          <cell r="U45">
            <v>1.5532096663854273E-4</v>
          </cell>
          <cell r="AS45">
            <v>1.5625000000000001E-3</v>
          </cell>
          <cell r="BB45">
            <v>2.9078161838278139E-4</v>
          </cell>
        </row>
        <row r="46">
          <cell r="U46">
            <v>1.4672592852163884E-4</v>
          </cell>
          <cell r="AS46">
            <v>1.5432098765432098E-3</v>
          </cell>
          <cell r="BB46">
            <v>2.6434692580252849E-4</v>
          </cell>
        </row>
        <row r="47">
          <cell r="U47">
            <v>1.3865921712187196E-4</v>
          </cell>
          <cell r="AS47">
            <v>1.5243902439024391E-3</v>
          </cell>
          <cell r="BB47">
            <v>2.403153870932077E-4</v>
          </cell>
        </row>
        <row r="48">
          <cell r="U48">
            <v>1.3109628968919679E-4</v>
          </cell>
          <cell r="AS48">
            <v>1.5060240963855422E-3</v>
          </cell>
          <cell r="BB48">
            <v>2.184685337210979E-4</v>
          </cell>
        </row>
        <row r="49">
          <cell r="U49">
            <v>1.2401394480447301E-4</v>
          </cell>
          <cell r="AS49">
            <v>1.488095238095238E-3</v>
          </cell>
          <cell r="BB49">
            <v>1.9860775792827079E-4</v>
          </cell>
        </row>
        <row r="50">
          <cell r="U50">
            <v>1.1207067501774439E-4</v>
          </cell>
          <cell r="AS50">
            <v>1.4705882352941176E-3</v>
          </cell>
          <cell r="BB50">
            <v>1.8055250720751888E-4</v>
          </cell>
        </row>
        <row r="51">
          <cell r="U51">
            <v>1.0611018388776278E-4</v>
          </cell>
          <cell r="AS51">
            <v>1.4534883720930232E-3</v>
          </cell>
          <cell r="BB51">
            <v>1.6413864291592623E-4</v>
          </cell>
        </row>
        <row r="52">
          <cell r="U52">
            <v>1.0047013580132074E-4</v>
          </cell>
          <cell r="AS52">
            <v>1.4367816091954023E-3</v>
          </cell>
          <cell r="BB52">
            <v>1.4921694810538747E-4</v>
          </cell>
        </row>
        <row r="53">
          <cell r="U53">
            <v>9.5134896652793519E-5</v>
          </cell>
          <cell r="AS53">
            <v>1.4204545454545455E-3</v>
          </cell>
          <cell r="BB53">
            <v>1.3565177100489771E-4</v>
          </cell>
        </row>
        <row r="54">
          <cell r="U54">
            <v>9.0106720309049041E-5</v>
          </cell>
          <cell r="AS54">
            <v>1.4044943820224719E-3</v>
          </cell>
          <cell r="BB54">
            <v>1.2331979182263425E-4</v>
          </cell>
        </row>
        <row r="55">
          <cell r="U55">
            <v>8.5372964247851509E-5</v>
          </cell>
          <cell r="AS55">
            <v>1.3888888888888889E-3</v>
          </cell>
          <cell r="BB55">
            <v>1.1210890165694024E-4</v>
          </cell>
        </row>
        <row r="56">
          <cell r="U56">
            <v>8.089515812449595E-5</v>
          </cell>
          <cell r="AS56">
            <v>1.3736263736263737E-3</v>
          </cell>
          <cell r="BB56">
            <v>1.0191718332449112E-4</v>
          </cell>
        </row>
        <row r="57">
          <cell r="U57">
            <v>7.6624629868582154E-5</v>
          </cell>
          <cell r="AS57">
            <v>1.358695652173913E-3</v>
          </cell>
          <cell r="BB57">
            <v>9.2651984840446463E-5</v>
          </cell>
        </row>
        <row r="58">
          <cell r="U58">
            <v>7.2600430843476174E-5</v>
          </cell>
          <cell r="AS58">
            <v>1.3440860215053765E-3</v>
          </cell>
          <cell r="BB58">
            <v>8.4229077127678589E-5</v>
          </cell>
        </row>
        <row r="59">
          <cell r="U59">
            <v>6.8806133512707392E-5</v>
          </cell>
          <cell r="AS59">
            <v>1.3297872340425532E-3</v>
          </cell>
          <cell r="BB59">
            <v>7.6571888297889614E-5</v>
          </cell>
        </row>
        <row r="60">
          <cell r="U60">
            <v>6.5347475553061675E-5</v>
          </cell>
          <cell r="AS60">
            <v>1.3157894736842105E-3</v>
          </cell>
          <cell r="BB60">
            <v>6.9610807543536008E-5</v>
          </cell>
        </row>
        <row r="61">
          <cell r="U61">
            <v>6.2092191100312455E-5</v>
          </cell>
          <cell r="AS61">
            <v>1.3020833333333333E-3</v>
          </cell>
          <cell r="BB61">
            <v>6.328255231230545E-5</v>
          </cell>
        </row>
        <row r="62">
          <cell r="U62">
            <v>5.8981881027068178E-5</v>
          </cell>
          <cell r="AS62">
            <v>1.288659793814433E-3</v>
          </cell>
          <cell r="BB62">
            <v>5.7529593011186771E-5</v>
          </cell>
        </row>
        <row r="63">
          <cell r="U63">
            <v>5.0833104285339281E-5</v>
          </cell>
          <cell r="AS63">
            <v>1.2755102040816326E-3</v>
          </cell>
          <cell r="BB63">
            <v>5.2299630010169788E-5</v>
          </cell>
        </row>
        <row r="64">
          <cell r="U64">
            <v>4.8286924729633584E-5</v>
          </cell>
          <cell r="AS64">
            <v>1.2626262626262627E-3</v>
          </cell>
          <cell r="BB64">
            <v>4.7545118191063442E-5</v>
          </cell>
        </row>
        <row r="65">
          <cell r="U65">
            <v>4.6271697963085295E-5</v>
          </cell>
          <cell r="AS65">
            <v>1.25E-3</v>
          </cell>
          <cell r="BB65">
            <v>4.3222834719148579E-5</v>
          </cell>
        </row>
        <row r="66">
          <cell r="U66">
            <v>4.5316987166999435E-5</v>
          </cell>
          <cell r="AS66">
            <v>1.2376237623762376E-3</v>
          </cell>
          <cell r="BB66">
            <v>3.9293486108316887E-5</v>
          </cell>
        </row>
        <row r="67">
          <cell r="U67">
            <v>4.4374758789586867E-5</v>
          </cell>
          <cell r="AS67">
            <v>1.2254901960784314E-3</v>
          </cell>
          <cell r="BB67">
            <v>3.5721351007560798E-5</v>
          </cell>
        </row>
        <row r="68">
          <cell r="U68">
            <v>4.3443820588955778E-5</v>
          </cell>
          <cell r="AS68">
            <v>1.2135922330097086E-3</v>
          </cell>
          <cell r="BB68">
            <v>3.2473955461418906E-5</v>
          </cell>
        </row>
        <row r="69">
          <cell r="U69">
            <v>4.2533027670327198E-5</v>
          </cell>
          <cell r="AS69">
            <v>1.201923076923077E-3</v>
          </cell>
          <cell r="BB69">
            <v>2.9521777692199E-5</v>
          </cell>
        </row>
        <row r="70">
          <cell r="U70">
            <v>4.1627162797658072E-5</v>
          </cell>
          <cell r="AS70">
            <v>1.1904761904761906E-3</v>
          </cell>
          <cell r="BB70">
            <v>2.6837979720180906E-5</v>
          </cell>
        </row>
        <row r="71">
          <cell r="U71">
            <v>4.0759809501684178E-5</v>
          </cell>
          <cell r="AS71">
            <v>1.1792452830188679E-3</v>
          </cell>
          <cell r="BB71">
            <v>2.4398163381982642E-5</v>
          </cell>
        </row>
        <row r="72">
          <cell r="U72">
            <v>3.9905760540812048E-5</v>
          </cell>
          <cell r="AS72">
            <v>1.1682242990654205E-3</v>
          </cell>
          <cell r="BB72">
            <v>2.2180148529075128E-5</v>
          </cell>
        </row>
        <row r="73">
          <cell r="U73">
            <v>3.905269204808475E-5</v>
          </cell>
          <cell r="AS73">
            <v>1.1574074074074073E-3</v>
          </cell>
          <cell r="BB73">
            <v>2.0163771390068297E-5</v>
          </cell>
        </row>
        <row r="74">
          <cell r="U74">
            <v>3.8266861664372458E-5</v>
          </cell>
          <cell r="AS74">
            <v>1.1467889908256881E-3</v>
          </cell>
          <cell r="BB74">
            <v>1.833070126369845E-5</v>
          </cell>
        </row>
        <row r="75">
          <cell r="U75">
            <v>3.7523822077575745E-5</v>
          </cell>
          <cell r="AS75">
            <v>1.1363636363636363E-3</v>
          </cell>
          <cell r="BB75">
            <v>1.66642738760895E-5</v>
          </cell>
        </row>
        <row r="76">
          <cell r="U76">
            <v>3.6840048273390425E-5</v>
          </cell>
          <cell r="AS76">
            <v>1.1261261261261261E-3</v>
          </cell>
          <cell r="BB76">
            <v>1.5149339887354088E-5</v>
          </cell>
        </row>
        <row r="77">
          <cell r="U77">
            <v>3.6274628140517728E-5</v>
          </cell>
          <cell r="AS77">
            <v>1.1160714285714285E-3</v>
          </cell>
          <cell r="BB77">
            <v>1.3772127170321899E-5</v>
          </cell>
        </row>
        <row r="78">
          <cell r="U78">
            <v>3.572610768732152E-5</v>
          </cell>
          <cell r="AS78">
            <v>1.1061946902654867E-3</v>
          </cell>
          <cell r="BB78">
            <v>1.2520115609383542E-5</v>
          </cell>
        </row>
        <row r="79">
          <cell r="U79">
            <v>3.5183518278707066E-5</v>
          </cell>
          <cell r="AS79">
            <v>1.0964912280701754E-3</v>
          </cell>
          <cell r="BB79">
            <v>1.1381923281257766E-5</v>
          </cell>
        </row>
        <row r="80">
          <cell r="U80">
            <v>3.4648597601256408E-5</v>
          </cell>
          <cell r="AS80">
            <v>1.0869565217391304E-3</v>
          </cell>
          <cell r="BB80">
            <v>1.0347202982961605E-5</v>
          </cell>
        </row>
        <row r="81">
          <cell r="U81">
            <v>3.4122526882626195E-5</v>
          </cell>
          <cell r="AS81">
            <v>1.0775862068965517E-3</v>
          </cell>
          <cell r="BB81">
            <v>9.406548166328731E-6</v>
          </cell>
        </row>
        <row r="82">
          <cell r="U82">
            <v>3.3602158260017844E-5</v>
          </cell>
          <cell r="AS82">
            <v>1.0683760683760685E-3</v>
          </cell>
          <cell r="BB82">
            <v>8.5514074239352094E-6</v>
          </cell>
        </row>
        <row r="83">
          <cell r="U83">
            <v>3.3087430155036763E-5</v>
          </cell>
          <cell r="AS83">
            <v>1.0593220338983051E-3</v>
          </cell>
          <cell r="BB83">
            <v>7.7740067490320079E-6</v>
          </cell>
        </row>
        <row r="84">
          <cell r="U84">
            <v>3.258436789103045E-5</v>
          </cell>
          <cell r="AS84">
            <v>1.0504201680672268E-3</v>
          </cell>
          <cell r="BB84">
            <v>7.0672788627563706E-6</v>
          </cell>
        </row>
        <row r="85">
          <cell r="U85">
            <v>3.2089387919077486E-5</v>
          </cell>
          <cell r="AS85">
            <v>1.0416666666666667E-3</v>
          </cell>
          <cell r="BB85">
            <v>6.4247989661421547E-6</v>
          </cell>
        </row>
        <row r="86">
          <cell r="U86">
            <v>3.1357027009639539E-5</v>
          </cell>
          <cell r="AS86">
            <v>1.0330578512396695E-3</v>
          </cell>
          <cell r="BB86">
            <v>5.8407263328565037E-6</v>
          </cell>
        </row>
        <row r="87">
          <cell r="U87">
            <v>3.0640265154942983E-5</v>
          </cell>
          <cell r="AS87">
            <v>1.0245901639344263E-3</v>
          </cell>
          <cell r="BB87">
            <v>5.3097512116877295E-6</v>
          </cell>
        </row>
        <row r="88">
          <cell r="U88">
            <v>2.995935894851556E-5</v>
          </cell>
          <cell r="AS88">
            <v>1.0162601626016261E-3</v>
          </cell>
          <cell r="BB88">
            <v>4.8270465560797545E-6</v>
          </cell>
        </row>
        <row r="89">
          <cell r="U89">
            <v>2.7257495755407297E-5</v>
          </cell>
          <cell r="AS89">
            <v>1.0080645161290322E-3</v>
          </cell>
          <cell r="BB89">
            <v>4.3882241418906856E-6</v>
          </cell>
        </row>
        <row r="90">
          <cell r="U90">
            <v>2.6680234981694386E-5</v>
          </cell>
          <cell r="AS90">
            <v>1E-3</v>
          </cell>
          <cell r="BB90">
            <v>3.9892946744460772E-6</v>
          </cell>
        </row>
        <row r="91">
          <cell r="U91">
            <v>2.6114182568878229E-5</v>
          </cell>
          <cell r="AS91">
            <v>9.9206349206349201E-4</v>
          </cell>
          <cell r="BB91">
            <v>3.626631522223706E-6</v>
          </cell>
        </row>
        <row r="92">
          <cell r="U92">
            <v>2.5559461394400111E-5</v>
          </cell>
          <cell r="AS92">
            <v>9.8425196850393699E-4</v>
          </cell>
          <cell r="BB92">
            <v>3.296937747476096E-6</v>
          </cell>
        </row>
        <row r="93">
          <cell r="U93">
            <v>2.5021422466041604E-5</v>
          </cell>
          <cell r="AS93">
            <v>9.765625E-4</v>
          </cell>
          <cell r="BB93">
            <v>2.9972161340691778E-6</v>
          </cell>
        </row>
        <row r="94">
          <cell r="U94">
            <v>2.451451522337352E-5</v>
          </cell>
          <cell r="AS94">
            <v>9.6899224806201549E-4</v>
          </cell>
          <cell r="BB94">
            <v>2.7247419400628888E-6</v>
          </cell>
        </row>
        <row r="95">
          <cell r="U95">
            <v>2.402168088798167E-5</v>
          </cell>
          <cell r="AS95">
            <v>9.6153846153846159E-4</v>
          </cell>
          <cell r="BB95">
            <v>2.4770381273298987E-6</v>
          </cell>
        </row>
        <row r="96">
          <cell r="U96">
            <v>1.9940786979898771E-5</v>
          </cell>
          <cell r="AS96">
            <v>9.5419847328244271E-4</v>
          </cell>
          <cell r="BB96">
            <v>2.2518528430271806E-6</v>
          </cell>
        </row>
        <row r="97">
          <cell r="U97">
            <v>1.7021818202217721E-5</v>
          </cell>
          <cell r="AS97">
            <v>9.46969696969697E-4</v>
          </cell>
          <cell r="BB97">
            <v>2.0471389482065275E-6</v>
          </cell>
        </row>
        <row r="98">
          <cell r="U98">
            <v>1.4818139077491083E-5</v>
          </cell>
          <cell r="AS98">
            <v>9.3984962406015032E-4</v>
          </cell>
          <cell r="BB98">
            <v>1.8610354074604796E-6</v>
          </cell>
        </row>
        <row r="99">
          <cell r="U99">
            <v>1.3104003568322692E-5</v>
          </cell>
          <cell r="AS99">
            <v>9.3283582089552237E-4</v>
          </cell>
          <cell r="BB99">
            <v>1.6918503704186175E-6</v>
          </cell>
        </row>
        <row r="100">
          <cell r="U100">
            <v>1.1736540148552387E-5</v>
          </cell>
          <cell r="AS100">
            <v>9.2592592592592596E-4</v>
          </cell>
          <cell r="BB100">
            <v>1.5380457912896521E-6</v>
          </cell>
        </row>
        <row r="101">
          <cell r="U101">
            <v>1.0614828378831873E-5</v>
          </cell>
          <cell r="AS101">
            <v>9.1911764705882352E-4</v>
          </cell>
          <cell r="BB101">
            <v>1.3982234466269566E-6</v>
          </cell>
        </row>
        <row r="102">
          <cell r="U102">
            <v>9.6728648922522162E-6</v>
          </cell>
          <cell r="AS102">
            <v>9.1240875912408756E-4</v>
          </cell>
          <cell r="BB102">
            <v>1.271112224206324E-6</v>
          </cell>
        </row>
        <row r="103">
          <cell r="U103">
            <v>8.8726700133860973E-6</v>
          </cell>
          <cell r="AS103">
            <v>9.0579710144927537E-4</v>
          </cell>
          <cell r="BB103">
            <v>1.1555565674602945E-6</v>
          </cell>
        </row>
        <row r="104">
          <cell r="U104">
            <v>8.2343156871948158E-6</v>
          </cell>
          <cell r="AS104">
            <v>8.9928057553956839E-4</v>
          </cell>
          <cell r="BB104">
            <v>1.0505059704184495E-6</v>
          </cell>
        </row>
        <row r="105">
          <cell r="U105">
            <v>7.685361308048496E-6</v>
          </cell>
          <cell r="AS105">
            <v>8.9285714285714283E-4</v>
          </cell>
          <cell r="BB105">
            <v>9.5500542765313594E-7</v>
          </cell>
        </row>
        <row r="106">
          <cell r="U106">
            <v>7.685361308048496E-6</v>
          </cell>
          <cell r="AS106">
            <v>8.8652482269503544E-4</v>
          </cell>
          <cell r="BB106">
            <v>8.6818675241194168E-7</v>
          </cell>
        </row>
        <row r="107">
          <cell r="U107">
            <v>7.685361308048496E-6</v>
          </cell>
          <cell r="AS107">
            <v>8.8028169014084509E-4</v>
          </cell>
          <cell r="BB107">
            <v>7.8926068401085601E-7</v>
          </cell>
        </row>
        <row r="108">
          <cell r="U108">
            <v>7.685361308048496E-6</v>
          </cell>
          <cell r="AS108">
            <v>8.7412587412587413E-4</v>
          </cell>
          <cell r="BB108">
            <v>7.1750971273714184E-7</v>
          </cell>
        </row>
        <row r="109">
          <cell r="U109">
            <v>7.685361308048496E-6</v>
          </cell>
          <cell r="AS109">
            <v>8.6805555555555551E-4</v>
          </cell>
          <cell r="BB109">
            <v>6.5228155703376527E-7</v>
          </cell>
        </row>
        <row r="110">
          <cell r="U110">
            <v>7.3104224693145021E-6</v>
          </cell>
          <cell r="AS110">
            <v>8.6206896551724137E-4</v>
          </cell>
          <cell r="BB110">
            <v>5.9298323366705923E-7</v>
          </cell>
        </row>
        <row r="111">
          <cell r="U111">
            <v>7.3104224693145021E-6</v>
          </cell>
          <cell r="AS111">
            <v>8.5616438356164379E-4</v>
          </cell>
          <cell r="BB111">
            <v>5.3907566697005388E-7</v>
          </cell>
        </row>
        <row r="112">
          <cell r="U112">
            <v>7.3104224693145021E-6</v>
          </cell>
          <cell r="AS112">
            <v>8.5034013605442174E-4</v>
          </cell>
          <cell r="BB112">
            <v>4.9006878815459436E-7</v>
          </cell>
        </row>
        <row r="113">
          <cell r="U113">
            <v>7.3104224693145021E-6</v>
          </cell>
          <cell r="AS113">
            <v>8.4459459459459464E-4</v>
          </cell>
          <cell r="BB113">
            <v>4.4551708014054032E-7</v>
          </cell>
        </row>
        <row r="114">
          <cell r="U114">
            <v>7.3104224693145021E-6</v>
          </cell>
          <cell r="AS114">
            <v>8.3892617449664428E-4</v>
          </cell>
          <cell r="BB114">
            <v>4.0501552740049114E-7</v>
          </cell>
        </row>
        <row r="115">
          <cell r="U115">
            <v>7.3104224693145021E-6</v>
          </cell>
          <cell r="AS115">
            <v>8.3333333333333339E-4</v>
          </cell>
          <cell r="BB115">
            <v>3.6819593400044644E-7</v>
          </cell>
        </row>
        <row r="116">
          <cell r="U116">
            <v>7.3104224693145021E-6</v>
          </cell>
          <cell r="AS116">
            <v>8.2781456953642384E-4</v>
          </cell>
          <cell r="BB116">
            <v>3.3472357636404218E-7</v>
          </cell>
        </row>
        <row r="117">
          <cell r="U117">
            <v>7.3104224693145021E-6</v>
          </cell>
          <cell r="AS117">
            <v>8.2236842105263153E-4</v>
          </cell>
          <cell r="BB117">
            <v>3.0429416033094746E-7</v>
          </cell>
        </row>
        <row r="118">
          <cell r="U118">
            <v>7.3104224693145021E-6</v>
          </cell>
          <cell r="AS118">
            <v>8.1699346405228761E-4</v>
          </cell>
          <cell r="BB118">
            <v>2.766310548463158E-7</v>
          </cell>
        </row>
        <row r="119">
          <cell r="U119">
            <v>7.3104224693145021E-6</v>
          </cell>
          <cell r="AS119">
            <v>8.1168831168831174E-4</v>
          </cell>
          <cell r="BB119">
            <v>2.5148277713301439E-7</v>
          </cell>
        </row>
        <row r="120">
          <cell r="U120">
            <v>7.3104224693145021E-6</v>
          </cell>
          <cell r="AS120">
            <v>8.0645161290322581E-4</v>
          </cell>
          <cell r="BB120">
            <v>2.2862070648455852E-7</v>
          </cell>
        </row>
        <row r="121">
          <cell r="U121">
            <v>7.3104224693145021E-6</v>
          </cell>
          <cell r="AS121">
            <v>8.0128205128205125E-4</v>
          </cell>
          <cell r="BB121">
            <v>2.0783700589505318E-7</v>
          </cell>
        </row>
        <row r="122">
          <cell r="U122">
            <v>7.3104224693145021E-6</v>
          </cell>
          <cell r="AS122">
            <v>7.9617834394904463E-4</v>
          </cell>
          <cell r="BB122">
            <v>1.8894273263186652E-7</v>
          </cell>
        </row>
        <row r="123">
          <cell r="U123">
            <v>7.3104224693145021E-6</v>
          </cell>
          <cell r="AS123">
            <v>7.911392405063291E-4</v>
          </cell>
          <cell r="BB123">
            <v>1.7176612057442409E-7</v>
          </cell>
        </row>
        <row r="124">
          <cell r="U124">
            <v>7.3104224693145021E-6</v>
          </cell>
          <cell r="AS124">
            <v>7.8616352201257866E-4</v>
          </cell>
          <cell r="BB124">
            <v>1.5615101870402188E-7</v>
          </cell>
        </row>
        <row r="125">
          <cell r="U125">
            <v>7.3104224693145021E-6</v>
          </cell>
          <cell r="AS125">
            <v>7.8125000000000004E-4</v>
          </cell>
          <cell r="BB125">
            <v>1.419554715491108E-7</v>
          </cell>
        </row>
        <row r="126">
          <cell r="U126">
            <v>7.3104224693145021E-6</v>
          </cell>
          <cell r="AS126">
            <v>7.7639751552795026E-4</v>
          </cell>
          <cell r="BB126">
            <v>1.290504286810098E-7</v>
          </cell>
        </row>
        <row r="127">
          <cell r="U127">
            <v>7.3104224693145021E-6</v>
          </cell>
          <cell r="AS127">
            <v>7.716049382716049E-4</v>
          </cell>
          <cell r="BB127">
            <v>1.1731857152819073E-7</v>
          </cell>
        </row>
        <row r="128">
          <cell r="U128">
            <v>7.3104224693145021E-6</v>
          </cell>
          <cell r="AS128">
            <v>7.668711656441718E-4</v>
          </cell>
          <cell r="BB128">
            <v>1.0665324684380974E-7</v>
          </cell>
        </row>
        <row r="129">
          <cell r="U129">
            <v>7.3104224693145021E-6</v>
          </cell>
          <cell r="AS129">
            <v>7.6219512195121954E-4</v>
          </cell>
          <cell r="BB129">
            <v>9.695749713073611E-8</v>
          </cell>
        </row>
        <row r="130">
          <cell r="U130">
            <v>7.3104224693145021E-6</v>
          </cell>
          <cell r="AS130">
            <v>7.5757575757575758E-4</v>
          </cell>
          <cell r="BB130">
            <v>8.8143179209760097E-8</v>
          </cell>
        </row>
        <row r="131">
          <cell r="U131">
            <v>7.3104224693145021E-6</v>
          </cell>
          <cell r="AS131">
            <v>7.5301204819277112E-4</v>
          </cell>
          <cell r="BB131">
            <v>8.013016291796372E-8</v>
          </cell>
        </row>
        <row r="132">
          <cell r="U132">
            <v>7.3104224693145021E-6</v>
          </cell>
          <cell r="AS132">
            <v>7.4850299401197609E-4</v>
          </cell>
          <cell r="BB132">
            <v>7.2845602652694289E-8</v>
          </cell>
        </row>
        <row r="133">
          <cell r="U133">
            <v>7.3104224693145021E-6</v>
          </cell>
          <cell r="AS133">
            <v>7.4404761904761901E-4</v>
          </cell>
          <cell r="BB133">
            <v>6.6223275138812992E-8</v>
          </cell>
        </row>
        <row r="134">
          <cell r="U134">
            <v>7.3104224693145021E-6</v>
          </cell>
          <cell r="AS134">
            <v>7.3964497041420117E-4</v>
          </cell>
          <cell r="BB134">
            <v>6.0202977398920896E-8</v>
          </cell>
        </row>
        <row r="135">
          <cell r="U135">
            <v>7.3104224693145021E-6</v>
          </cell>
          <cell r="AS135">
            <v>7.3529411764705881E-4</v>
          </cell>
          <cell r="BB135">
            <v>5.4729979453564449E-8</v>
          </cell>
        </row>
        <row r="136">
          <cell r="U136">
            <v>6.970365491114527E-6</v>
          </cell>
          <cell r="AS136">
            <v>7.3099415204678359E-4</v>
          </cell>
          <cell r="BB136">
            <v>4.9754526775967676E-8</v>
          </cell>
        </row>
        <row r="137">
          <cell r="U137">
            <v>6.970365491114527E-6</v>
          </cell>
          <cell r="AS137">
            <v>7.2674418604651162E-4</v>
          </cell>
          <cell r="BB137">
            <v>4.5231387978152427E-8</v>
          </cell>
        </row>
        <row r="138">
          <cell r="U138">
            <v>6.970365491114527E-6</v>
          </cell>
          <cell r="AS138">
            <v>7.2254335260115603E-4</v>
          </cell>
          <cell r="BB138">
            <v>4.1119443616502208E-8</v>
          </cell>
        </row>
        <row r="139">
          <cell r="U139">
            <v>6.970365491114527E-6</v>
          </cell>
          <cell r="AS139">
            <v>7.1839080459770114E-4</v>
          </cell>
          <cell r="BB139">
            <v>3.7381312378638361E-8</v>
          </cell>
        </row>
        <row r="140">
          <cell r="U140">
            <v>6.970365491114527E-6</v>
          </cell>
          <cell r="AS140">
            <v>7.1428571428571429E-4</v>
          </cell>
          <cell r="BB140">
            <v>3.3983011253307599E-8</v>
          </cell>
        </row>
        <row r="141">
          <cell r="U141">
            <v>6.970365491114527E-6</v>
          </cell>
          <cell r="AS141">
            <v>7.1022727272727275E-4</v>
          </cell>
          <cell r="BB141">
            <v>3.0893646593915996E-8</v>
          </cell>
        </row>
        <row r="142">
          <cell r="U142">
            <v>6.970365491114527E-6</v>
          </cell>
          <cell r="AS142">
            <v>7.0621468926553672E-4</v>
          </cell>
          <cell r="BB142">
            <v>2.8085133267196357E-8</v>
          </cell>
        </row>
        <row r="143">
          <cell r="U143">
            <v>6.970365491114527E-6</v>
          </cell>
          <cell r="AS143">
            <v>7.0224719101123594E-4</v>
          </cell>
          <cell r="BB143">
            <v>2.5531939333814868E-8</v>
          </cell>
        </row>
        <row r="144">
          <cell r="U144">
            <v>6.970365491114527E-6</v>
          </cell>
          <cell r="AS144">
            <v>6.9832402234636874E-4</v>
          </cell>
          <cell r="BB144">
            <v>2.3210853939831698E-8</v>
          </cell>
        </row>
        <row r="145">
          <cell r="U145">
            <v>6.970365491114527E-6</v>
          </cell>
          <cell r="AS145">
            <v>6.9444444444444447E-4</v>
          </cell>
          <cell r="BB145">
            <v>2.1100776308937906E-8</v>
          </cell>
        </row>
        <row r="146">
          <cell r="U146">
            <v>6.970365491114527E-6</v>
          </cell>
          <cell r="AS146">
            <v>6.9060773480662981E-4</v>
          </cell>
          <cell r="BB146">
            <v>1.9182523917216278E-8</v>
          </cell>
        </row>
        <row r="147">
          <cell r="U147">
            <v>6.970365491114527E-6</v>
          </cell>
          <cell r="AS147">
            <v>6.8681318681318687E-4</v>
          </cell>
          <cell r="BB147">
            <v>1.7438658106560254E-8</v>
          </cell>
        </row>
        <row r="148">
          <cell r="U148">
            <v>6.970365491114527E-6</v>
          </cell>
          <cell r="AS148">
            <v>6.8306010928961749E-4</v>
          </cell>
          <cell r="BB148">
            <v>1.585332555141841E-8</v>
          </cell>
        </row>
        <row r="149">
          <cell r="U149">
            <v>6.970365491114527E-6</v>
          </cell>
          <cell r="AS149">
            <v>6.793478260869565E-4</v>
          </cell>
          <cell r="BB149">
            <v>1.44121141376531E-8</v>
          </cell>
        </row>
        <row r="150">
          <cell r="U150">
            <v>6.970365491114527E-6</v>
          </cell>
          <cell r="AS150">
            <v>6.7567567567567571E-4</v>
          </cell>
          <cell r="BB150">
            <v>1.3101921943320998E-8</v>
          </cell>
        </row>
        <row r="151">
          <cell r="U151">
            <v>6.970365491114527E-6</v>
          </cell>
          <cell r="AS151">
            <v>6.7204301075268823E-4</v>
          </cell>
          <cell r="BB151">
            <v>1.1910838130291815E-8</v>
          </cell>
        </row>
        <row r="152">
          <cell r="U152">
            <v>6.970365491114527E-6</v>
          </cell>
          <cell r="AS152">
            <v>6.6844919786096253E-4</v>
          </cell>
          <cell r="BB152">
            <v>1.0828034663901648E-8</v>
          </cell>
        </row>
        <row r="153">
          <cell r="U153">
            <v>6.970365491114527E-6</v>
          </cell>
          <cell r="AS153">
            <v>6.6489361702127658E-4</v>
          </cell>
          <cell r="BB153">
            <v>9.8436678762742253E-9</v>
          </cell>
        </row>
        <row r="154">
          <cell r="U154">
            <v>6.970365491114527E-6</v>
          </cell>
          <cell r="AS154">
            <v>6.6137566137566134E-4</v>
          </cell>
          <cell r="BB154">
            <v>8.9487889784311135E-9</v>
          </cell>
        </row>
        <row r="155">
          <cell r="U155">
            <v>6.8119310973169508E-6</v>
          </cell>
          <cell r="AS155">
            <v>6.5789473684210525E-4</v>
          </cell>
          <cell r="BB155">
            <v>8.1352627076646464E-9</v>
          </cell>
        </row>
        <row r="156">
          <cell r="U156">
            <v>6.8119310973169508E-6</v>
          </cell>
          <cell r="AS156">
            <v>6.5445026178010475E-4</v>
          </cell>
          <cell r="BB156">
            <v>7.3956933706042241E-9</v>
          </cell>
        </row>
        <row r="157">
          <cell r="U157">
            <v>6.8119310973169508E-6</v>
          </cell>
          <cell r="AS157">
            <v>6.5104166666666663E-4</v>
          </cell>
          <cell r="BB157">
            <v>6.7233576096402026E-9</v>
          </cell>
        </row>
        <row r="158">
          <cell r="U158">
            <v>6.8119310973169508E-6</v>
          </cell>
          <cell r="AS158">
            <v>6.4766839378238344E-4</v>
          </cell>
          <cell r="BB158">
            <v>6.1121432814910924E-9</v>
          </cell>
        </row>
        <row r="159">
          <cell r="U159">
            <v>6.8119310973169508E-6</v>
          </cell>
          <cell r="AS159">
            <v>6.4432989690721648E-4</v>
          </cell>
          <cell r="BB159">
            <v>5.5564938922646285E-9</v>
          </cell>
        </row>
        <row r="160">
          <cell r="U160">
            <v>6.8119310973169508E-6</v>
          </cell>
          <cell r="AS160">
            <v>6.4102564102564103E-4</v>
          </cell>
          <cell r="BB160">
            <v>5.0513580838769347E-9</v>
          </cell>
        </row>
        <row r="161">
          <cell r="U161">
            <v>6.8119310973169508E-6</v>
          </cell>
          <cell r="AS161">
            <v>6.3775510204081628E-4</v>
          </cell>
          <cell r="BB161">
            <v>4.5921437126153946E-9</v>
          </cell>
        </row>
        <row r="162">
          <cell r="U162">
            <v>6.8119310973169508E-6</v>
          </cell>
          <cell r="AS162">
            <v>6.3451776649746188E-4</v>
          </cell>
          <cell r="BB162">
            <v>4.1746761023776317E-9</v>
          </cell>
        </row>
        <row r="163">
          <cell r="U163">
            <v>6.8119310973169508E-6</v>
          </cell>
          <cell r="AS163">
            <v>6.3131313131313137E-4</v>
          </cell>
          <cell r="BB163">
            <v>3.795160093070574E-9</v>
          </cell>
        </row>
        <row r="164">
          <cell r="U164">
            <v>6.8119310973169508E-6</v>
          </cell>
          <cell r="AS164">
            <v>6.2814070351758795E-4</v>
          </cell>
          <cell r="BB164">
            <v>3.450145539155067E-9</v>
          </cell>
        </row>
        <row r="165">
          <cell r="U165">
            <v>6.8119310973169508E-6</v>
          </cell>
          <cell r="AS165">
            <v>6.2500000000000001E-4</v>
          </cell>
          <cell r="BB165">
            <v>3.1364959446864238E-9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总纲"/>
      <sheetName val="纲要"/>
      <sheetName val="节奏总纲"/>
      <sheetName val="圣人"/>
      <sheetName val="爵位"/>
      <sheetName val="士兵训练"/>
      <sheetName val="功能-大地图城池-附加属性"/>
      <sheetName val="养成属性buff汇总"/>
      <sheetName val="士兵属性"/>
      <sheetName val="武将属性"/>
      <sheetName val="战法技能效用"/>
      <sheetName val="攻城值"/>
      <sheetName val="带兵数"/>
      <sheetName val="职业属性对比"/>
      <sheetName val="非r将兵属性验证"/>
      <sheetName val="小r将兵属性验证"/>
      <sheetName val="中r将兵属性验证"/>
      <sheetName val="大r将兵属性验证"/>
      <sheetName val="超r将兵属性验证"/>
      <sheetName val="各R部队能量汇总"/>
      <sheetName val="消耗转换战力汇总"/>
      <sheetName val="战力汇总"/>
      <sheetName val="将兵属性对比验证"/>
      <sheetName val="将兵攻城值对比验证"/>
      <sheetName val="各职业士兵属性"/>
      <sheetName val="实力验证"/>
      <sheetName val="实力验证（按等级）"/>
      <sheetName val="索引信息"/>
      <sheetName val="各r兵营医馆情况"/>
      <sheetName val="各职业武将属性"/>
      <sheetName val="各职业羁绊加成值"/>
      <sheetName val="Sheet2"/>
      <sheetName val="Sheet1"/>
      <sheetName val="超r各职业士兵属性"/>
      <sheetName val="功能-大地图城池-城防"/>
      <sheetName val="属性-玩家城防"/>
      <sheetName val="Sheet9"/>
      <sheetName val="属性-城池"/>
      <sheetName val="功能-城池"/>
      <sheetName val="城池"/>
      <sheetName val="养成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C6">
            <v>0</v>
          </cell>
        </row>
      </sheetData>
      <sheetData sheetId="8">
        <row r="5">
          <cell r="AV5">
            <v>1.2402098837099819E-2</v>
          </cell>
        </row>
      </sheetData>
      <sheetData sheetId="9">
        <row r="5">
          <cell r="BG5">
            <v>1.2402098837099819E-2</v>
          </cell>
        </row>
      </sheetData>
      <sheetData sheetId="10"/>
      <sheetData sheetId="11"/>
      <sheetData sheetId="12">
        <row r="4">
          <cell r="D4">
            <v>1249.1935266914652</v>
          </cell>
        </row>
      </sheetData>
      <sheetData sheetId="13"/>
      <sheetData sheetId="14">
        <row r="7">
          <cell r="M7">
            <v>60</v>
          </cell>
        </row>
      </sheetData>
      <sheetData sheetId="15">
        <row r="7">
          <cell r="M7">
            <v>60</v>
          </cell>
        </row>
      </sheetData>
      <sheetData sheetId="16">
        <row r="7">
          <cell r="M7">
            <v>60</v>
          </cell>
        </row>
      </sheetData>
      <sheetData sheetId="17">
        <row r="7">
          <cell r="M7">
            <v>60</v>
          </cell>
        </row>
      </sheetData>
      <sheetData sheetId="18">
        <row r="7">
          <cell r="M7">
            <v>60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>
        <row r="5">
          <cell r="AG5">
            <v>2500942.3388598445</v>
          </cell>
          <cell r="AH5">
            <v>2512551.1280888254</v>
          </cell>
          <cell r="AI5">
            <v>2528283.7187209777</v>
          </cell>
          <cell r="AJ5">
            <v>2545194.8679372855</v>
          </cell>
          <cell r="AK5">
            <v>2558513.9572203495</v>
          </cell>
        </row>
        <row r="6">
          <cell r="AG6">
            <v>3517613.9249715721</v>
          </cell>
          <cell r="AH6">
            <v>3558641.8257326558</v>
          </cell>
          <cell r="AI6">
            <v>3624178.9572740197</v>
          </cell>
          <cell r="AJ6">
            <v>3719323.1162313018</v>
          </cell>
          <cell r="AK6">
            <v>3775605.0535245403</v>
          </cell>
        </row>
        <row r="7">
          <cell r="AG7">
            <v>4754444.5973145077</v>
          </cell>
          <cell r="AH7">
            <v>4841616.0497272313</v>
          </cell>
          <cell r="AI7">
            <v>4989687.2020780817</v>
          </cell>
          <cell r="AJ7">
            <v>5213350.2046916168</v>
          </cell>
          <cell r="AK7">
            <v>5344738.9760777531</v>
          </cell>
        </row>
        <row r="8">
          <cell r="AG8">
            <v>6297960.2443307275</v>
          </cell>
          <cell r="AH8">
            <v>6453779.6916835615</v>
          </cell>
          <cell r="AI8">
            <v>6724798.3378744405</v>
          </cell>
          <cell r="AJ8">
            <v>7140146.0223119799</v>
          </cell>
          <cell r="AK8">
            <v>7386620.8682476413</v>
          </cell>
        </row>
        <row r="9">
          <cell r="AG9">
            <v>8202594.7257233243</v>
          </cell>
          <cell r="AH9">
            <v>8454585.1542194542</v>
          </cell>
          <cell r="AI9">
            <v>8900772.8863669336</v>
          </cell>
          <cell r="AJ9">
            <v>9589372.0575095583</v>
          </cell>
          <cell r="AK9">
            <v>10003839.049108379</v>
          </cell>
        </row>
        <row r="10">
          <cell r="AG10">
            <v>10528433.899836116</v>
          </cell>
          <cell r="AH10">
            <v>10911072.506350191</v>
          </cell>
          <cell r="AI10">
            <v>11598670.651409147</v>
          </cell>
          <cell r="AJ10">
            <v>12663949.808687916</v>
          </cell>
          <cell r="AK10">
            <v>13314976.020617699</v>
          </cell>
        </row>
        <row r="11">
          <cell r="AG11">
            <v>13342678.593612272</v>
          </cell>
          <cell r="AH11">
            <v>13898555.384002345</v>
          </cell>
          <cell r="AI11">
            <v>14910307.38769903</v>
          </cell>
          <cell r="AJ11">
            <v>16454893.246702671</v>
          </cell>
          <cell r="AK11">
            <v>17353174.206810892</v>
          </cell>
        </row>
        <row r="12">
          <cell r="AG12">
            <v>16720244.594958505</v>
          </cell>
          <cell r="AH12">
            <v>17455221.813589942</v>
          </cell>
          <cell r="AI12">
            <v>18816547.896690365</v>
          </cell>
          <cell r="AJ12">
            <v>20945266.9607918</v>
          </cell>
          <cell r="AK12">
            <v>22228286.746131983</v>
          </cell>
        </row>
        <row r="13">
          <cell r="AG13">
            <v>20593709.24817935</v>
          </cell>
          <cell r="AH13">
            <v>21577477.740082961</v>
          </cell>
          <cell r="AI13">
            <v>23442343.315738134</v>
          </cell>
          <cell r="AJ13">
            <v>26359481.43000716</v>
          </cell>
          <cell r="AK13">
            <v>28140924.06875626</v>
          </cell>
        </row>
        <row r="14">
          <cell r="AG14">
            <v>25255711.888269622</v>
          </cell>
          <cell r="AH14">
            <v>26448123.233221982</v>
          </cell>
          <cell r="AI14">
            <v>28928888.32794825</v>
          </cell>
          <cell r="AJ14">
            <v>32837407.370488275</v>
          </cell>
          <cell r="AK14">
            <v>35254496.065582991</v>
          </cell>
        </row>
        <row r="15">
          <cell r="AG15">
            <v>31151020.557566226</v>
          </cell>
          <cell r="AH15">
            <v>32630647.483674619</v>
          </cell>
          <cell r="AI15">
            <v>35684161.727716342</v>
          </cell>
          <cell r="AJ15">
            <v>40751492.316459045</v>
          </cell>
          <cell r="AK15">
            <v>43790689.897759907</v>
          </cell>
        </row>
        <row r="16">
          <cell r="AG16">
            <v>36453639.190608263</v>
          </cell>
          <cell r="AH16">
            <v>38410822.948358044</v>
          </cell>
          <cell r="AI16">
            <v>41764954.294964202</v>
          </cell>
          <cell r="AJ16">
            <v>47818325.805122681</v>
          </cell>
          <cell r="AK16">
            <v>51683234.269877411</v>
          </cell>
        </row>
        <row r="17">
          <cell r="AG17">
            <v>42465440.974780656</v>
          </cell>
          <cell r="AH17">
            <v>44742831.761546552</v>
          </cell>
          <cell r="AI17">
            <v>48916151.738924891</v>
          </cell>
          <cell r="AJ17">
            <v>55686076.07167577</v>
          </cell>
          <cell r="AK17">
            <v>60571564.864255227</v>
          </cell>
        </row>
        <row r="18">
          <cell r="AG18">
            <v>49179701.31622114</v>
          </cell>
          <cell r="AH18">
            <v>51817222.610048272</v>
          </cell>
          <cell r="AI18">
            <v>56458075.732308745</v>
          </cell>
          <cell r="AJ18">
            <v>64349166.64368289</v>
          </cell>
          <cell r="AK18">
            <v>70235900.337911427</v>
          </cell>
        </row>
        <row r="19">
          <cell r="AG19">
            <v>56666535.625531413</v>
          </cell>
          <cell r="AH19">
            <v>59668390.930082001</v>
          </cell>
          <cell r="AI19">
            <v>64967036.023756243</v>
          </cell>
          <cell r="AJ19">
            <v>73998653.423111439</v>
          </cell>
          <cell r="AK19">
            <v>82639967.499674648</v>
          </cell>
        </row>
        <row r="20">
          <cell r="AG20">
            <v>64986840.694319591</v>
          </cell>
          <cell r="AH20">
            <v>68420416.153750032</v>
          </cell>
          <cell r="AI20">
            <v>74364944.843801066</v>
          </cell>
          <cell r="AJ20">
            <v>86699064.112237692</v>
          </cell>
          <cell r="AK20">
            <v>95589402.045637116</v>
          </cell>
        </row>
        <row r="21">
          <cell r="AG21">
            <v>74203265.69100754</v>
          </cell>
          <cell r="AH21">
            <v>78077529.682113931</v>
          </cell>
          <cell r="AI21">
            <v>85913635.15444082</v>
          </cell>
          <cell r="AJ21">
            <v>99163510.826596349</v>
          </cell>
          <cell r="AK21">
            <v>109539927.68550913</v>
          </cell>
        </row>
        <row r="22">
          <cell r="AG22">
            <v>84467522.217441171</v>
          </cell>
          <cell r="AH22">
            <v>89728041.401499495</v>
          </cell>
          <cell r="AI22">
            <v>98084243.705493495</v>
          </cell>
          <cell r="AJ22">
            <v>113141744.78679365</v>
          </cell>
          <cell r="AK22">
            <v>125222460.54331467</v>
          </cell>
        </row>
        <row r="23">
          <cell r="AG23">
            <v>96727936.689674124</v>
          </cell>
          <cell r="AH23">
            <v>101939423.91788338</v>
          </cell>
          <cell r="AI23">
            <v>111453669.93468972</v>
          </cell>
          <cell r="AJ23">
            <v>128381710.27498814</v>
          </cell>
          <cell r="AK23">
            <v>142449790.29158467</v>
          </cell>
        </row>
        <row r="24">
          <cell r="AG24">
            <v>109684724.4814869</v>
          </cell>
          <cell r="AH24">
            <v>114805345.07890165</v>
          </cell>
          <cell r="AI24">
            <v>125667190.45862414</v>
          </cell>
          <cell r="AJ24">
            <v>144016167.35406718</v>
          </cell>
          <cell r="AK24">
            <v>159821487.21291915</v>
          </cell>
        </row>
        <row r="25">
          <cell r="AG25">
            <v>123442529.68860401</v>
          </cell>
          <cell r="AH25">
            <v>129453402.12226216</v>
          </cell>
          <cell r="AI25">
            <v>142109700.98734465</v>
          </cell>
          <cell r="AJ25">
            <v>163065347.20019215</v>
          </cell>
          <cell r="AK25">
            <v>181431376.59331623</v>
          </cell>
        </row>
        <row r="26">
          <cell r="AG26">
            <v>138453660.77769092</v>
          </cell>
          <cell r="AH26">
            <v>145419938.22831884</v>
          </cell>
          <cell r="AI26">
            <v>159933142.26082367</v>
          </cell>
          <cell r="AJ26">
            <v>183690516.88040113</v>
          </cell>
          <cell r="AK26">
            <v>206705907.30039787</v>
          </cell>
        </row>
        <row r="27">
          <cell r="AG27">
            <v>154649479.67996988</v>
          </cell>
          <cell r="AH27">
            <v>162764754.86897093</v>
          </cell>
          <cell r="AI27">
            <v>178976288.00174227</v>
          </cell>
          <cell r="AJ27">
            <v>206315482.3897149</v>
          </cell>
          <cell r="AK27">
            <v>233712040.41328499</v>
          </cell>
        </row>
        <row r="28">
          <cell r="AG28">
            <v>172040907.7828567</v>
          </cell>
          <cell r="AH28">
            <v>181335917.66462195</v>
          </cell>
          <cell r="AI28">
            <v>199893565.63587463</v>
          </cell>
          <cell r="AJ28">
            <v>231870534.38425758</v>
          </cell>
          <cell r="AK28">
            <v>263819122.76147282</v>
          </cell>
        </row>
        <row r="29">
          <cell r="AG29">
            <v>190629625.97270858</v>
          </cell>
          <cell r="AH29">
            <v>201404729.16506517</v>
          </cell>
          <cell r="AI29">
            <v>223079054.77625948</v>
          </cell>
          <cell r="AJ29">
            <v>260017934.50322863</v>
          </cell>
          <cell r="AK29">
            <v>296310543.14383632</v>
          </cell>
        </row>
        <row r="30">
          <cell r="AG30">
            <v>210664924.82489792</v>
          </cell>
          <cell r="AH30">
            <v>223652402.72647133</v>
          </cell>
          <cell r="AI30">
            <v>248612756.08204439</v>
          </cell>
          <cell r="AJ30">
            <v>290261605.92744118</v>
          </cell>
          <cell r="AK30">
            <v>332071508.10812157</v>
          </cell>
        </row>
        <row r="31">
          <cell r="AG31">
            <v>232715508.45527214</v>
          </cell>
          <cell r="AH31">
            <v>248182823.64283451</v>
          </cell>
          <cell r="AI31">
            <v>276180165.02531189</v>
          </cell>
          <cell r="AJ31">
            <v>323359782.2445451</v>
          </cell>
          <cell r="AK31">
            <v>370843301.48219877</v>
          </cell>
        </row>
        <row r="32">
          <cell r="AG32">
            <v>256944908.83962515</v>
          </cell>
          <cell r="AH32">
            <v>276079781.39840943</v>
          </cell>
          <cell r="AI32">
            <v>308825057.26123029</v>
          </cell>
          <cell r="AJ32">
            <v>372219327.28337121</v>
          </cell>
          <cell r="AK32">
            <v>432797028.02260774</v>
          </cell>
        </row>
        <row r="33">
          <cell r="AG33">
            <v>287126751.70701844</v>
          </cell>
          <cell r="AH33">
            <v>311952924.34220088</v>
          </cell>
          <cell r="AI33">
            <v>355347745.63035607</v>
          </cell>
          <cell r="AJ33">
            <v>434669315.66889608</v>
          </cell>
          <cell r="AK33">
            <v>506591709.35069174</v>
          </cell>
        </row>
        <row r="34">
          <cell r="AG34">
            <v>320078241.92638183</v>
          </cell>
          <cell r="AH34">
            <v>351410992.81187439</v>
          </cell>
          <cell r="AI34">
            <v>407148932.40332216</v>
          </cell>
          <cell r="AJ34">
            <v>504996388.05090261</v>
          </cell>
          <cell r="AK34">
            <v>590976162.49532306</v>
          </cell>
        </row>
        <row r="35">
          <cell r="AG35">
            <v>361924316.79633939</v>
          </cell>
          <cell r="AH35">
            <v>401130779.39424026</v>
          </cell>
          <cell r="AI35">
            <v>472465638.77440202</v>
          </cell>
          <cell r="AJ35">
            <v>593984640.5002861</v>
          </cell>
          <cell r="AK35">
            <v>696581278.15107405</v>
          </cell>
        </row>
        <row r="36">
          <cell r="AG36">
            <v>407798406.69365495</v>
          </cell>
          <cell r="AH36">
            <v>456624395.76228291</v>
          </cell>
          <cell r="AI36">
            <v>546104832.83324707</v>
          </cell>
          <cell r="AJ36">
            <v>695838011.82391822</v>
          </cell>
          <cell r="AK36">
            <v>817947486.48193777</v>
          </cell>
        </row>
        <row r="37">
          <cell r="AG37">
            <v>458570320.02249181</v>
          </cell>
          <cell r="AH37">
            <v>517729544.36067653</v>
          </cell>
          <cell r="AI37">
            <v>629505303.11748636</v>
          </cell>
          <cell r="AJ37">
            <v>811803065.4955405</v>
          </cell>
          <cell r="AK37">
            <v>955511104.57158697</v>
          </cell>
        </row>
        <row r="38">
          <cell r="AG38">
            <v>514017531.68117023</v>
          </cell>
          <cell r="AH38">
            <v>586621307.11623406</v>
          </cell>
          <cell r="AI38">
            <v>723184735.15320265</v>
          </cell>
          <cell r="AJ38">
            <v>934697912.0516777</v>
          </cell>
          <cell r="AK38">
            <v>1092761372.8120778</v>
          </cell>
        </row>
        <row r="39">
          <cell r="AG39">
            <v>581331880.27849197</v>
          </cell>
          <cell r="AH39">
            <v>665064067.78296506</v>
          </cell>
          <cell r="AI39">
            <v>813737917.73898804</v>
          </cell>
          <cell r="AJ39">
            <v>1051821633.7899351</v>
          </cell>
          <cell r="AK39">
            <v>1229957637.8225248</v>
          </cell>
        </row>
        <row r="40">
          <cell r="AG40">
            <v>664619216.82824087</v>
          </cell>
          <cell r="AH40">
            <v>753489575.21342158</v>
          </cell>
          <cell r="AI40">
            <v>908249498.19717526</v>
          </cell>
          <cell r="AJ40">
            <v>1180387089.5550075</v>
          </cell>
          <cell r="AK40">
            <v>1379681933.7405086</v>
          </cell>
        </row>
        <row r="41">
          <cell r="AG41">
            <v>757465680.56535745</v>
          </cell>
          <cell r="AH41">
            <v>850745070.61828589</v>
          </cell>
          <cell r="AI41">
            <v>1011622369.0364876</v>
          </cell>
          <cell r="AJ41">
            <v>1319692732.5510101</v>
          </cell>
          <cell r="AK41">
            <v>1544060608.045182</v>
          </cell>
        </row>
        <row r="42">
          <cell r="AG42">
            <v>860402561.54088855</v>
          </cell>
          <cell r="AH42">
            <v>957986542.09368312</v>
          </cell>
          <cell r="AI42">
            <v>1123541594.8975487</v>
          </cell>
          <cell r="AJ42">
            <v>1472594426.6235423</v>
          </cell>
          <cell r="AK42">
            <v>1723203154.5390072</v>
          </cell>
        </row>
        <row r="43">
          <cell r="AG43">
            <v>974708670.98411059</v>
          </cell>
          <cell r="AH43">
            <v>1075529368.7207668</v>
          </cell>
          <cell r="AI43">
            <v>1245532484.8592107</v>
          </cell>
          <cell r="AJ43">
            <v>1638645173.1675432</v>
          </cell>
          <cell r="AK43">
            <v>1920114202.9928617</v>
          </cell>
        </row>
        <row r="44">
          <cell r="AG44">
            <v>1101581859.2905219</v>
          </cell>
          <cell r="AH44">
            <v>1196544376.5064692</v>
          </cell>
          <cell r="AI44">
            <v>1376444593.8159223</v>
          </cell>
          <cell r="AJ44">
            <v>1823595129.3783858</v>
          </cell>
          <cell r="AK44">
            <v>2138704685.3391955</v>
          </cell>
        </row>
        <row r="45">
          <cell r="AG45">
            <v>1193590451.3784349</v>
          </cell>
          <cell r="AH45">
            <v>1291591037.2480829</v>
          </cell>
          <cell r="AI45">
            <v>1491705170.2238402</v>
          </cell>
          <cell r="AJ45">
            <v>1995010029.1914561</v>
          </cell>
          <cell r="AK45">
            <v>2345077265.2192407</v>
          </cell>
        </row>
        <row r="46">
          <cell r="AG46">
            <v>1292710047.7866945</v>
          </cell>
          <cell r="AH46">
            <v>1393183188.5704806</v>
          </cell>
          <cell r="AI46">
            <v>1614837553.734889</v>
          </cell>
          <cell r="AJ46">
            <v>2181921569.4944596</v>
          </cell>
          <cell r="AK46">
            <v>2565416529.1900177</v>
          </cell>
        </row>
        <row r="47">
          <cell r="AG47">
            <v>1397748170.6406643</v>
          </cell>
          <cell r="AH47">
            <v>1506723886.6653292</v>
          </cell>
          <cell r="AI47">
            <v>1745346870.2929282</v>
          </cell>
          <cell r="AJ47">
            <v>2382906113.2474418</v>
          </cell>
          <cell r="AK47">
            <v>2807835478.553061</v>
          </cell>
        </row>
        <row r="48">
          <cell r="AG48">
            <v>1512204102.9085531</v>
          </cell>
          <cell r="AH48">
            <v>1629610941.1013088</v>
          </cell>
          <cell r="AI48">
            <v>1890091134.7789426</v>
          </cell>
          <cell r="AJ48">
            <v>2607590769.7033696</v>
          </cell>
          <cell r="AK48">
            <v>3063941437.5084724</v>
          </cell>
        </row>
        <row r="49">
          <cell r="AG49">
            <v>1633079838.5289683</v>
          </cell>
          <cell r="AH49">
            <v>1764822445.4651549</v>
          </cell>
          <cell r="AI49">
            <v>2052701078.8106735</v>
          </cell>
          <cell r="AJ49">
            <v>2846009463.947525</v>
          </cell>
          <cell r="AK49">
            <v>3337422657.1665578</v>
          </cell>
        </row>
        <row r="50">
          <cell r="AG50">
            <v>1763440770.7236307</v>
          </cell>
          <cell r="AH50">
            <v>1909606293.785531</v>
          </cell>
          <cell r="AI50">
            <v>2233479511.4961715</v>
          </cell>
          <cell r="AJ50">
            <v>3091008509.8563137</v>
          </cell>
          <cell r="AK50">
            <v>3628014496.4232779</v>
          </cell>
        </row>
        <row r="51">
          <cell r="AG51">
            <v>1902971936.2398295</v>
          </cell>
          <cell r="AH51">
            <v>2064653733.7981298</v>
          </cell>
          <cell r="AI51">
            <v>2419900258.0263681</v>
          </cell>
          <cell r="AJ51">
            <v>3353594683.6304159</v>
          </cell>
          <cell r="AK51">
            <v>3939181257.0542984</v>
          </cell>
        </row>
        <row r="52">
          <cell r="AG52">
            <v>2053363513.7730107</v>
          </cell>
          <cell r="AH52">
            <v>2227145430.0209646</v>
          </cell>
          <cell r="AI52">
            <v>2617600592.8350949</v>
          </cell>
          <cell r="AJ52">
            <v>3630961849.3202486</v>
          </cell>
          <cell r="AK52">
            <v>4273041913.9387283</v>
          </cell>
        </row>
        <row r="53">
          <cell r="AG53">
            <v>2213304200.3861604</v>
          </cell>
          <cell r="AH53">
            <v>2395333154.0812011</v>
          </cell>
          <cell r="AI53">
            <v>2826831508.3380871</v>
          </cell>
          <cell r="AJ53">
            <v>4029336627.255003</v>
          </cell>
          <cell r="AK53">
            <v>4627481220.6418972</v>
          </cell>
        </row>
        <row r="54">
          <cell r="AG54">
            <v>2385254979.9614973</v>
          </cell>
          <cell r="AH54">
            <v>2592986548.0319638</v>
          </cell>
          <cell r="AI54">
            <v>3203364976.8110828</v>
          </cell>
          <cell r="AJ54">
            <v>4356564249.16469</v>
          </cell>
          <cell r="AK54">
            <v>5006607013.3690357</v>
          </cell>
        </row>
        <row r="55">
          <cell r="AG55">
            <v>2641605137.2994528</v>
          </cell>
          <cell r="AH55">
            <v>2869211793.8531132</v>
          </cell>
          <cell r="AI55">
            <v>3738376634.130969</v>
          </cell>
          <cell r="AJ55">
            <v>4847369722.4872112</v>
          </cell>
          <cell r="AK55">
            <v>5608178205.6564302</v>
          </cell>
        </row>
        <row r="56">
          <cell r="AG56">
            <v>2917647584.3490534</v>
          </cell>
          <cell r="AH56">
            <v>3176048162.6185212</v>
          </cell>
          <cell r="AI56">
            <v>4334911595.8906708</v>
          </cell>
          <cell r="AJ56">
            <v>5383827539.3973484</v>
          </cell>
          <cell r="AK56">
            <v>6267555456.4425955</v>
          </cell>
        </row>
        <row r="57">
          <cell r="AG57">
            <v>3217539924.6806703</v>
          </cell>
          <cell r="AH57">
            <v>3510218111.9629884</v>
          </cell>
          <cell r="AI57">
            <v>4999508537.8014832</v>
          </cell>
          <cell r="AJ57">
            <v>5977484689.1580563</v>
          </cell>
          <cell r="AK57">
            <v>6980205911.1943398</v>
          </cell>
        </row>
        <row r="58">
          <cell r="AG58">
            <v>3549926457.1358266</v>
          </cell>
          <cell r="AH58">
            <v>3889848368.4100971</v>
          </cell>
          <cell r="AI58">
            <v>5421852289.4915237</v>
          </cell>
          <cell r="AJ58">
            <v>6673613874.7685232</v>
          </cell>
          <cell r="AK58">
            <v>7748313162.2584362</v>
          </cell>
        </row>
        <row r="59">
          <cell r="AG59">
            <v>3922921052.1328754</v>
          </cell>
          <cell r="AH59">
            <v>4305646401.7289286</v>
          </cell>
          <cell r="AI59">
            <v>5798636521.7209368</v>
          </cell>
          <cell r="AJ59">
            <v>7431345325.2648325</v>
          </cell>
          <cell r="AK59">
            <v>8587834641.723217</v>
          </cell>
        </row>
        <row r="60">
          <cell r="AG60">
            <v>4334926354.0597057</v>
          </cell>
          <cell r="AH60">
            <v>4754392577.0479374</v>
          </cell>
          <cell r="AI60">
            <v>6196581268.5735912</v>
          </cell>
          <cell r="AJ60">
            <v>8255455077.7959423</v>
          </cell>
          <cell r="AK60">
            <v>9493956694.9909573</v>
          </cell>
        </row>
        <row r="61">
          <cell r="AG61">
            <v>4813924434.3790112</v>
          </cell>
          <cell r="AH61">
            <v>5241547427.1463375</v>
          </cell>
          <cell r="AI61">
            <v>6619582250.6241302</v>
          </cell>
          <cell r="AJ61">
            <v>9150754413.5567417</v>
          </cell>
          <cell r="AK61">
            <v>10485086494.925455</v>
          </cell>
        </row>
        <row r="62">
          <cell r="AG62">
            <v>5305821990.0653067</v>
          </cell>
          <cell r="AH62">
            <v>5764008661.0696259</v>
          </cell>
          <cell r="AI62">
            <v>7070906212.9339371</v>
          </cell>
          <cell r="AJ62">
            <v>10133705845.734921</v>
          </cell>
          <cell r="AK62">
            <v>12183336256.73707</v>
          </cell>
        </row>
        <row r="63">
          <cell r="AG63">
            <v>5835461871.3500729</v>
          </cell>
          <cell r="AH63">
            <v>6328292374.1902943</v>
          </cell>
          <cell r="AI63">
            <v>7552664372.3487139</v>
          </cell>
          <cell r="AJ63">
            <v>11221423618.598778</v>
          </cell>
          <cell r="AK63">
            <v>13451807672.723717</v>
          </cell>
        </row>
        <row r="64">
          <cell r="AG64">
            <v>6508695985.1779127</v>
          </cell>
          <cell r="AH64">
            <v>7206774116.8606443</v>
          </cell>
          <cell r="AI64">
            <v>8736104146.1597176</v>
          </cell>
          <cell r="AJ64">
            <v>13214567651.296272</v>
          </cell>
          <cell r="AK64">
            <v>16096526716.150995</v>
          </cell>
        </row>
        <row r="65">
          <cell r="AG65">
            <v>7391850929.4847794</v>
          </cell>
          <cell r="AH65">
            <v>8369589275.1308775</v>
          </cell>
          <cell r="AI65">
            <v>10179325692.885357</v>
          </cell>
          <cell r="AJ65">
            <v>15318515088.829157</v>
          </cell>
          <cell r="AK65">
            <v>18471428311.649757</v>
          </cell>
        </row>
        <row r="66">
          <cell r="AG66">
            <v>8384578435.9088335</v>
          </cell>
          <cell r="AH66">
            <v>9670300872.3542519</v>
          </cell>
          <cell r="AI66">
            <v>11823932373.55221</v>
          </cell>
          <cell r="AJ66">
            <v>17702891953.334595</v>
          </cell>
          <cell r="AK66">
            <v>21150234429.026878</v>
          </cell>
        </row>
        <row r="67">
          <cell r="AG67">
            <v>9489011318.2161694</v>
          </cell>
          <cell r="AH67">
            <v>11141336145.040499</v>
          </cell>
          <cell r="AI67">
            <v>13685966112.782356</v>
          </cell>
          <cell r="AJ67">
            <v>20408089774.191032</v>
          </cell>
          <cell r="AK67">
            <v>24149422939.772392</v>
          </cell>
        </row>
        <row r="68">
          <cell r="AG68">
            <v>10724390360.208311</v>
          </cell>
          <cell r="AH68">
            <v>12793858313.376423</v>
          </cell>
          <cell r="AI68">
            <v>15808779540.807598</v>
          </cell>
          <cell r="AJ68">
            <v>23460434050.364166</v>
          </cell>
          <cell r="AK68">
            <v>27497481038.275833</v>
          </cell>
        </row>
        <row r="69">
          <cell r="AG69">
            <v>12101331155.747486</v>
          </cell>
          <cell r="AH69">
            <v>14675641070.628992</v>
          </cell>
          <cell r="AI69">
            <v>18246950629.53587</v>
          </cell>
          <cell r="AJ69">
            <v>26824864133.181885</v>
          </cell>
          <cell r="AK69">
            <v>31137922672.49371</v>
          </cell>
        </row>
        <row r="70">
          <cell r="AG70">
            <v>13474850521.821865</v>
          </cell>
          <cell r="AH70">
            <v>16654415610.08213</v>
          </cell>
          <cell r="AI70">
            <v>20928699318.303925</v>
          </cell>
          <cell r="AJ70">
            <v>30436658800.681087</v>
          </cell>
          <cell r="AK70">
            <v>35222826138.027939</v>
          </cell>
        </row>
        <row r="71">
          <cell r="AG71">
            <v>14968338740.577572</v>
          </cell>
          <cell r="AH71">
            <v>18853703454.121723</v>
          </cell>
          <cell r="AI71">
            <v>23893987763.423077</v>
          </cell>
          <cell r="AJ71">
            <v>34523807726.983185</v>
          </cell>
          <cell r="AK71">
            <v>39871082479.878822</v>
          </cell>
        </row>
        <row r="72">
          <cell r="AG72">
            <v>16586653025.174246</v>
          </cell>
          <cell r="AH72">
            <v>21291003105.513737</v>
          </cell>
          <cell r="AI72">
            <v>27194569297.700264</v>
          </cell>
          <cell r="AJ72">
            <v>39280574495.289009</v>
          </cell>
          <cell r="AK72">
            <v>45185439367.965607</v>
          </cell>
        </row>
        <row r="73">
          <cell r="AG73">
            <v>18353655452.941555</v>
          </cell>
          <cell r="AH73">
            <v>23988842375.644577</v>
          </cell>
          <cell r="AI73">
            <v>31012727747.842892</v>
          </cell>
          <cell r="AJ73">
            <v>44540343045.448326</v>
          </cell>
          <cell r="AK73">
            <v>51149676369.6446</v>
          </cell>
        </row>
        <row r="74">
          <cell r="AG74">
            <v>20360592271.786015</v>
          </cell>
          <cell r="AH74">
            <v>27111184289.754066</v>
          </cell>
          <cell r="AI74">
            <v>35073570161.343765</v>
          </cell>
          <cell r="AJ74">
            <v>50181061231.840698</v>
          </cell>
          <cell r="AK74">
            <v>57897117662.137886</v>
          </cell>
        </row>
        <row r="75">
          <cell r="AG75">
            <v>22698294653.383926</v>
          </cell>
          <cell r="AH75">
            <v>30171728659.957603</v>
          </cell>
          <cell r="AI75">
            <v>38760811542.69928</v>
          </cell>
          <cell r="AJ75">
            <v>55822192465.229462</v>
          </cell>
          <cell r="AK75">
            <v>64740773085.912529</v>
          </cell>
        </row>
        <row r="76">
          <cell r="AG76">
            <v>25364576299.702545</v>
          </cell>
          <cell r="AH76">
            <v>33573685449.367161</v>
          </cell>
          <cell r="AI76">
            <v>42786708272.555428</v>
          </cell>
          <cell r="AJ76">
            <v>62133187128.046288</v>
          </cell>
          <cell r="AK76">
            <v>72587430619.734238</v>
          </cell>
        </row>
        <row r="77">
          <cell r="AG77">
            <v>28397241935.473801</v>
          </cell>
          <cell r="AH77">
            <v>37274021677.555321</v>
          </cell>
          <cell r="AI77">
            <v>47389050569.484093</v>
          </cell>
          <cell r="AJ77">
            <v>70292409067.968018</v>
          </cell>
          <cell r="AK77">
            <v>82069758480.893921</v>
          </cell>
        </row>
        <row r="78">
          <cell r="AG78">
            <v>31800857962.886215</v>
          </cell>
          <cell r="AH78">
            <v>41382353132.654297</v>
          </cell>
          <cell r="AI78">
            <v>52574453981.890709</v>
          </cell>
          <cell r="AJ78">
            <v>79520757194.368164</v>
          </cell>
          <cell r="AK78">
            <v>93413450198.222351</v>
          </cell>
        </row>
        <row r="79">
          <cell r="AG79">
            <v>35613635927.629929</v>
          </cell>
          <cell r="AH79">
            <v>46194845829.59726</v>
          </cell>
          <cell r="AI79">
            <v>58447937505.896614</v>
          </cell>
          <cell r="AJ79">
            <v>89779104870.482178</v>
          </cell>
          <cell r="AK79">
            <v>106122152076.24008</v>
          </cell>
        </row>
        <row r="80">
          <cell r="AG80">
            <v>39990182262.943001</v>
          </cell>
          <cell r="AH80">
            <v>51655737691.741989</v>
          </cell>
          <cell r="AI80">
            <v>65484151912.422989</v>
          </cell>
          <cell r="AJ80">
            <v>101393042222.97792</v>
          </cell>
          <cell r="AK80">
            <v>121473587359.26315</v>
          </cell>
        </row>
        <row r="81">
          <cell r="AG81">
            <v>44895204402.483551</v>
          </cell>
          <cell r="AH81">
            <v>57709306613.500023</v>
          </cell>
          <cell r="AI81">
            <v>73439989496.864807</v>
          </cell>
          <cell r="AJ81">
            <v>114068834671.47926</v>
          </cell>
          <cell r="AK81">
            <v>138479681233.62634</v>
          </cell>
        </row>
        <row r="82">
          <cell r="AG82">
            <v>49492133362.208618</v>
          </cell>
          <cell r="AH82">
            <v>63627413671.030533</v>
          </cell>
          <cell r="AI82">
            <v>81860016923.874634</v>
          </cell>
          <cell r="AJ82">
            <v>128320415226.28574</v>
          </cell>
          <cell r="AK82">
            <v>156429439006.63397</v>
          </cell>
        </row>
        <row r="83">
          <cell r="AG83">
            <v>54339876200.778641</v>
          </cell>
          <cell r="AH83">
            <v>70507955954.150589</v>
          </cell>
          <cell r="AI83">
            <v>90958154963.289703</v>
          </cell>
          <cell r="AJ83">
            <v>143758456302.67657</v>
          </cell>
          <cell r="AK83">
            <v>176491416010.38922</v>
          </cell>
        </row>
        <row r="84">
          <cell r="AG84">
            <v>59607965183.437691</v>
          </cell>
          <cell r="AH84">
            <v>78395023291.793961</v>
          </cell>
          <cell r="AI84">
            <v>100786160877.49542</v>
          </cell>
          <cell r="AJ84">
            <v>160374132607.56708</v>
          </cell>
          <cell r="AK84">
            <v>199342169679.25534</v>
          </cell>
        </row>
        <row r="85">
          <cell r="AG85">
            <v>65045017441.566452</v>
          </cell>
          <cell r="AH85">
            <v>88163935799.993408</v>
          </cell>
          <cell r="AI85">
            <v>111224080815.14078</v>
          </cell>
          <cell r="AJ85">
            <v>183588217817.83603</v>
          </cell>
          <cell r="AK85">
            <v>229053032466.19424</v>
          </cell>
        </row>
        <row r="86">
          <cell r="AG86">
            <v>71586857519.414063</v>
          </cell>
          <cell r="AH86">
            <v>98076643467.814011</v>
          </cell>
          <cell r="AI86">
            <v>122625006101.48245</v>
          </cell>
          <cell r="AJ86">
            <v>209609889692.16864</v>
          </cell>
          <cell r="AK86">
            <v>261617239121.28934</v>
          </cell>
        </row>
        <row r="87">
          <cell r="AG87">
            <v>78522975525.916519</v>
          </cell>
          <cell r="AH87">
            <v>108197714169.19249</v>
          </cell>
          <cell r="AI87">
            <v>135711207430.41507</v>
          </cell>
          <cell r="AJ87">
            <v>236656950109.87244</v>
          </cell>
          <cell r="AK87">
            <v>292023550664.44153</v>
          </cell>
        </row>
        <row r="88">
          <cell r="AG88">
            <v>85925145476.963181</v>
          </cell>
          <cell r="AH88">
            <v>119223659183.09544</v>
          </cell>
          <cell r="AI88">
            <v>150162029756.05316</v>
          </cell>
          <cell r="AJ88">
            <v>265813854363.54535</v>
          </cell>
          <cell r="AK88">
            <v>325448691107.46094</v>
          </cell>
        </row>
        <row r="89">
          <cell r="AG89">
            <v>94110703884.920456</v>
          </cell>
          <cell r="AH89">
            <v>131418095771.78839</v>
          </cell>
          <cell r="AI89">
            <v>166316807405.70306</v>
          </cell>
          <cell r="AJ89">
            <v>294800316332.12579</v>
          </cell>
          <cell r="AK89">
            <v>361233608445.54053</v>
          </cell>
        </row>
        <row r="90">
          <cell r="AG90">
            <v>104009629710.60443</v>
          </cell>
          <cell r="AH90">
            <v>145553358704.03165</v>
          </cell>
          <cell r="AI90">
            <v>184214497526.22086</v>
          </cell>
          <cell r="AJ90">
            <v>326554859291.86182</v>
          </cell>
          <cell r="AK90">
            <v>394510993157.88202</v>
          </cell>
        </row>
        <row r="91">
          <cell r="AG91">
            <v>115137104730.56351</v>
          </cell>
          <cell r="AH91">
            <v>160141048680.10474</v>
          </cell>
          <cell r="AI91">
            <v>205149067642.96286</v>
          </cell>
          <cell r="AJ91">
            <v>360294559679.09167</v>
          </cell>
          <cell r="AK91">
            <v>431299824311.60376</v>
          </cell>
        </row>
        <row r="92">
          <cell r="AG92">
            <v>124955805220.13235</v>
          </cell>
          <cell r="AH92">
            <v>175026146725.98737</v>
          </cell>
          <cell r="AI92">
            <v>228643904734.55356</v>
          </cell>
          <cell r="AJ92">
            <v>396592155439.34363</v>
          </cell>
          <cell r="AK92">
            <v>469243075497.3902</v>
          </cell>
        </row>
        <row r="93">
          <cell r="AG93">
            <v>135097901953.26111</v>
          </cell>
          <cell r="AH93">
            <v>191152071492.28867</v>
          </cell>
          <cell r="AI93">
            <v>254189516803.03326</v>
          </cell>
          <cell r="AJ93">
            <v>435897590911.16315</v>
          </cell>
          <cell r="AK93">
            <v>508734311222.37238</v>
          </cell>
        </row>
        <row r="94">
          <cell r="AG94">
            <v>146112839800.45807</v>
          </cell>
          <cell r="AH94">
            <v>208540943781.5632</v>
          </cell>
          <cell r="AI94">
            <v>284508863894.91815</v>
          </cell>
          <cell r="AJ94">
            <v>476580307109.85107</v>
          </cell>
          <cell r="AK94">
            <v>551963456355.75464</v>
          </cell>
        </row>
        <row r="95">
          <cell r="AG95">
            <v>159031406627.43646</v>
          </cell>
          <cell r="AH95">
            <v>231048333884.86789</v>
          </cell>
          <cell r="AI95">
            <v>318142737480.85168</v>
          </cell>
          <cell r="AJ95">
            <v>510341429255.61261</v>
          </cell>
          <cell r="AK95">
            <v>587453934321.95386</v>
          </cell>
        </row>
        <row r="96">
          <cell r="AG96">
            <v>174279614590.69678</v>
          </cell>
          <cell r="AH96">
            <v>254222862300.49939</v>
          </cell>
          <cell r="AI96">
            <v>354564986977.80682</v>
          </cell>
          <cell r="AJ96">
            <v>547995858656.39148</v>
          </cell>
          <cell r="AK96">
            <v>625144491704.68396</v>
          </cell>
        </row>
        <row r="97">
          <cell r="AG97">
            <v>189987534455.57629</v>
          </cell>
          <cell r="AH97">
            <v>279107921043.02979</v>
          </cell>
          <cell r="AI97">
            <v>395685525674.03876</v>
          </cell>
          <cell r="AJ97">
            <v>590442334448.4895</v>
          </cell>
          <cell r="AK97">
            <v>664627807134.53796</v>
          </cell>
        </row>
        <row r="98">
          <cell r="AG98">
            <v>206732269068.37305</v>
          </cell>
          <cell r="AH98">
            <v>308628511533.63617</v>
          </cell>
          <cell r="AI98">
            <v>441234903241.38806</v>
          </cell>
          <cell r="AJ98">
            <v>635961823232.31641</v>
          </cell>
          <cell r="AK98">
            <v>705944313011.30298</v>
          </cell>
        </row>
        <row r="99">
          <cell r="AG99">
            <v>225365571741.57758</v>
          </cell>
          <cell r="AH99">
            <v>342635732027.87958</v>
          </cell>
          <cell r="AI99">
            <v>487226910867.29474</v>
          </cell>
          <cell r="AJ99">
            <v>677335434186.82092</v>
          </cell>
          <cell r="AK99">
            <v>739661521215.79077</v>
          </cell>
        </row>
        <row r="100">
          <cell r="AG100">
            <v>246640454303.17395</v>
          </cell>
          <cell r="AH100">
            <v>385679422765.22327</v>
          </cell>
          <cell r="AI100">
            <v>534759767617.80957</v>
          </cell>
          <cell r="AJ100">
            <v>717224046225.06494</v>
          </cell>
          <cell r="AK100">
            <v>774057144083.91443</v>
          </cell>
        </row>
        <row r="101">
          <cell r="AG101">
            <v>273594557392.53073</v>
          </cell>
          <cell r="AH101">
            <v>425327944114.79474</v>
          </cell>
          <cell r="AI101">
            <v>584007671671.94446</v>
          </cell>
          <cell r="AJ101">
            <v>759220903317.47351</v>
          </cell>
          <cell r="AK101">
            <v>811365979796.15198</v>
          </cell>
        </row>
        <row r="102">
          <cell r="AG102">
            <v>302153285928.0069</v>
          </cell>
          <cell r="AH102">
            <v>460397696550.62988</v>
          </cell>
          <cell r="AI102">
            <v>635702198311.59033</v>
          </cell>
          <cell r="AJ102">
            <v>801824896737.74243</v>
          </cell>
          <cell r="AK102">
            <v>850506320654.67883</v>
          </cell>
        </row>
        <row r="103">
          <cell r="AG103">
            <v>331720481882.43286</v>
          </cell>
          <cell r="AH103">
            <v>493862021720.138</v>
          </cell>
          <cell r="AI103">
            <v>691232703766.42358</v>
          </cell>
          <cell r="AJ103">
            <v>846408150973.69177</v>
          </cell>
          <cell r="AK103">
            <v>890089915599.05627</v>
          </cell>
        </row>
        <row r="104">
          <cell r="AG104">
            <v>363598521788.35632</v>
          </cell>
          <cell r="AH104">
            <v>528597466296.71753</v>
          </cell>
          <cell r="AI104">
            <v>750716048588.05505</v>
          </cell>
          <cell r="AJ104">
            <v>892327530094.97583</v>
          </cell>
          <cell r="AK104">
            <v>931355090643.91504</v>
          </cell>
        </row>
        <row r="105">
          <cell r="AG105">
            <v>403487005965.05414</v>
          </cell>
          <cell r="AH105">
            <v>574887557119.16296</v>
          </cell>
          <cell r="AI105">
            <v>791497337168.08875</v>
          </cell>
          <cell r="AJ105">
            <v>929652292576.28442</v>
          </cell>
          <cell r="AK105">
            <v>971103368643.05884</v>
          </cell>
        </row>
        <row r="106">
          <cell r="AG106">
            <v>441665734666.24799</v>
          </cell>
          <cell r="AH106">
            <v>624355430754.00269</v>
          </cell>
          <cell r="AI106">
            <v>833414974239.08533</v>
          </cell>
          <cell r="AJ106">
            <v>968747187496.71985</v>
          </cell>
          <cell r="AK106">
            <v>1012656584856.9513</v>
          </cell>
        </row>
        <row r="107">
          <cell r="AG107">
            <v>482968742097.28247</v>
          </cell>
          <cell r="AH107">
            <v>677497212884.50073</v>
          </cell>
          <cell r="AI107">
            <v>878496470425.10791</v>
          </cell>
          <cell r="AJ107">
            <v>1010395047200.0048</v>
          </cell>
          <cell r="AK107">
            <v>1058121946949.4633</v>
          </cell>
        </row>
        <row r="108">
          <cell r="AG108">
            <v>527478369342.06561</v>
          </cell>
          <cell r="AH108">
            <v>731487701331.60535</v>
          </cell>
          <cell r="AI108">
            <v>927007884138.4856</v>
          </cell>
          <cell r="AJ108">
            <v>1055663372705.1696</v>
          </cell>
          <cell r="AK108">
            <v>1108725575358.7781</v>
          </cell>
        </row>
        <row r="109">
          <cell r="AG109">
            <v>571135012966.0813</v>
          </cell>
          <cell r="AH109">
            <v>788375039359.92529</v>
          </cell>
          <cell r="AI109">
            <v>978700796043.14087</v>
          </cell>
          <cell r="AJ109">
            <v>1102225892580.7388</v>
          </cell>
          <cell r="AK109">
            <v>1162836932017.8679</v>
          </cell>
        </row>
        <row r="110">
          <cell r="AG110">
            <v>618909102337.67041</v>
          </cell>
          <cell r="AH110">
            <v>842856606109.61694</v>
          </cell>
          <cell r="AI110">
            <v>1031812348907.5646</v>
          </cell>
          <cell r="AJ110">
            <v>1151408784434.0227</v>
          </cell>
          <cell r="AK110">
            <v>1211593549003.3127</v>
          </cell>
        </row>
        <row r="111">
          <cell r="AG111">
            <v>670694002844.2428</v>
          </cell>
          <cell r="AH111">
            <v>900174873911.79407</v>
          </cell>
          <cell r="AI111">
            <v>1082970748630.0997</v>
          </cell>
          <cell r="AJ111">
            <v>1198931313771.7356</v>
          </cell>
          <cell r="AK111">
            <v>1260486850415.5535</v>
          </cell>
        </row>
        <row r="112">
          <cell r="AG112">
            <v>725665912342.41711</v>
          </cell>
          <cell r="AH112">
            <v>961190087541.82068</v>
          </cell>
          <cell r="AI112">
            <v>1133300896987.4866</v>
          </cell>
          <cell r="AJ112">
            <v>1243051194025.6069</v>
          </cell>
          <cell r="AK112">
            <v>1310493197872.3218</v>
          </cell>
        </row>
        <row r="113">
          <cell r="AG113">
            <v>784918813762.08582</v>
          </cell>
          <cell r="AH113">
            <v>1024607647824.2323</v>
          </cell>
          <cell r="AI113">
            <v>1186804779083.9014</v>
          </cell>
          <cell r="AJ113">
            <v>1288498107943.0435</v>
          </cell>
          <cell r="AK113">
            <v>1363185992785.4236</v>
          </cell>
        </row>
        <row r="114">
          <cell r="AG114">
            <v>847530633804.40308</v>
          </cell>
          <cell r="AH114">
            <v>1092320147418.2588</v>
          </cell>
          <cell r="AI114">
            <v>1243156328121.2751</v>
          </cell>
          <cell r="AJ114">
            <v>1336871368335.4951</v>
          </cell>
          <cell r="AK114">
            <v>1422549830280.9419</v>
          </cell>
        </row>
        <row r="115">
          <cell r="AG115">
            <v>897546179632.33765</v>
          </cell>
          <cell r="AH115">
            <v>1140864178642.8667</v>
          </cell>
          <cell r="AI115">
            <v>1293837760847.0117</v>
          </cell>
          <cell r="AJ115">
            <v>1392054344566.7026</v>
          </cell>
          <cell r="AK115">
            <v>1486640026021.3948</v>
          </cell>
        </row>
        <row r="116">
          <cell r="AG116">
            <v>949774974992.11731</v>
          </cell>
          <cell r="AH116">
            <v>1191496010780.2822</v>
          </cell>
          <cell r="AI116">
            <v>1349519734869.1399</v>
          </cell>
          <cell r="AJ116">
            <v>1450900183404.5996</v>
          </cell>
          <cell r="AK116">
            <v>1551697480084.5593</v>
          </cell>
        </row>
        <row r="117">
          <cell r="AG117">
            <v>1005094233216.4467</v>
          </cell>
          <cell r="AH117">
            <v>1247473275162.395</v>
          </cell>
          <cell r="AI117">
            <v>1409426811072.6123</v>
          </cell>
          <cell r="AJ117">
            <v>1511205237045.6184</v>
          </cell>
          <cell r="AK117">
            <v>1619734611607.4651</v>
          </cell>
        </row>
        <row r="118">
          <cell r="AG118">
            <v>1066353545141.9127</v>
          </cell>
          <cell r="AH118">
            <v>1307674247954.8694</v>
          </cell>
          <cell r="AI118">
            <v>1470553341979.9939</v>
          </cell>
          <cell r="AJ118">
            <v>1573685904999.3037</v>
          </cell>
          <cell r="AK118">
            <v>1690855882779.8296</v>
          </cell>
        </row>
        <row r="119">
          <cell r="AG119">
            <v>1131106575739.9167</v>
          </cell>
          <cell r="AH119">
            <v>1369015196841.1531</v>
          </cell>
          <cell r="AI119">
            <v>1533440006105.1448</v>
          </cell>
          <cell r="AJ119">
            <v>1639661592767.9021</v>
          </cell>
          <cell r="AK119">
            <v>1765639846338.5981</v>
          </cell>
        </row>
        <row r="120">
          <cell r="AG120">
            <v>1193819055224.481</v>
          </cell>
          <cell r="AH120">
            <v>1433642423454.9253</v>
          </cell>
          <cell r="AI120">
            <v>1601771178249.6707</v>
          </cell>
          <cell r="AJ120">
            <v>1712172749385.4973</v>
          </cell>
          <cell r="AK120">
            <v>1845317871530.7688</v>
          </cell>
        </row>
        <row r="121">
          <cell r="AG121">
            <v>1258415954242.4292</v>
          </cell>
          <cell r="AH121">
            <v>1500194967430.5098</v>
          </cell>
          <cell r="AI121">
            <v>1668222383868.584</v>
          </cell>
          <cell r="AJ121">
            <v>1783890111995.3459</v>
          </cell>
          <cell r="AK121">
            <v>1925371018465.613</v>
          </cell>
        </row>
        <row r="122">
          <cell r="AG122">
            <v>1325916567728.4587</v>
          </cell>
          <cell r="AH122">
            <v>1568330033738.3384</v>
          </cell>
          <cell r="AI122">
            <v>1737683913551.1958</v>
          </cell>
          <cell r="AJ122">
            <v>1858098818465.1021</v>
          </cell>
          <cell r="AK122">
            <v>2007420940470.7468</v>
          </cell>
        </row>
        <row r="123">
          <cell r="AG123">
            <v>1396588011216.2146</v>
          </cell>
          <cell r="AH123">
            <v>1639741877069.5564</v>
          </cell>
          <cell r="AI123">
            <v>1809163173311.9531</v>
          </cell>
          <cell r="AJ123">
            <v>1935562476496.8049</v>
          </cell>
          <cell r="AK123">
            <v>2091192541664.8611</v>
          </cell>
        </row>
        <row r="124">
          <cell r="AG124">
            <v>1470777018425.2395</v>
          </cell>
          <cell r="AH124">
            <v>1713776572287.8315</v>
          </cell>
          <cell r="AI124">
            <v>1883462344907.3296</v>
          </cell>
          <cell r="AJ124">
            <v>2014093109506.8936</v>
          </cell>
          <cell r="AK124">
            <v>2178951439610.7131</v>
          </cell>
        </row>
        <row r="125">
          <cell r="AG125">
            <v>1536276343154.4417</v>
          </cell>
          <cell r="AH125">
            <v>1785898707185.4763</v>
          </cell>
          <cell r="AI125">
            <v>1957330167557.5088</v>
          </cell>
          <cell r="AJ125">
            <v>2097004187711.1252</v>
          </cell>
          <cell r="AK125">
            <v>2272417600623.0981</v>
          </cell>
        </row>
        <row r="126">
          <cell r="AG126">
            <v>1604465335270.553</v>
          </cell>
          <cell r="AH126">
            <v>1859829217265.575</v>
          </cell>
          <cell r="AI126">
            <v>2035372874993.7278</v>
          </cell>
          <cell r="AJ126">
            <v>2182680692537.8115</v>
          </cell>
          <cell r="AK126">
            <v>2369377516167.2012</v>
          </cell>
        </row>
        <row r="127">
          <cell r="AG127">
            <v>1672680068688.1528</v>
          </cell>
          <cell r="AH127">
            <v>1938342206522.4319</v>
          </cell>
          <cell r="AI127">
            <v>2116140833122.0569</v>
          </cell>
          <cell r="AJ127">
            <v>2273254658813.1479</v>
          </cell>
          <cell r="AK127">
            <v>2468602593047.0557</v>
          </cell>
        </row>
        <row r="128">
          <cell r="AG128">
            <v>1743207277232.0364</v>
          </cell>
          <cell r="AH128">
            <v>2019530173232.9194</v>
          </cell>
          <cell r="AI128">
            <v>2199958762853.9131</v>
          </cell>
          <cell r="AJ128">
            <v>2363152620169.3975</v>
          </cell>
          <cell r="AK128">
            <v>2571064410137.0996</v>
          </cell>
        </row>
        <row r="129">
          <cell r="AG129">
            <v>1815882865210.5366</v>
          </cell>
          <cell r="AH129">
            <v>2102732112003.4631</v>
          </cell>
          <cell r="AI129">
            <v>2283073977228.1523</v>
          </cell>
          <cell r="AJ129">
            <v>2456128876473.5986</v>
          </cell>
          <cell r="AK129">
            <v>2681004695923.8184</v>
          </cell>
        </row>
        <row r="130">
          <cell r="AG130">
            <v>1891453914246.0256</v>
          </cell>
          <cell r="AH130">
            <v>2185114084105.2937</v>
          </cell>
          <cell r="AI130">
            <v>2368224292873.1411</v>
          </cell>
          <cell r="AJ130">
            <v>2555731523131.2393</v>
          </cell>
          <cell r="AK130">
            <v>2796903116753.8657</v>
          </cell>
        </row>
        <row r="131">
          <cell r="AG131">
            <v>1969087910357.4995</v>
          </cell>
          <cell r="AH131">
            <v>2271283518284.8604</v>
          </cell>
          <cell r="AI131">
            <v>2460373828808.9224</v>
          </cell>
          <cell r="AJ131">
            <v>2660635175102.5825</v>
          </cell>
          <cell r="AK131">
            <v>2917358460777.0991</v>
          </cell>
        </row>
        <row r="132">
          <cell r="AG132">
            <v>2050818068180.4458</v>
          </cell>
          <cell r="AH132">
            <v>2357498349045.853</v>
          </cell>
          <cell r="AI132">
            <v>2557764832146.812</v>
          </cell>
          <cell r="AJ132">
            <v>2769798598946.8325</v>
          </cell>
          <cell r="AK132">
            <v>3043541752224.6372</v>
          </cell>
        </row>
        <row r="133">
          <cell r="AG133">
            <v>2134868250031.8765</v>
          </cell>
          <cell r="AH133">
            <v>2448635484555.5547</v>
          </cell>
          <cell r="AI133">
            <v>2660447270496.9834</v>
          </cell>
          <cell r="AJ133">
            <v>2885711745571.2329</v>
          </cell>
          <cell r="AK133">
            <v>3176838933067.9556</v>
          </cell>
        </row>
        <row r="134">
          <cell r="AG134">
            <v>2223224405708.6919</v>
          </cell>
          <cell r="AH134">
            <v>2542734917663.5073</v>
          </cell>
          <cell r="AI134">
            <v>2767397627292.4517</v>
          </cell>
          <cell r="AJ134">
            <v>3006458297042.7637</v>
          </cell>
          <cell r="AK134">
            <v>3315676984581.981</v>
          </cell>
        </row>
        <row r="135">
          <cell r="AG135">
            <v>2308655720292.1396</v>
          </cell>
          <cell r="AH135">
            <v>2635560201398.2969</v>
          </cell>
          <cell r="AI135">
            <v>2877774223637.1636</v>
          </cell>
          <cell r="AJ135">
            <v>3132923081375.9482</v>
          </cell>
          <cell r="AK135">
            <v>3449713899953.9492</v>
          </cell>
        </row>
        <row r="136">
          <cell r="AG136">
            <v>2398012695768.2842</v>
          </cell>
          <cell r="AH136">
            <v>2731157376168.583</v>
          </cell>
          <cell r="AI136">
            <v>2992588030971.9985</v>
          </cell>
          <cell r="AJ136">
            <v>3258248414029.958</v>
          </cell>
          <cell r="AK136">
            <v>3579093830406.1392</v>
          </cell>
        </row>
        <row r="137">
          <cell r="AG137">
            <v>2489784237447.0576</v>
          </cell>
          <cell r="AH137">
            <v>2830193093501.2803</v>
          </cell>
          <cell r="AI137">
            <v>3104892745376.5615</v>
          </cell>
          <cell r="AJ137">
            <v>3378300912946.5815</v>
          </cell>
          <cell r="AK137">
            <v>3713186148884.3428</v>
          </cell>
        </row>
        <row r="138">
          <cell r="AG138">
            <v>2585455842738.144</v>
          </cell>
          <cell r="AH138">
            <v>2925344519096.7422</v>
          </cell>
          <cell r="AI138">
            <v>3212836620970.0723</v>
          </cell>
          <cell r="AJ138">
            <v>3503579176880.8198</v>
          </cell>
          <cell r="AK138">
            <v>3851071554091.6099</v>
          </cell>
        </row>
        <row r="139">
          <cell r="AG139">
            <v>2676841070608.3711</v>
          </cell>
          <cell r="AH139">
            <v>3018053569960.9536</v>
          </cell>
          <cell r="AI139">
            <v>3326355175520.2451</v>
          </cell>
          <cell r="AJ139">
            <v>3633319335085.5098</v>
          </cell>
          <cell r="AK139">
            <v>3995178860066.2949</v>
          </cell>
        </row>
        <row r="140">
          <cell r="AG140">
            <v>2768056796216.3604</v>
          </cell>
          <cell r="AH140">
            <v>3114376046221.0508</v>
          </cell>
          <cell r="AI140">
            <v>3444107180156.4829</v>
          </cell>
          <cell r="AJ140">
            <v>3769816417071.1143</v>
          </cell>
          <cell r="AK140">
            <v>4125302282870.7974</v>
          </cell>
        </row>
        <row r="141">
          <cell r="AG141">
            <v>2861861242191.4644</v>
          </cell>
          <cell r="AH141">
            <v>3213080625364.0981</v>
          </cell>
          <cell r="AI141">
            <v>3566245026223.2373</v>
          </cell>
          <cell r="AJ141">
            <v>3905588577040.0493</v>
          </cell>
          <cell r="AK141">
            <v>4259789044062.8379</v>
          </cell>
        </row>
        <row r="142">
          <cell r="AG142">
            <v>2958645755207.8945</v>
          </cell>
          <cell r="AH142">
            <v>3318261378683.6499</v>
          </cell>
          <cell r="AI142">
            <v>3691979225808.7622</v>
          </cell>
          <cell r="AJ142">
            <v>4046570505908.9116</v>
          </cell>
          <cell r="AK142">
            <v>4393719883467.4878</v>
          </cell>
        </row>
        <row r="143">
          <cell r="AG143">
            <v>3058283847856.7969</v>
          </cell>
          <cell r="AH143">
            <v>3434200146397.022</v>
          </cell>
          <cell r="AI143">
            <v>3822567780244.6167</v>
          </cell>
          <cell r="AJ143">
            <v>4188033555913.8296</v>
          </cell>
          <cell r="AK143">
            <v>4534071083403.5</v>
          </cell>
        </row>
        <row r="144">
          <cell r="AG144">
            <v>3160481954625.8467</v>
          </cell>
          <cell r="AH144">
            <v>3554060518711.1875</v>
          </cell>
          <cell r="AI144">
            <v>3953704307730.1426</v>
          </cell>
          <cell r="AJ144">
            <v>4335976603753.4614</v>
          </cell>
          <cell r="AK144">
            <v>4685959574120.8105</v>
          </cell>
        </row>
        <row r="145">
          <cell r="AG145">
            <v>3267123587871.1177</v>
          </cell>
          <cell r="AH145">
            <v>3679450922802.501</v>
          </cell>
          <cell r="AI145">
            <v>4094885108492.4873</v>
          </cell>
          <cell r="AJ145">
            <v>4492287397095.8691</v>
          </cell>
          <cell r="AK145">
            <v>4846625426771.4053</v>
          </cell>
        </row>
        <row r="146">
          <cell r="AG146">
            <v>3376423509094.1323</v>
          </cell>
          <cell r="AH146">
            <v>3811702710291.1235</v>
          </cell>
          <cell r="AI146">
            <v>4248387039437.627</v>
          </cell>
          <cell r="AJ146">
            <v>4657335653004.2207</v>
          </cell>
          <cell r="AK146">
            <v>5013088491509.9248</v>
          </cell>
        </row>
        <row r="147">
          <cell r="AG147">
            <v>3491643683365.1357</v>
          </cell>
          <cell r="AH147">
            <v>3948944784779.5303</v>
          </cell>
          <cell r="AI147">
            <v>4408510950409.7402</v>
          </cell>
          <cell r="AJ147">
            <v>4826802187889.2881</v>
          </cell>
          <cell r="AK147">
            <v>5186169077089.4863</v>
          </cell>
        </row>
        <row r="148">
          <cell r="AG148">
            <v>3612650686110.1089</v>
          </cell>
          <cell r="AH148">
            <v>4094699610838.3462</v>
          </cell>
          <cell r="AI148">
            <v>4572436666796.1494</v>
          </cell>
          <cell r="AJ148">
            <v>5002761992408.1221</v>
          </cell>
          <cell r="AK148">
            <v>5360961678108.5498</v>
          </cell>
        </row>
        <row r="149">
          <cell r="AG149">
            <v>3738749067460.6338</v>
          </cell>
          <cell r="AH149">
            <v>4243913690133.1929</v>
          </cell>
          <cell r="AI149">
            <v>4743465819244.2637</v>
          </cell>
          <cell r="AJ149">
            <v>5181659367213.4141</v>
          </cell>
          <cell r="AK149">
            <v>5540354888001.8838</v>
          </cell>
        </row>
        <row r="150">
          <cell r="AG150">
            <v>3867370251913.96</v>
          </cell>
          <cell r="AH150">
            <v>4399280550064.4268</v>
          </cell>
          <cell r="AI150">
            <v>4916801893929.3223</v>
          </cell>
          <cell r="AJ150">
            <v>5365083879718.791</v>
          </cell>
          <cell r="AK150">
            <v>5727898891450.3428</v>
          </cell>
        </row>
        <row r="151">
          <cell r="AG151">
            <v>4001760563930.6367</v>
          </cell>
          <cell r="AH151">
            <v>4556655845745.2432</v>
          </cell>
          <cell r="AI151">
            <v>5095892338654.2402</v>
          </cell>
          <cell r="AJ151">
            <v>5564471867776.2646</v>
          </cell>
          <cell r="AK151">
            <v>5925766290689.1953</v>
          </cell>
        </row>
        <row r="152">
          <cell r="AG152">
            <v>4138418857968.6089</v>
          </cell>
          <cell r="AH152">
            <v>4722177680600.752</v>
          </cell>
          <cell r="AI152">
            <v>5295117616679.4326</v>
          </cell>
          <cell r="AJ152">
            <v>5787105336991.0586</v>
          </cell>
          <cell r="AK152">
            <v>6130506721711.5713</v>
          </cell>
        </row>
        <row r="153">
          <cell r="AG153">
            <v>4281525080632.7856</v>
          </cell>
          <cell r="AH153">
            <v>4906066179719.915</v>
          </cell>
          <cell r="AI153">
            <v>5511924317310.6729</v>
          </cell>
          <cell r="AJ153">
            <v>6017656366981.8672</v>
          </cell>
          <cell r="AK153">
            <v>6347485091588.5176</v>
          </cell>
        </row>
        <row r="154">
          <cell r="AG154">
            <v>4445491037503.6836</v>
          </cell>
          <cell r="AH154">
            <v>5095912425506.3936</v>
          </cell>
          <cell r="AI154">
            <v>5736402183164.9111</v>
          </cell>
          <cell r="AJ154">
            <v>6263611005943.71</v>
          </cell>
          <cell r="AK154">
            <v>6604331146730.7891</v>
          </cell>
        </row>
        <row r="155">
          <cell r="AG155">
            <v>4606629474986.3242</v>
          </cell>
          <cell r="AH155">
            <v>5280948989812.8604</v>
          </cell>
          <cell r="AI155">
            <v>5959075005416.5508</v>
          </cell>
          <cell r="AJ155">
            <v>6544813659066.5068</v>
          </cell>
          <cell r="AK155">
            <v>6893804567319.9727</v>
          </cell>
        </row>
        <row r="156">
          <cell r="AG156">
            <v>4770413606079.4102</v>
          </cell>
          <cell r="AH156">
            <v>5472179015809.4404</v>
          </cell>
          <cell r="AI156">
            <v>6206311388931.7822</v>
          </cell>
          <cell r="AJ156">
            <v>6837393797025.8135</v>
          </cell>
          <cell r="AK156">
            <v>7071380003365.1426</v>
          </cell>
        </row>
        <row r="157">
          <cell r="AG157">
            <v>4949207674974.2354</v>
          </cell>
          <cell r="AH157">
            <v>5683279819060.4951</v>
          </cell>
          <cell r="AI157">
            <v>6466119062108.0186</v>
          </cell>
          <cell r="AJ157">
            <v>7005570188144.5859</v>
          </cell>
          <cell r="AK157">
            <v>7212286849314.7432</v>
          </cell>
        </row>
        <row r="158">
          <cell r="AG158">
            <v>5133006753731.5039</v>
          </cell>
          <cell r="AH158">
            <v>5901428061986.5605</v>
          </cell>
          <cell r="AI158">
            <v>6611523702446.958</v>
          </cell>
          <cell r="AJ158">
            <v>7131432896618.1602</v>
          </cell>
          <cell r="AK158">
            <v>7280433971283.0986</v>
          </cell>
        </row>
        <row r="159">
          <cell r="AG159">
            <v>5324061313440.5127</v>
          </cell>
          <cell r="AH159">
            <v>6068964131354.0713</v>
          </cell>
          <cell r="AI159">
            <v>6718822534138.8916</v>
          </cell>
          <cell r="AJ159">
            <v>7188846557836.3691</v>
          </cell>
          <cell r="AK159">
            <v>7342389462661.1611</v>
          </cell>
        </row>
        <row r="160">
          <cell r="AG160">
            <v>5448058562336.2588</v>
          </cell>
          <cell r="AH160">
            <v>6182829213823.2842</v>
          </cell>
          <cell r="AI160">
            <v>6763515769730.2158</v>
          </cell>
          <cell r="AJ160">
            <v>7236439396399.6318</v>
          </cell>
          <cell r="AK160">
            <v>7404692687711.9326</v>
          </cell>
        </row>
        <row r="161">
          <cell r="AG161">
            <v>5532974555415.9707</v>
          </cell>
          <cell r="AH161">
            <v>6269786018679.8193</v>
          </cell>
          <cell r="AI161">
            <v>6797174845120.7393</v>
          </cell>
          <cell r="AJ161">
            <v>7284243279649.3633</v>
          </cell>
          <cell r="AK161">
            <v>7467344616059.2891</v>
          </cell>
        </row>
        <row r="162">
          <cell r="AG162">
            <v>5580246509232.4033</v>
          </cell>
          <cell r="AH162">
            <v>6319187074388.207</v>
          </cell>
          <cell r="AI162">
            <v>6830945548900.5215</v>
          </cell>
          <cell r="AJ162">
            <v>7332258683841.6914</v>
          </cell>
          <cell r="AK162">
            <v>7530346217385.1426</v>
          </cell>
        </row>
        <row r="163">
          <cell r="AG163">
            <v>5606708795866.2158</v>
          </cell>
          <cell r="AH163">
            <v>6348770650057.5381</v>
          </cell>
          <cell r="AI163">
            <v>6864828071478.2363</v>
          </cell>
          <cell r="AJ163">
            <v>7380486085268.6104</v>
          </cell>
          <cell r="AK163">
            <v>7593698461429.208</v>
          </cell>
        </row>
        <row r="164">
          <cell r="AG164">
            <v>5633245923510.5059</v>
          </cell>
          <cell r="AH164">
            <v>6378443998459.0068</v>
          </cell>
          <cell r="AI164">
            <v>6898819458543.29</v>
          </cell>
          <cell r="AJ164">
            <v>7428922649858.9482</v>
          </cell>
          <cell r="AK164">
            <v>7657398957797.9609</v>
          </cell>
        </row>
      </sheetData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F363"/>
  <sheetViews>
    <sheetView topLeftCell="E1" workbookViewId="0">
      <selection activeCell="AH6" sqref="AD6:AH6"/>
    </sheetView>
  </sheetViews>
  <sheetFormatPr defaultColWidth="6.625" defaultRowHeight="11.25" x14ac:dyDescent="0.15"/>
  <cols>
    <col min="1" max="12" width="6.625" style="1"/>
    <col min="13" max="13" width="6.625" style="3"/>
    <col min="14" max="14" width="10.5" style="1" bestFit="1" customWidth="1"/>
    <col min="15" max="35" width="6.625" style="1"/>
    <col min="36" max="36" width="6.625" style="3"/>
    <col min="37" max="43" width="6.625" style="1"/>
    <col min="44" max="44" width="6.625" style="4"/>
    <col min="45" max="50" width="6.625" style="1"/>
    <col min="51" max="51" width="6.625" style="4"/>
    <col min="52" max="58" width="6.625" style="1"/>
    <col min="59" max="59" width="6.625" style="3"/>
    <col min="60" max="60" width="6.625" style="1"/>
    <col min="61" max="66" width="6.625" style="5"/>
    <col min="67" max="16384" width="6.625" style="1"/>
  </cols>
  <sheetData>
    <row r="1" spans="2:84" x14ac:dyDescent="0.15">
      <c r="F1" s="25" t="s">
        <v>55</v>
      </c>
      <c r="G1" s="25" t="s">
        <v>4</v>
      </c>
      <c r="H1" s="2"/>
      <c r="I1" s="25" t="s">
        <v>0</v>
      </c>
      <c r="J1" s="25" t="s">
        <v>4</v>
      </c>
      <c r="K1" s="25" t="s">
        <v>5</v>
      </c>
      <c r="P1" s="1" t="s">
        <v>6</v>
      </c>
      <c r="AM1" s="1">
        <v>1</v>
      </c>
      <c r="AN1" s="1">
        <v>0.8</v>
      </c>
      <c r="AO1" s="1">
        <v>0.6</v>
      </c>
      <c r="AP1" s="1">
        <v>0.4</v>
      </c>
      <c r="AQ1" s="1">
        <v>0.2</v>
      </c>
    </row>
    <row r="2" spans="2:84" x14ac:dyDescent="0.15">
      <c r="F2" s="25"/>
      <c r="G2" s="25"/>
      <c r="H2" s="2"/>
      <c r="I2" s="25"/>
      <c r="J2" s="25"/>
      <c r="K2" s="25"/>
      <c r="P2" s="24" t="s">
        <v>56</v>
      </c>
      <c r="Q2" s="24"/>
      <c r="R2" s="24"/>
      <c r="S2" s="24"/>
      <c r="T2" s="24"/>
      <c r="W2" s="24" t="s">
        <v>57</v>
      </c>
      <c r="X2" s="24"/>
      <c r="Y2" s="24"/>
      <c r="Z2" s="24"/>
      <c r="AA2" s="24"/>
      <c r="AD2" s="24" t="s">
        <v>58</v>
      </c>
      <c r="AE2" s="24"/>
      <c r="AF2" s="24"/>
      <c r="AG2" s="24"/>
      <c r="AH2" s="24"/>
      <c r="AM2" s="24" t="s">
        <v>1</v>
      </c>
      <c r="AN2" s="24"/>
      <c r="AO2" s="24"/>
      <c r="AP2" s="24"/>
      <c r="AQ2" s="24"/>
      <c r="AT2" s="24" t="s">
        <v>2</v>
      </c>
      <c r="AU2" s="24"/>
      <c r="AV2" s="24"/>
      <c r="AW2" s="24"/>
      <c r="AX2" s="24"/>
      <c r="BA2" s="24" t="s">
        <v>7</v>
      </c>
      <c r="BB2" s="24"/>
      <c r="BC2" s="24"/>
      <c r="BD2" s="24"/>
      <c r="BE2" s="24"/>
      <c r="BJ2" s="23" t="s">
        <v>39</v>
      </c>
      <c r="BK2" s="23"/>
      <c r="BL2" s="23"/>
      <c r="BM2" s="23"/>
      <c r="BN2" s="23"/>
      <c r="BQ2" s="24" t="s">
        <v>59</v>
      </c>
      <c r="BR2" s="24"/>
      <c r="BS2" s="24"/>
      <c r="BT2" s="24"/>
      <c r="BU2" s="24"/>
      <c r="BX2" s="24" t="s">
        <v>60</v>
      </c>
      <c r="BY2" s="24"/>
      <c r="BZ2" s="24"/>
      <c r="CA2" s="24"/>
      <c r="CB2" s="24"/>
    </row>
    <row r="3" spans="2:84" x14ac:dyDescent="0.15">
      <c r="F3" s="1">
        <f>[1]节奏总纲!F3</f>
        <v>1</v>
      </c>
      <c r="G3" s="1">
        <f>[1]节奏总纲!G3</f>
        <v>7.1773462536293131E-2</v>
      </c>
      <c r="I3" s="1">
        <f>[1]节奏总纲!I3</f>
        <v>1</v>
      </c>
      <c r="J3" s="1">
        <f>[1]节奏总纲!J3</f>
        <v>7.4349177498517554E-3</v>
      </c>
      <c r="K3" s="13">
        <f>[1]节奏总纲!K3</f>
        <v>0.1</v>
      </c>
      <c r="N3" s="1" t="str">
        <f>[1]节奏总纲!N3</f>
        <v>对应玩家等级</v>
      </c>
      <c r="O3" s="1" t="s">
        <v>55</v>
      </c>
      <c r="P3" s="1" t="s">
        <v>8</v>
      </c>
      <c r="Q3" s="1" t="s">
        <v>9</v>
      </c>
      <c r="R3" s="1" t="s">
        <v>10</v>
      </c>
      <c r="S3" s="1" t="s">
        <v>11</v>
      </c>
      <c r="T3" s="1" t="s">
        <v>12</v>
      </c>
      <c r="V3" s="1" t="s">
        <v>55</v>
      </c>
      <c r="W3" s="1" t="s">
        <v>8</v>
      </c>
      <c r="X3" s="1" t="s">
        <v>9</v>
      </c>
      <c r="Y3" s="1" t="s">
        <v>10</v>
      </c>
      <c r="Z3" s="1" t="s">
        <v>11</v>
      </c>
      <c r="AA3" s="1" t="s">
        <v>12</v>
      </c>
      <c r="AC3" s="1" t="s">
        <v>13</v>
      </c>
      <c r="AD3" s="1" t="s">
        <v>8</v>
      </c>
      <c r="AE3" s="1" t="s">
        <v>9</v>
      </c>
      <c r="AF3" s="1" t="s">
        <v>10</v>
      </c>
      <c r="AG3" s="1" t="s">
        <v>11</v>
      </c>
      <c r="AH3" s="1" t="s">
        <v>12</v>
      </c>
      <c r="AL3" s="1" t="s">
        <v>0</v>
      </c>
      <c r="AM3" s="1" t="s">
        <v>8</v>
      </c>
      <c r="AN3" s="1" t="s">
        <v>9</v>
      </c>
      <c r="AO3" s="1" t="s">
        <v>10</v>
      </c>
      <c r="AP3" s="1" t="s">
        <v>11</v>
      </c>
      <c r="AQ3" s="1" t="s">
        <v>12</v>
      </c>
      <c r="AS3" s="1" t="s">
        <v>0</v>
      </c>
      <c r="AT3" s="1" t="s">
        <v>8</v>
      </c>
      <c r="AU3" s="1" t="s">
        <v>9</v>
      </c>
      <c r="AV3" s="1" t="s">
        <v>10</v>
      </c>
      <c r="AW3" s="1" t="s">
        <v>11</v>
      </c>
      <c r="AX3" s="1" t="s">
        <v>12</v>
      </c>
      <c r="AZ3" s="1" t="s">
        <v>13</v>
      </c>
      <c r="BA3" s="1" t="s">
        <v>8</v>
      </c>
      <c r="BB3" s="1" t="s">
        <v>9</v>
      </c>
      <c r="BC3" s="1" t="s">
        <v>10</v>
      </c>
      <c r="BD3" s="1" t="s">
        <v>11</v>
      </c>
      <c r="BE3" s="1" t="s">
        <v>12</v>
      </c>
      <c r="BI3" s="5" t="s">
        <v>63</v>
      </c>
      <c r="BJ3" s="5" t="s">
        <v>8</v>
      </c>
      <c r="BK3" s="5" t="s">
        <v>9</v>
      </c>
      <c r="BL3" s="5" t="s">
        <v>10</v>
      </c>
      <c r="BM3" s="5" t="s">
        <v>11</v>
      </c>
      <c r="BN3" s="5" t="s">
        <v>12</v>
      </c>
      <c r="BP3" s="1" t="s">
        <v>38</v>
      </c>
      <c r="BQ3" s="5" t="s">
        <v>8</v>
      </c>
      <c r="BR3" s="5" t="s">
        <v>9</v>
      </c>
      <c r="BS3" s="5" t="s">
        <v>10</v>
      </c>
      <c r="BT3" s="5" t="s">
        <v>11</v>
      </c>
      <c r="BU3" s="5" t="s">
        <v>12</v>
      </c>
      <c r="BW3" s="1" t="s">
        <v>55</v>
      </c>
      <c r="BX3" s="5" t="s">
        <v>8</v>
      </c>
      <c r="BY3" s="5" t="s">
        <v>9</v>
      </c>
      <c r="BZ3" s="5" t="s">
        <v>10</v>
      </c>
      <c r="CA3" s="5" t="s">
        <v>11</v>
      </c>
      <c r="CB3" s="5" t="s">
        <v>12</v>
      </c>
      <c r="CC3" s="1" t="s">
        <v>40</v>
      </c>
      <c r="CE3" s="6" t="s">
        <v>55</v>
      </c>
      <c r="CF3" s="5" t="s">
        <v>41</v>
      </c>
    </row>
    <row r="4" spans="2:84" x14ac:dyDescent="0.15">
      <c r="F4" s="1">
        <f>[1]节奏总纲!F4</f>
        <v>2</v>
      </c>
      <c r="G4" s="1">
        <f>[1]节奏总纲!G4</f>
        <v>0.1486983549970351</v>
      </c>
      <c r="I4" s="1">
        <f>[1]节奏总纲!I4</f>
        <v>2</v>
      </c>
      <c r="J4" s="1">
        <f>[1]节奏总纲!J4</f>
        <v>2.3963093307967063E-2</v>
      </c>
      <c r="K4" s="13">
        <f>[1]节奏总纲!K4</f>
        <v>0.15</v>
      </c>
      <c r="N4" s="1">
        <f>[1]节奏总纲!N4</f>
        <v>2</v>
      </c>
      <c r="O4" s="1">
        <f>[1]节奏总纲!O4</f>
        <v>1</v>
      </c>
      <c r="P4" s="1">
        <f>[1]节奏总纲!P4</f>
        <v>7.1773462536293131E-2</v>
      </c>
      <c r="Q4" s="1">
        <f>[1]节奏总纲!Q4</f>
        <v>5.9787294292732177E-2</v>
      </c>
      <c r="R4" s="1">
        <f>[1]节奏总纲!R4</f>
        <v>4.677476553490223E-2</v>
      </c>
      <c r="S4" s="1">
        <f>[1]节奏总纲!S4</f>
        <v>3.2585151991477081E-2</v>
      </c>
      <c r="T4" s="1">
        <f>[1]节奏总纲!T4</f>
        <v>1.7039020006115988E-2</v>
      </c>
      <c r="V4" s="1">
        <f>[1]节奏总纲!V4</f>
        <v>1</v>
      </c>
      <c r="W4" s="1">
        <f>[1]节奏总纲!W4</f>
        <v>7.1773462536293131E-2</v>
      </c>
      <c r="X4" s="1">
        <f>[1]节奏总纲!X4</f>
        <v>5.9787294292732177E-2</v>
      </c>
      <c r="Y4" s="1">
        <f>[1]节奏总纲!Y4</f>
        <v>4.677476553490223E-2</v>
      </c>
      <c r="Z4" s="1">
        <f>[1]节奏总纲!Z4</f>
        <v>3.2585151991477081E-2</v>
      </c>
      <c r="AA4" s="1">
        <f>[1]节奏总纲!AA4</f>
        <v>1.7039020006115988E-2</v>
      </c>
      <c r="AC4" s="1">
        <f>[1]节奏总纲!AC4</f>
        <v>1</v>
      </c>
      <c r="AD4" s="1">
        <f>[1]节奏总纲!AD4</f>
        <v>10</v>
      </c>
      <c r="AE4" s="1">
        <f>[1]节奏总纲!AE4</f>
        <v>11.148446722089302</v>
      </c>
      <c r="AF4" s="1">
        <f>[1]节奏总纲!AF4</f>
        <v>12.761737853656415</v>
      </c>
      <c r="AG4" s="1">
        <f>[1]节奏总纲!AG4</f>
        <v>15.452231935206081</v>
      </c>
      <c r="AH4" s="1">
        <f>[1]节奏总纲!AH4</f>
        <v>21.291911942729964</v>
      </c>
      <c r="AL4" s="1">
        <f>[1]节奏总纲!AL4</f>
        <v>1</v>
      </c>
      <c r="AM4" s="1">
        <f>[1]节奏总纲!AM4</f>
        <v>7.4349177498517554E-3</v>
      </c>
      <c r="AN4" s="1">
        <f>[1]节奏总纲!AN4</f>
        <v>5.947934199881405E-3</v>
      </c>
      <c r="AO4" s="1">
        <f>[1]节奏总纲!AO4</f>
        <v>4.4609506499110529E-3</v>
      </c>
      <c r="AP4" s="1">
        <f>[1]节奏总纲!AP4</f>
        <v>2.9739670999407025E-3</v>
      </c>
      <c r="AQ4" s="1">
        <f>[1]节奏总纲!AQ4</f>
        <v>1.4869835499703513E-3</v>
      </c>
      <c r="AS4" s="1">
        <f>[1]节奏总纲!AS4</f>
        <v>1</v>
      </c>
      <c r="AT4" s="1">
        <f>[1]节奏总纲!AT4</f>
        <v>7.4349177498517554E-3</v>
      </c>
      <c r="AU4" s="1">
        <f>[1]节奏总纲!AU4</f>
        <v>5.947934199881405E-3</v>
      </c>
      <c r="AV4" s="1">
        <f>[1]节奏总纲!AV4</f>
        <v>4.4609506499110529E-3</v>
      </c>
      <c r="AW4" s="1">
        <f>[1]节奏总纲!AW4</f>
        <v>2.9739670999407025E-3</v>
      </c>
      <c r="AX4" s="1">
        <f>[1]节奏总纲!AX4</f>
        <v>1.4869835499703513E-3</v>
      </c>
      <c r="AY4" s="1"/>
      <c r="AZ4" s="1">
        <f>[1]节奏总纲!AZ4</f>
        <v>1</v>
      </c>
      <c r="BA4" s="1">
        <f>[1]节奏总纲!BA4</f>
        <v>11.296493250964016</v>
      </c>
      <c r="BB4" s="1">
        <f>[1]节奏总纲!BB4</f>
        <v>12.361596792946616</v>
      </c>
      <c r="BC4" s="1">
        <f>[1]节奏总纲!BC4</f>
        <v>13.798091195443488</v>
      </c>
      <c r="BD4" s="1">
        <f>[1]节奏总纲!BD4</f>
        <v>15.911635365458322</v>
      </c>
      <c r="BE4" s="1">
        <f>[1]节奏总纲!BE4</f>
        <v>19.707330185578734</v>
      </c>
      <c r="BI4" s="1">
        <f>[1]节奏总纲!BI4</f>
        <v>1</v>
      </c>
      <c r="BJ4" s="1">
        <f>[1]节奏总纲!BJ4</f>
        <v>0.3</v>
      </c>
      <c r="BK4" s="1">
        <f>[1]节奏总纲!BK4</f>
        <v>0.30599999999999999</v>
      </c>
      <c r="BL4" s="1">
        <f>[1]节奏总纲!BL4</f>
        <v>0.318</v>
      </c>
      <c r="BM4" s="1">
        <f>[1]节奏总纲!BM4</f>
        <v>0.34199999999999997</v>
      </c>
      <c r="BN4" s="1">
        <f>[1]节奏总纲!BN4</f>
        <v>0.42</v>
      </c>
      <c r="BP4" s="1">
        <f>[1]节奏总纲!BP4</f>
        <v>1</v>
      </c>
      <c r="BQ4" s="1">
        <f>[1]节奏总纲!BQ4</f>
        <v>0.10358867312681475</v>
      </c>
      <c r="BR4" s="1">
        <f>[1]节奏总纲!BR4</f>
        <v>9.9484920169810143E-2</v>
      </c>
      <c r="BS4" s="1">
        <f>[1]节奏总纲!BS4</f>
        <v>9.5370882117675193E-2</v>
      </c>
      <c r="BT4" s="1">
        <f>[1]节奏总纲!BT4</f>
        <v>9.1267553415695812E-2</v>
      </c>
      <c r="BU4" s="1">
        <f>[1]节奏总纲!BU4</f>
        <v>8.7269311817030126E-2</v>
      </c>
      <c r="BW4" s="1">
        <f>[1]节奏总纲!BW4</f>
        <v>1</v>
      </c>
      <c r="BX4" s="1">
        <f>[1]节奏总纲!BX4</f>
        <v>3.4919352669146524</v>
      </c>
      <c r="BY4" s="1">
        <f>[1]节奏总纲!BY4</f>
        <v>3.5640303448543476</v>
      </c>
      <c r="BZ4" s="1">
        <f>[1]节奏总纲!BZ4</f>
        <v>3.6425338741664604</v>
      </c>
      <c r="CA4" s="1">
        <f>[1]节奏总纲!CA4</f>
        <v>3.7278827947172908</v>
      </c>
      <c r="CB4" s="1">
        <f>[1]节奏总纲!CB4</f>
        <v>3.8187662869079366</v>
      </c>
      <c r="CC4" s="1">
        <f>[1]节奏总纲!CC4</f>
        <v>3.8187662869079366</v>
      </c>
      <c r="CE4" s="1">
        <f>[1]节奏总纲!CE4</f>
        <v>3</v>
      </c>
      <c r="CF4" s="1">
        <f>[1]节奏总纲!CF4</f>
        <v>7</v>
      </c>
    </row>
    <row r="5" spans="2:84" x14ac:dyDescent="0.15">
      <c r="F5" s="1">
        <f>[1]节奏总纲!F5</f>
        <v>3</v>
      </c>
      <c r="G5" s="1">
        <f>[1]节奏总纲!G5</f>
        <v>0.23114441334491631</v>
      </c>
      <c r="I5" s="1">
        <f>[1]节奏总纲!I5</f>
        <v>3</v>
      </c>
      <c r="J5" s="1">
        <f>[1]节奏总纲!J5</f>
        <v>5.1571656651039799E-2</v>
      </c>
      <c r="K5" s="13">
        <f>[1]节奏总纲!K5</f>
        <v>0.2</v>
      </c>
      <c r="N5" s="1">
        <f>[1]节奏总纲!N5</f>
        <v>4</v>
      </c>
      <c r="O5" s="1">
        <f>[1]节奏总纲!O5</f>
        <v>2</v>
      </c>
      <c r="P5" s="1">
        <f>[1]节奏总纲!P5</f>
        <v>0.1486983549970351</v>
      </c>
      <c r="Q5" s="1">
        <f>[1]节奏总纲!Q5</f>
        <v>0.12505531655250651</v>
      </c>
      <c r="R5" s="1">
        <f>[1]节奏总纲!R5</f>
        <v>9.883979656652922E-2</v>
      </c>
      <c r="S5" s="1">
        <f>[1]节奏总纲!S5</f>
        <v>6.9828747506607683E-2</v>
      </c>
      <c r="T5" s="1">
        <f>[1]节奏总纲!T5</f>
        <v>3.7085369736260552E-2</v>
      </c>
      <c r="V5" s="1">
        <f>[1]节奏总纲!V5</f>
        <v>2</v>
      </c>
      <c r="W5" s="1">
        <f>[1]节奏总纲!W5</f>
        <v>7.6924892460741967E-2</v>
      </c>
      <c r="X5" s="1">
        <f>[1]节奏总纲!X5</f>
        <v>6.5268022259774336E-2</v>
      </c>
      <c r="Y5" s="1">
        <f>[1]节奏总纲!Y5</f>
        <v>5.206503103162699E-2</v>
      </c>
      <c r="Z5" s="1">
        <f>[1]节奏总纲!Z5</f>
        <v>3.7243595515130602E-2</v>
      </c>
      <c r="AA5" s="1">
        <f>[1]节奏总纲!AA5</f>
        <v>2.0046349730144564E-2</v>
      </c>
      <c r="AC5" s="1">
        <f>[1]节奏总纲!AC5</f>
        <v>2</v>
      </c>
      <c r="AD5" s="1">
        <f>[1]节奏总纲!AD5</f>
        <v>15.845161563010114</v>
      </c>
      <c r="AE5" s="1">
        <f>[1]节奏总纲!AE5</f>
        <v>17.271997130667014</v>
      </c>
      <c r="AF5" s="1">
        <f>[1]节奏总纲!AF5</f>
        <v>19.263096801323076</v>
      </c>
      <c r="AG5" s="1">
        <f>[1]节奏总纲!AG5</f>
        <v>22.536681597650272</v>
      </c>
      <c r="AH5" s="1">
        <f>[1]节奏总纲!AH5</f>
        <v>29.386000042029625</v>
      </c>
      <c r="AL5" s="1">
        <f>[1]节奏总纲!AL5</f>
        <v>2</v>
      </c>
      <c r="AM5" s="1">
        <f>[1]节奏总纲!AM5</f>
        <v>2.3963093307967063E-2</v>
      </c>
      <c r="AN5" s="1">
        <f>[1]节奏总纲!AN5</f>
        <v>1.9170474646373652E-2</v>
      </c>
      <c r="AO5" s="1">
        <f>[1]节奏总纲!AO5</f>
        <v>1.4377855984780237E-2</v>
      </c>
      <c r="AP5" s="1">
        <f>[1]节奏总纲!AP5</f>
        <v>9.5852373231868262E-3</v>
      </c>
      <c r="AQ5" s="1">
        <f>[1]节奏总纲!AQ5</f>
        <v>4.7926186615934131E-3</v>
      </c>
      <c r="AS5" s="1">
        <f>[1]节奏总纲!AS5</f>
        <v>2</v>
      </c>
      <c r="AT5" s="1">
        <f>[1]节奏总纲!AT5</f>
        <v>1.6528175558115307E-2</v>
      </c>
      <c r="AU5" s="1">
        <f>[1]节奏总纲!AU5</f>
        <v>1.3222540446492247E-2</v>
      </c>
      <c r="AV5" s="1">
        <f>[1]节奏总纲!AV5</f>
        <v>9.9169053348691846E-3</v>
      </c>
      <c r="AW5" s="1">
        <f>[1]节奏总纲!AW5</f>
        <v>6.6112702232461237E-3</v>
      </c>
      <c r="AX5" s="1">
        <f>[1]节奏总纲!AX5</f>
        <v>3.3056351116230618E-3</v>
      </c>
      <c r="AY5" s="1"/>
      <c r="AZ5" s="1">
        <f>[1]节奏总纲!AZ5</f>
        <v>2</v>
      </c>
      <c r="BA5" s="1">
        <f>[1]节奏总纲!BA5</f>
        <v>14.729965238833779</v>
      </c>
      <c r="BB5" s="1">
        <f>[1]节奏总纲!BB5</f>
        <v>15.911635365458322</v>
      </c>
      <c r="BC5" s="1">
        <f>[1]节奏总纲!BC5</f>
        <v>17.448850811924295</v>
      </c>
      <c r="BD5" s="1">
        <f>[1]节奏总纲!BD5</f>
        <v>19.707330185578734</v>
      </c>
      <c r="BE5" s="1">
        <f>[1]节奏总纲!BE5</f>
        <v>23.710496742673982</v>
      </c>
      <c r="BI5" s="1">
        <f>[1]节奏总纲!BI5</f>
        <v>2</v>
      </c>
      <c r="BJ5" s="1">
        <f>[1]节奏总纲!BJ5</f>
        <v>0.47499999999999998</v>
      </c>
      <c r="BK5" s="1">
        <f>[1]节奏总纲!BK5</f>
        <v>0.48449999999999999</v>
      </c>
      <c r="BL5" s="1">
        <f>[1]节奏总纲!BL5</f>
        <v>0.50349999999999995</v>
      </c>
      <c r="BM5" s="1">
        <f>[1]节奏总纲!BM5</f>
        <v>0.54149999999999998</v>
      </c>
      <c r="BN5" s="1">
        <f>[1]节奏总纲!BN5</f>
        <v>0.66499999999999992</v>
      </c>
      <c r="BP5" s="1">
        <f>[1]节奏总纲!BP5</f>
        <v>2</v>
      </c>
      <c r="BQ5" s="1">
        <f>[1]节奏总纲!BQ5</f>
        <v>0.33387121731586833</v>
      </c>
      <c r="BR5" s="1">
        <f>[1]节奏总纲!BR5</f>
        <v>0.3206446264738233</v>
      </c>
      <c r="BS5" s="1">
        <f>[1]节奏总纲!BS5</f>
        <v>0.30738488628129679</v>
      </c>
      <c r="BT5" s="1">
        <f>[1]节奏总纲!BT5</f>
        <v>0.29415966283336437</v>
      </c>
      <c r="BU5" s="1">
        <f>[1]节奏总纲!BU5</f>
        <v>0.2812731401144638</v>
      </c>
      <c r="BW5" s="1">
        <f>[1]节奏总纲!BW5</f>
        <v>2</v>
      </c>
      <c r="BX5" s="1">
        <f>[1]节奏总纲!BX5</f>
        <v>4.977308377450588</v>
      </c>
      <c r="BY5" s="1">
        <f>[1]节奏总纲!BY5</f>
        <v>5.0895603019048199</v>
      </c>
      <c r="BZ5" s="1">
        <f>[1]节奏总纲!BZ5</f>
        <v>5.2088085130582007</v>
      </c>
      <c r="CA5" s="1">
        <f>[1]节奏总纲!CA5</f>
        <v>5.348253402094703</v>
      </c>
      <c r="CB5" s="1">
        <f>[1]节奏总纲!CB5</f>
        <v>5.5020994005782997</v>
      </c>
      <c r="CC5" s="1">
        <f>[1]节奏总纲!CC5</f>
        <v>5.5020994005782997</v>
      </c>
      <c r="CE5" s="1">
        <f>[1]节奏总纲!CE5</f>
        <v>8</v>
      </c>
      <c r="CF5" s="1">
        <f>[1]节奏总纲!CF5</f>
        <v>12</v>
      </c>
    </row>
    <row r="6" spans="2:84" x14ac:dyDescent="0.15">
      <c r="B6" s="24" t="s">
        <v>61</v>
      </c>
      <c r="C6" s="24"/>
      <c r="D6" s="24"/>
      <c r="F6" s="1">
        <f>[1]节奏总纲!F6</f>
        <v>4</v>
      </c>
      <c r="G6" s="1">
        <f>[1]节奏总纲!G6</f>
        <v>0.3195079107728942</v>
      </c>
      <c r="I6" s="1">
        <f>[1]节奏总纲!I6</f>
        <v>4</v>
      </c>
      <c r="J6" s="1">
        <f>[1]节奏总纲!J6</f>
        <v>9.2637640824031031E-2</v>
      </c>
      <c r="K6" s="13">
        <f>[1]节奏总纲!K6</f>
        <v>0.25</v>
      </c>
      <c r="N6" s="1">
        <f>[1]节奏总纲!N6</f>
        <v>6</v>
      </c>
      <c r="O6" s="1">
        <f>[1]节奏总纲!O6</f>
        <v>3</v>
      </c>
      <c r="P6" s="1">
        <f>[1]节奏总纲!P6</f>
        <v>0.23114441334491631</v>
      </c>
      <c r="Q6" s="1">
        <f>[1]节奏总纲!Q6</f>
        <v>0.19582554698581309</v>
      </c>
      <c r="R6" s="1">
        <f>[1]节奏总纲!R6</f>
        <v>0.15616116565582547</v>
      </c>
      <c r="S6" s="1">
        <f>[1]节奏总纲!S6</f>
        <v>0.11120357726023924</v>
      </c>
      <c r="T6" s="1">
        <f>[1]节奏总纲!T6</f>
        <v>5.9380999788309005E-2</v>
      </c>
      <c r="V6" s="1">
        <f>[1]节奏总纲!V6</f>
        <v>3</v>
      </c>
      <c r="W6" s="1">
        <f>[1]节奏总纲!W6</f>
        <v>8.2446058347881213E-2</v>
      </c>
      <c r="X6" s="1">
        <f>[1]节奏总纲!X6</f>
        <v>7.0770230433306575E-2</v>
      </c>
      <c r="Y6" s="1">
        <f>[1]节奏总纲!Y6</f>
        <v>5.7321369089296248E-2</v>
      </c>
      <c r="Z6" s="1">
        <f>[1]节奏总纲!Z6</f>
        <v>4.1374829753631562E-2</v>
      </c>
      <c r="AA6" s="1">
        <f>[1]节奏总纲!AA6</f>
        <v>2.2295630052048453E-2</v>
      </c>
      <c r="AC6" s="1">
        <f>[1]节奏总纲!AC6</f>
        <v>3</v>
      </c>
      <c r="AD6" s="1">
        <f>[1]节奏总纲!AD6</f>
        <v>20</v>
      </c>
      <c r="AE6" s="1">
        <f>[1]节奏总纲!AE6</f>
        <v>21.543844702365945</v>
      </c>
      <c r="AF6" s="1">
        <f>[1]节奏总纲!AF6</f>
        <v>23.734615677065324</v>
      </c>
      <c r="AG6" s="1">
        <f>[1]节奏总纲!AG6</f>
        <v>27.324610510337703</v>
      </c>
      <c r="AH6" s="1">
        <f>[1]节奏总纲!AH6</f>
        <v>34.517938607173015</v>
      </c>
      <c r="AL6" s="1">
        <f>[1]节奏总纲!AL6</f>
        <v>3</v>
      </c>
      <c r="AM6" s="1">
        <f>[1]节奏总纲!AM6</f>
        <v>5.1571656651039799E-2</v>
      </c>
      <c r="AN6" s="1">
        <f>[1]节奏总纲!AN6</f>
        <v>4.1257325320831845E-2</v>
      </c>
      <c r="AO6" s="1">
        <f>[1]节奏总纲!AO6</f>
        <v>3.0942993990623877E-2</v>
      </c>
      <c r="AP6" s="1">
        <f>[1]节奏总纲!AP6</f>
        <v>2.0628662660415922E-2</v>
      </c>
      <c r="AQ6" s="1">
        <f>[1]节奏总纲!AQ6</f>
        <v>1.0314331330207961E-2</v>
      </c>
      <c r="AS6" s="1">
        <f>[1]节奏总纲!AS6</f>
        <v>3</v>
      </c>
      <c r="AT6" s="1">
        <f>[1]节奏总纲!AT6</f>
        <v>2.7608563343072736E-2</v>
      </c>
      <c r="AU6" s="1">
        <f>[1]节奏总纲!AU6</f>
        <v>2.2086850674458192E-2</v>
      </c>
      <c r="AV6" s="1">
        <f>[1]节奏总纲!AV6</f>
        <v>1.6565138005843638E-2</v>
      </c>
      <c r="AW6" s="1">
        <f>[1]节奏总纲!AW6</f>
        <v>1.1043425337229096E-2</v>
      </c>
      <c r="AX6" s="1">
        <f>[1]节奏总纲!AX6</f>
        <v>5.5217126686145481E-3</v>
      </c>
      <c r="AY6" s="1"/>
      <c r="AZ6" s="1">
        <f>[1]节奏总纲!AZ6</f>
        <v>3</v>
      </c>
      <c r="BA6" s="1">
        <f>[1]节奏总纲!BA6</f>
        <v>16.888397947066121</v>
      </c>
      <c r="BB6" s="1">
        <f>[1]节奏总纲!BB6</f>
        <v>18.108391417375849</v>
      </c>
      <c r="BC6" s="1">
        <f>[1]节奏总纲!BC6</f>
        <v>19.707330185578734</v>
      </c>
      <c r="BD6" s="1">
        <f>[1]节奏总纲!BD6</f>
        <v>22.041972908628715</v>
      </c>
      <c r="BE6" s="1">
        <f>[1]节奏总纲!BE6</f>
        <v>26.127796402772656</v>
      </c>
      <c r="BI6" s="1">
        <f>[1]节奏总纲!BI6</f>
        <v>3</v>
      </c>
      <c r="BJ6" s="1">
        <f>[1]节奏总纲!BJ6</f>
        <v>0.65</v>
      </c>
      <c r="BK6" s="1">
        <f>[1]节奏总纲!BK6</f>
        <v>0.66300000000000003</v>
      </c>
      <c r="BL6" s="1">
        <f>[1]节奏总纲!BL6</f>
        <v>0.68900000000000006</v>
      </c>
      <c r="BM6" s="1">
        <f>[1]节奏总纲!BM6</f>
        <v>0.74099999999999999</v>
      </c>
      <c r="BN6" s="1">
        <f>[1]节奏总纲!BN6</f>
        <v>0.90999999999999992</v>
      </c>
      <c r="BP6" s="1">
        <f>[1]节奏总纲!BP6</f>
        <v>3</v>
      </c>
      <c r="BQ6" s="1">
        <f>[1]节奏总纲!BQ6</f>
        <v>0.71853377040242361</v>
      </c>
      <c r="BR6" s="1">
        <f>[1]节奏总纲!BR6</f>
        <v>0.69006844696511282</v>
      </c>
      <c r="BS6" s="1">
        <f>[1]节奏总纲!BS6</f>
        <v>0.66153178186505168</v>
      </c>
      <c r="BT6" s="1">
        <f>[1]节奏总纲!BT6</f>
        <v>0.63306940123561561</v>
      </c>
      <c r="BU6" s="1">
        <f>[1]节奏总纲!BU6</f>
        <v>0.60533594810650693</v>
      </c>
      <c r="BW6" s="1">
        <f>[1]节奏总纲!BW6</f>
        <v>3</v>
      </c>
      <c r="BX6" s="1">
        <f>[1]节奏总纲!BX6</f>
        <v>6.1165253069520942</v>
      </c>
      <c r="BY6" s="1">
        <f>[1]节奏总纲!BY6</f>
        <v>6.2666264078379221</v>
      </c>
      <c r="BZ6" s="1">
        <f>[1]节奏总纲!BZ6</f>
        <v>6.4370802003692873</v>
      </c>
      <c r="CA6" s="1">
        <f>[1]节奏总纲!CA6</f>
        <v>6.6323388358436492</v>
      </c>
      <c r="CB6" s="1">
        <f>[1]节奏总纲!CB6</f>
        <v>6.8403179035964721</v>
      </c>
      <c r="CC6" s="1">
        <f>[1]节奏总纲!CC6</f>
        <v>6.8403179035964721</v>
      </c>
      <c r="CE6" s="1">
        <f>[1]节奏总纲!CE6</f>
        <v>13</v>
      </c>
      <c r="CF6" s="1">
        <f>[1]节奏总纲!CF6</f>
        <v>15</v>
      </c>
    </row>
    <row r="7" spans="2:84" x14ac:dyDescent="0.15">
      <c r="B7" s="1" t="s">
        <v>55</v>
      </c>
      <c r="C7" s="1" t="s">
        <v>15</v>
      </c>
      <c r="D7" s="1" t="s">
        <v>16</v>
      </c>
      <c r="F7" s="1">
        <f>[1]节奏总纲!F7</f>
        <v>5</v>
      </c>
      <c r="G7" s="1">
        <f>[1]节奏总纲!G7</f>
        <v>0.41421356237309515</v>
      </c>
      <c r="I7" s="1">
        <f>[1]节奏总纲!I7</f>
        <v>5</v>
      </c>
      <c r="J7" s="1">
        <f>[1]节奏总纲!J7</f>
        <v>0.15</v>
      </c>
      <c r="K7" s="13">
        <f>[1]节奏总纲!K7</f>
        <v>0.3</v>
      </c>
      <c r="N7" s="1">
        <f>[1]节奏总纲!N7</f>
        <v>8</v>
      </c>
      <c r="O7" s="1">
        <f>[1]节奏总纲!O7</f>
        <v>4</v>
      </c>
      <c r="P7" s="1">
        <f>[1]节奏总纲!P7</f>
        <v>0.3195079107728942</v>
      </c>
      <c r="Q7" s="1">
        <f>[1]节奏总纲!Q7</f>
        <v>0.2719651336498875</v>
      </c>
      <c r="R7" s="1">
        <f>[1]节奏总纲!R7</f>
        <v>0.21816000147573214</v>
      </c>
      <c r="S7" s="1">
        <f>[1]节奏总纲!S7</f>
        <v>0.15607961441255883</v>
      </c>
      <c r="T7" s="1">
        <f>[1]节奏总纲!T7</f>
        <v>8.4062531324348461E-2</v>
      </c>
      <c r="V7" s="1">
        <f>[1]节奏总纲!V7</f>
        <v>4</v>
      </c>
      <c r="W7" s="1">
        <f>[1]节奏总纲!W7</f>
        <v>8.8363497427977888E-2</v>
      </c>
      <c r="X7" s="1">
        <f>[1]节奏总纲!X7</f>
        <v>7.6139586664074416E-2</v>
      </c>
      <c r="Y7" s="1">
        <f>[1]节奏总纲!Y7</f>
        <v>6.1998835819906672E-2</v>
      </c>
      <c r="Z7" s="1">
        <f>[1]节奏总纲!Z7</f>
        <v>4.4876037152319581E-2</v>
      </c>
      <c r="AA7" s="1">
        <f>[1]节奏总纲!AA7</f>
        <v>2.4681531536039455E-2</v>
      </c>
      <c r="AC7" s="1">
        <f>[1]节奏总纲!AC7</f>
        <v>4</v>
      </c>
      <c r="AD7" s="1">
        <f>[1]节奏总纲!AD7</f>
        <v>23.213386604241784</v>
      </c>
      <c r="AE7" s="1">
        <f>[1]节奏总纲!AE7</f>
        <v>24.836966034810484</v>
      </c>
      <c r="AF7" s="1">
        <f>[1]节奏总纲!AF7</f>
        <v>27.155717181399513</v>
      </c>
      <c r="AG7" s="1">
        <f>[1]节奏总纲!AG7</f>
        <v>30.831257561377125</v>
      </c>
      <c r="AH7" s="1">
        <f>[1]节奏总纲!AH7</f>
        <v>38.431365705145346</v>
      </c>
      <c r="AL7" s="1">
        <f>[1]节奏总纲!AL7</f>
        <v>4</v>
      </c>
      <c r="AM7" s="1">
        <f>[1]节奏总纲!AM7</f>
        <v>9.2637640824031031E-2</v>
      </c>
      <c r="AN7" s="1">
        <f>[1]节奏总纲!AN7</f>
        <v>7.4110112659224833E-2</v>
      </c>
      <c r="AO7" s="1">
        <f>[1]节奏总纲!AO7</f>
        <v>5.5582584494418615E-2</v>
      </c>
      <c r="AP7" s="1">
        <f>[1]节奏总纲!AP7</f>
        <v>3.7055056329612417E-2</v>
      </c>
      <c r="AQ7" s="1">
        <f>[1]节奏总纲!AQ7</f>
        <v>1.8527528164806208E-2</v>
      </c>
      <c r="AS7" s="1">
        <f>[1]节奏总纲!AS7</f>
        <v>4</v>
      </c>
      <c r="AT7" s="1">
        <f>[1]节奏总纲!AT7</f>
        <v>4.1065984172991232E-2</v>
      </c>
      <c r="AU7" s="1">
        <f>[1]节奏总纲!AU7</f>
        <v>3.2852787338392989E-2</v>
      </c>
      <c r="AV7" s="1">
        <f>[1]节奏总纲!AV7</f>
        <v>2.4639590503794738E-2</v>
      </c>
      <c r="AW7" s="1">
        <f>[1]节奏总纲!AW7</f>
        <v>1.6426393669196494E-2</v>
      </c>
      <c r="AX7" s="1">
        <f>[1]节奏总纲!AX7</f>
        <v>8.2131968345982471E-3</v>
      </c>
      <c r="AY7" s="1"/>
      <c r="AZ7" s="1">
        <f>[1]节奏总纲!AZ7</f>
        <v>4</v>
      </c>
      <c r="BA7" s="1">
        <f>[1]节奏总纲!BA7</f>
        <v>18.453550676044042</v>
      </c>
      <c r="BB7" s="1">
        <f>[1]节奏总纲!BB7</f>
        <v>19.707330185578734</v>
      </c>
      <c r="BC7" s="1">
        <f>[1]节奏总纲!BC7</f>
        <v>21.34613466141565</v>
      </c>
      <c r="BD7" s="1">
        <f>[1]节奏总纲!BD7</f>
        <v>23.710496742673982</v>
      </c>
      <c r="BE7" s="1">
        <f>[1]节奏总纲!BE7</f>
        <v>27.863030247590562</v>
      </c>
      <c r="BI7" s="1">
        <f>[1]节奏总纲!BI7</f>
        <v>4</v>
      </c>
      <c r="BJ7" s="1">
        <f>[1]节奏总纲!BJ7</f>
        <v>0.82499999999999996</v>
      </c>
      <c r="BK7" s="1">
        <f>[1]节奏总纲!BK7</f>
        <v>0.84149999999999991</v>
      </c>
      <c r="BL7" s="1">
        <f>[1]节奏总纲!BL7</f>
        <v>0.87449999999999994</v>
      </c>
      <c r="BM7" s="1">
        <f>[1]节奏总纲!BM7</f>
        <v>0.94049999999999989</v>
      </c>
      <c r="BN7" s="1">
        <f>[1]节奏总纲!BN7</f>
        <v>1.1549999999999998</v>
      </c>
      <c r="BP7" s="1">
        <f>[1]节奏总纲!BP7</f>
        <v>4</v>
      </c>
      <c r="BQ7" s="1">
        <f>[1]节奏总纲!BQ7</f>
        <v>1.2712279162221225</v>
      </c>
      <c r="BR7" s="1">
        <f>[1]节奏总纲!BR7</f>
        <v>1.2194461831474863</v>
      </c>
      <c r="BS7" s="1">
        <f>[1]节奏总纲!BS7</f>
        <v>1.1691695709192234</v>
      </c>
      <c r="BT7" s="1">
        <f>[1]节奏总纲!BT7</f>
        <v>1.1200180669001034</v>
      </c>
      <c r="BU7" s="1">
        <f>[1]节奏总纲!BU7</f>
        <v>1.0742533268514161</v>
      </c>
      <c r="BW7" s="1">
        <f>[1]节奏总纲!BW7</f>
        <v>4</v>
      </c>
      <c r="BX7" s="1">
        <f>[1]节奏总纲!BX7</f>
        <v>7.0702756195404151</v>
      </c>
      <c r="BY7" s="1">
        <f>[1]节奏总纲!BY7</f>
        <v>7.2477985806027867</v>
      </c>
      <c r="BZ7" s="1">
        <f>[1]节奏总纲!BZ7</f>
        <v>7.4530595043311552</v>
      </c>
      <c r="CA7" s="1">
        <f>[1]节奏总纲!CA7</f>
        <v>7.6839780435255705</v>
      </c>
      <c r="CB7" s="1">
        <f>[1]节奏总纲!CB7</f>
        <v>7.9454083416525796</v>
      </c>
      <c r="CC7" s="1">
        <f>[1]节奏总纲!CC7</f>
        <v>7.9454083416525796</v>
      </c>
      <c r="CE7" s="1">
        <f>[1]节奏总纲!CE7</f>
        <v>18</v>
      </c>
      <c r="CF7" s="1">
        <f>[1]节奏总纲!CF7</f>
        <v>18</v>
      </c>
    </row>
    <row r="8" spans="2:84" x14ac:dyDescent="0.15">
      <c r="B8" s="1">
        <f>[1]节奏总纲!B8</f>
        <v>10</v>
      </c>
      <c r="C8" s="1">
        <f>[1]节奏总纲!C8</f>
        <v>1</v>
      </c>
      <c r="D8" s="1">
        <f>[1]节奏总纲!D8</f>
        <v>1</v>
      </c>
      <c r="F8" s="1">
        <f>[1]节奏总纲!F8</f>
        <v>6</v>
      </c>
      <c r="G8" s="1">
        <f>[1]节奏总纲!G8</f>
        <v>0.51571656651039799</v>
      </c>
      <c r="I8" s="1">
        <f>[1]节奏总纲!I8</f>
        <v>6</v>
      </c>
      <c r="J8" s="1">
        <f>[1]节奏总纲!J8</f>
        <v>0.22055744069899194</v>
      </c>
      <c r="K8" s="13">
        <f>[1]节奏总纲!K8</f>
        <v>0.34</v>
      </c>
      <c r="N8" s="1">
        <f>[1]节奏总纲!N8</f>
        <v>10</v>
      </c>
      <c r="O8" s="1">
        <f>[1]节奏总纲!O8</f>
        <v>5</v>
      </c>
      <c r="P8" s="1">
        <f>[1]节奏总纲!P8</f>
        <v>0.41421356237309515</v>
      </c>
      <c r="Q8" s="1">
        <f>[1]节奏总纲!Q8</f>
        <v>0.35241289886702937</v>
      </c>
      <c r="R8" s="1">
        <f>[1]节奏总纲!R8</f>
        <v>0.28315639123824782</v>
      </c>
      <c r="S8" s="1">
        <f>[1]节奏总纲!S8</f>
        <v>0.20296464556281663</v>
      </c>
      <c r="T8" s="1">
        <f>[1]节奏总纲!T8</f>
        <v>0.10951806589144637</v>
      </c>
      <c r="V8" s="1">
        <f>[1]节奏总纲!V8</f>
        <v>5</v>
      </c>
      <c r="W8" s="1">
        <f>[1]节奏总纲!W8</f>
        <v>9.4705651600200946E-2</v>
      </c>
      <c r="X8" s="1">
        <f>[1]节奏总纲!X8</f>
        <v>8.0447765217141864E-2</v>
      </c>
      <c r="Y8" s="1">
        <f>[1]节奏总纲!Y8</f>
        <v>6.4996389762515677E-2</v>
      </c>
      <c r="Z8" s="1">
        <f>[1]节奏总纲!Z8</f>
        <v>4.68850311502578E-2</v>
      </c>
      <c r="AA8" s="1">
        <f>[1]节奏总纲!AA8</f>
        <v>2.5455534567097912E-2</v>
      </c>
      <c r="AC8" s="1">
        <f>[1]节奏总纲!AC8</f>
        <v>5</v>
      </c>
      <c r="AD8" s="1">
        <f>[1]节奏总纲!AD8</f>
        <v>25.845161563010112</v>
      </c>
      <c r="AE8" s="1">
        <f>[1]节奏总纲!AE8</f>
        <v>27.525245270311611</v>
      </c>
      <c r="AF8" s="1">
        <f>[1]节奏总纲!AF8</f>
        <v>29.892344464157688</v>
      </c>
      <c r="AG8" s="1">
        <f>[1]节奏总纲!AG8</f>
        <v>33.672145166817529</v>
      </c>
      <c r="AH8" s="1">
        <f>[1]节奏总纲!AH8</f>
        <v>41.359260538726978</v>
      </c>
      <c r="AL8" s="1">
        <f>[1]节奏总纲!AL8</f>
        <v>5</v>
      </c>
      <c r="AM8" s="1">
        <f>[1]节奏总纲!AM8</f>
        <v>0.15</v>
      </c>
      <c r="AN8" s="1">
        <f>[1]节奏总纲!AN8</f>
        <v>0.12</v>
      </c>
      <c r="AO8" s="1">
        <f>[1]节奏总纲!AO8</f>
        <v>0.09</v>
      </c>
      <c r="AP8" s="1">
        <f>[1]节奏总纲!AP8</f>
        <v>0.06</v>
      </c>
      <c r="AQ8" s="1">
        <f>[1]节奏总纲!AQ8</f>
        <v>0.03</v>
      </c>
      <c r="AS8" s="1">
        <f>[1]节奏总纲!AS8</f>
        <v>5</v>
      </c>
      <c r="AT8" s="1">
        <f>[1]节奏总纲!AT8</f>
        <v>5.7362359175968963E-2</v>
      </c>
      <c r="AU8" s="1">
        <f>[1]节奏总纲!AU8</f>
        <v>4.5889887340775162E-2</v>
      </c>
      <c r="AV8" s="1">
        <f>[1]节奏总纲!AV8</f>
        <v>3.4417415505581382E-2</v>
      </c>
      <c r="AW8" s="1">
        <f>[1]节奏总纲!AW8</f>
        <v>2.2944943670387581E-2</v>
      </c>
      <c r="AX8" s="1">
        <f>[1]节奏总纲!AX8</f>
        <v>1.1472471835193791E-2</v>
      </c>
      <c r="AY8" s="1"/>
      <c r="AZ8" s="1">
        <f>[1]节奏总纲!AZ8</f>
        <v>5</v>
      </c>
      <c r="BA8" s="1">
        <f>[1]节奏总纲!BA8</f>
        <v>19.707330185578734</v>
      </c>
      <c r="BB8" s="1">
        <f>[1]节奏总纲!BB8</f>
        <v>20.993539484876777</v>
      </c>
      <c r="BC8" s="1">
        <f>[1]节奏总纲!BC8</f>
        <v>22.639743033177162</v>
      </c>
      <c r="BD8" s="1">
        <f>[1]节奏总纲!BD8</f>
        <v>25.044229735272328</v>
      </c>
      <c r="BE8" s="1">
        <f>[1]节奏总纲!BE8</f>
        <v>29.216428548527322</v>
      </c>
      <c r="BI8" s="1">
        <f>[1]节奏总纲!BI8</f>
        <v>5</v>
      </c>
      <c r="BJ8" s="1">
        <f>[1]节奏总纲!BJ8</f>
        <v>1</v>
      </c>
      <c r="BK8" s="1">
        <f>[1]节奏总纲!BK8</f>
        <v>1.02</v>
      </c>
      <c r="BL8" s="1">
        <f>[1]节奏总纲!BL8</f>
        <v>1.06</v>
      </c>
      <c r="BM8" s="1">
        <f>[1]节奏总纲!BM8</f>
        <v>1.1399999999999999</v>
      </c>
      <c r="BN8" s="1">
        <f>[1]节奏总纲!BN8</f>
        <v>1.4</v>
      </c>
      <c r="BP8" s="1">
        <f>[1]节奏总纲!BP8</f>
        <v>5</v>
      </c>
      <c r="BQ8" s="1">
        <f>[1]节奏总纲!BQ8</f>
        <v>2.0157878378790723</v>
      </c>
      <c r="BR8" s="1">
        <f>[1]节奏总纲!BR8</f>
        <v>1.9225452774961409</v>
      </c>
      <c r="BS8" s="1">
        <f>[1]节奏总纲!BS8</f>
        <v>1.830216243198636</v>
      </c>
      <c r="BT8" s="1">
        <f>[1]节奏总纲!BT8</f>
        <v>1.7360956328017618</v>
      </c>
      <c r="BU8" s="1">
        <f>[1]节奏总纲!BU8</f>
        <v>1.6465506273391022</v>
      </c>
      <c r="BW8" s="1">
        <f>[1]节奏总纲!BW8</f>
        <v>5</v>
      </c>
      <c r="BX8" s="1">
        <f>[1]节奏总纲!BX8</f>
        <v>7.8924592775257718</v>
      </c>
      <c r="BY8" s="1">
        <f>[1]节奏总纲!BY8</f>
        <v>8.0964284787133458</v>
      </c>
      <c r="BZ8" s="1">
        <f>[1]节奏总纲!BZ8</f>
        <v>8.3140998912475936</v>
      </c>
      <c r="CA8" s="1">
        <f>[1]节奏总纲!CA8</f>
        <v>8.5599968276049641</v>
      </c>
      <c r="CB8" s="1">
        <f>[1]节奏总纲!CB8</f>
        <v>8.8384248761652557</v>
      </c>
      <c r="CC8" s="1">
        <f>[1]节奏总纲!CC8</f>
        <v>8.8384248761652557</v>
      </c>
      <c r="CE8" s="1">
        <f>[1]节奏总纲!CE8</f>
        <v>23</v>
      </c>
      <c r="CF8" s="1">
        <f>[1]节奏总纲!CF8</f>
        <v>21</v>
      </c>
    </row>
    <row r="9" spans="2:84" x14ac:dyDescent="0.15">
      <c r="B9" s="1">
        <f>[1]节奏总纲!B9</f>
        <v>20</v>
      </c>
      <c r="C9" s="1">
        <f>[1]节奏总纲!C9</f>
        <v>3</v>
      </c>
      <c r="D9" s="1">
        <f>[1]节奏总纲!D9</f>
        <v>2</v>
      </c>
      <c r="F9" s="1">
        <f>[1]节奏总纲!F9</f>
        <v>7</v>
      </c>
      <c r="G9" s="1">
        <f>[1]节奏总纲!G9</f>
        <v>0.62450479271247095</v>
      </c>
      <c r="I9" s="1">
        <f>[1]节奏总纲!I9</f>
        <v>7</v>
      </c>
      <c r="J9" s="1">
        <f>[1]节奏总纲!J9</f>
        <v>0.31141300609369982</v>
      </c>
      <c r="K9" s="13">
        <f>[1]节奏总纲!K9</f>
        <v>0.38</v>
      </c>
      <c r="N9" s="1">
        <f>[1]节奏总纲!N9</f>
        <v>12</v>
      </c>
      <c r="O9" s="1">
        <f>[1]节奏总纲!O9</f>
        <v>6</v>
      </c>
      <c r="P9" s="1">
        <f>[1]节奏总纲!P9</f>
        <v>0.51571656651039799</v>
      </c>
      <c r="Q9" s="1">
        <f>[1]节奏总纲!Q9</f>
        <v>0.43939051466685908</v>
      </c>
      <c r="R9" s="1">
        <f>[1]节奏总纲!R9</f>
        <v>0.35336899137292471</v>
      </c>
      <c r="S9" s="1">
        <f>[1]节奏总纲!S9</f>
        <v>0.25440298225957936</v>
      </c>
      <c r="T9" s="1">
        <f>[1]节奏总纲!T9</f>
        <v>0.13836675479473978</v>
      </c>
      <c r="V9" s="1">
        <f>[1]节奏总纲!V9</f>
        <v>6</v>
      </c>
      <c r="W9" s="1">
        <f>[1]节奏总纲!W9</f>
        <v>0.10150300413730284</v>
      </c>
      <c r="X9" s="1">
        <f>[1]节奏总纲!X9</f>
        <v>8.6977615799829711E-2</v>
      </c>
      <c r="Y9" s="1">
        <f>[1]节奏总纲!Y9</f>
        <v>7.0212600134676895E-2</v>
      </c>
      <c r="Z9" s="1">
        <f>[1]节奏总纲!Z9</f>
        <v>5.1438336696762732E-2</v>
      </c>
      <c r="AA9" s="1">
        <f>[1]节奏总纲!AA9</f>
        <v>2.884868890329341E-2</v>
      </c>
      <c r="AC9" s="1">
        <f>[1]节奏总纲!AC9</f>
        <v>6</v>
      </c>
      <c r="AD9" s="1">
        <f>[1]节奏总纲!AD9</f>
        <v>28.071211008105138</v>
      </c>
      <c r="AE9" s="1">
        <f>[1]节奏总纲!AE9</f>
        <v>29.78183527117605</v>
      </c>
      <c r="AF9" s="1">
        <f>[1]节奏总纲!AF9</f>
        <v>32.202183458664891</v>
      </c>
      <c r="AG9" s="1">
        <f>[1]节奏总纲!AG9</f>
        <v>36.067019846099676</v>
      </c>
      <c r="AH9" s="1">
        <f>[1]节奏总纲!AH9</f>
        <v>43.870275262019007</v>
      </c>
      <c r="AL9" s="1">
        <f>[1]节奏总纲!AL9</f>
        <v>6</v>
      </c>
      <c r="AM9" s="1">
        <f>[1]节奏总纲!AM9</f>
        <v>0.22055744069899194</v>
      </c>
      <c r="AN9" s="1">
        <f>[1]节奏总纲!AN9</f>
        <v>0.17644595255919357</v>
      </c>
      <c r="AO9" s="1">
        <f>[1]节奏总纲!AO9</f>
        <v>0.13233446441939517</v>
      </c>
      <c r="AP9" s="1">
        <f>[1]节奏总纲!AP9</f>
        <v>8.8222976279596785E-2</v>
      </c>
      <c r="AQ9" s="1">
        <f>[1]节奏总纲!AQ9</f>
        <v>4.4111488139798392E-2</v>
      </c>
      <c r="AS9" s="1">
        <f>[1]节奏总纲!AS9</f>
        <v>6</v>
      </c>
      <c r="AT9" s="1">
        <f>[1]节奏总纲!AT9</f>
        <v>7.0557440698991947E-2</v>
      </c>
      <c r="AU9" s="1">
        <f>[1]节奏总纲!AU9</f>
        <v>5.6445952559193574E-2</v>
      </c>
      <c r="AV9" s="1">
        <f>[1]节奏总纲!AV9</f>
        <v>4.2334464419395174E-2</v>
      </c>
      <c r="AW9" s="1">
        <f>[1]节奏总纲!AW9</f>
        <v>2.8222976279596787E-2</v>
      </c>
      <c r="AX9" s="1">
        <f>[1]节奏总纲!AX9</f>
        <v>1.4111488139798394E-2</v>
      </c>
      <c r="AY9" s="1"/>
      <c r="AZ9" s="1">
        <f>[1]节奏总纲!AZ9</f>
        <v>6</v>
      </c>
      <c r="BA9" s="1">
        <f>[1]节奏总纲!BA9</f>
        <v>20.745154613657583</v>
      </c>
      <c r="BB9" s="1">
        <f>[1]节奏总纲!BB9</f>
        <v>22.041972908628715</v>
      </c>
      <c r="BC9" s="1">
        <f>[1]节奏总纲!BC9</f>
        <v>23.710496742673982</v>
      </c>
      <c r="BD9" s="1">
        <f>[1]节奏总纲!BD9</f>
        <v>26.127796402772656</v>
      </c>
      <c r="BE9" s="1">
        <f>[1]节奏总纲!BE9</f>
        <v>30.329493925593439</v>
      </c>
      <c r="BI9" s="1">
        <f>[1]节奏总纲!BI9</f>
        <v>6</v>
      </c>
      <c r="BJ9" s="1">
        <f>[1]节奏总纲!BJ9</f>
        <v>1.0333333333333334</v>
      </c>
      <c r="BK9" s="1">
        <f>[1]节奏总纲!BK9</f>
        <v>1.054</v>
      </c>
      <c r="BL9" s="1">
        <f>[1]节奏总纲!BL9</f>
        <v>1.0953333333333335</v>
      </c>
      <c r="BM9" s="1">
        <f>[1]节奏总纲!BM9</f>
        <v>1.1779999999999999</v>
      </c>
      <c r="BN9" s="1">
        <f>[1]节奏总纲!BN9</f>
        <v>1.4466666666666668</v>
      </c>
      <c r="BP9" s="1">
        <f>[1]节奏总纲!BP9</f>
        <v>6</v>
      </c>
      <c r="BQ9" s="1">
        <f>[1]节奏总纲!BQ9</f>
        <v>2.871589098883871</v>
      </c>
      <c r="BR9" s="1">
        <f>[1]节奏总纲!BR9</f>
        <v>2.7261617729946108</v>
      </c>
      <c r="BS9" s="1">
        <f>[1]节奏总纲!BS9</f>
        <v>2.5843312604883417</v>
      </c>
      <c r="BT9" s="1">
        <f>[1]节奏总纲!BT9</f>
        <v>2.4445753343885266</v>
      </c>
      <c r="BU9" s="1">
        <f>[1]节奏总纲!BU9</f>
        <v>2.3151343284372583</v>
      </c>
      <c r="BW9" s="1">
        <f>[1]节奏总纲!BW9</f>
        <v>6</v>
      </c>
      <c r="BX9" s="1">
        <f>[1]节奏总纲!BX9</f>
        <v>8.6175479890862157</v>
      </c>
      <c r="BY9" s="1">
        <f>[1]节奏总纲!BY9</f>
        <v>8.849843797743457</v>
      </c>
      <c r="BZ9" s="1">
        <f>[1]节奏总纲!BZ9</f>
        <v>9.1007395721182949</v>
      </c>
      <c r="CA9" s="1">
        <f>[1]节奏总纲!CA9</f>
        <v>9.3635025505897787</v>
      </c>
      <c r="CB9" s="1">
        <f>[1]节奏总纲!CB9</f>
        <v>9.6752186318997833</v>
      </c>
      <c r="CC9" s="1">
        <f>[1]节奏总纲!CC9</f>
        <v>9.6752186318997833</v>
      </c>
      <c r="CE9" s="1">
        <f>[1]节奏总纲!CE9</f>
        <v>28</v>
      </c>
      <c r="CF9" s="1">
        <f>[1]节奏总纲!CF9</f>
        <v>24</v>
      </c>
    </row>
    <row r="10" spans="2:84" x14ac:dyDescent="0.15">
      <c r="B10" s="1">
        <f>[1]节奏总纲!B10</f>
        <v>30</v>
      </c>
      <c r="C10" s="1">
        <f>[1]节奏总纲!C10</f>
        <v>7</v>
      </c>
      <c r="D10" s="1">
        <f>[1]节奏总纲!D10</f>
        <v>4</v>
      </c>
      <c r="F10" s="1">
        <f>[1]节奏总纲!F10</f>
        <v>8</v>
      </c>
      <c r="G10" s="1">
        <f>[1]节奏总纲!G10</f>
        <v>0.74110112659224825</v>
      </c>
      <c r="I10" s="1">
        <f>[1]节奏总纲!I10</f>
        <v>8</v>
      </c>
      <c r="J10" s="1">
        <f>[1]节奏总纲!J10</f>
        <v>0.42660095793436714</v>
      </c>
      <c r="K10" s="13">
        <f>[1]节奏总纲!K10</f>
        <v>0.42</v>
      </c>
      <c r="N10" s="1">
        <f>[1]节奏总纲!N10</f>
        <v>14</v>
      </c>
      <c r="O10" s="1">
        <f>[1]节奏总纲!O10</f>
        <v>7</v>
      </c>
      <c r="P10" s="1">
        <f>[1]节奏总纲!P10</f>
        <v>0.62450479271247095</v>
      </c>
      <c r="Q10" s="1">
        <f>[1]节奏总纲!Q10</f>
        <v>0.53413894920697635</v>
      </c>
      <c r="R10" s="1">
        <f>[1]节奏总纲!R10</f>
        <v>0.43072095553379119</v>
      </c>
      <c r="S10" s="1">
        <f>[1]节奏总纲!S10</f>
        <v>0.30950457526830061</v>
      </c>
      <c r="T10" s="1">
        <f>[1]节奏总纲!T10</f>
        <v>0.16699258157131475</v>
      </c>
      <c r="V10" s="1">
        <f>[1]节奏总纲!V10</f>
        <v>7</v>
      </c>
      <c r="W10" s="1">
        <f>[1]节奏总纲!W10</f>
        <v>0.10878822620207296</v>
      </c>
      <c r="X10" s="1">
        <f>[1]节奏总纲!X10</f>
        <v>9.4748434540117277E-2</v>
      </c>
      <c r="Y10" s="1">
        <f>[1]节奏总纲!Y10</f>
        <v>7.7351964160866482E-2</v>
      </c>
      <c r="Z10" s="1">
        <f>[1]节奏总纲!Z10</f>
        <v>5.510159300872125E-2</v>
      </c>
      <c r="AA10" s="1">
        <f>[1]节奏总纲!AA10</f>
        <v>2.8625826776574964E-2</v>
      </c>
      <c r="AC10" s="1">
        <f>[1]节奏总纲!AC10</f>
        <v>7</v>
      </c>
      <c r="AD10" s="1">
        <f>[1]节奏总纲!AD10</f>
        <v>30</v>
      </c>
      <c r="AE10" s="1">
        <f>[1]节奏总纲!AE10</f>
        <v>31.718819483847451</v>
      </c>
      <c r="AF10" s="1">
        <f>[1]节奏总纲!AF10</f>
        <v>34.192155176139416</v>
      </c>
      <c r="AG10" s="1">
        <f>[1]节奏总纲!AG10</f>
        <v>38.19822972207853</v>
      </c>
      <c r="AH10" s="1">
        <f>[1]节奏总纲!AH10</f>
        <v>46.093186357957826</v>
      </c>
      <c r="AL10" s="1">
        <f>[1]节奏总纲!AL10</f>
        <v>7</v>
      </c>
      <c r="AM10" s="1">
        <f>[1]节奏总纲!AM10</f>
        <v>0.31141300609369982</v>
      </c>
      <c r="AN10" s="1">
        <f>[1]节奏总纲!AN10</f>
        <v>0.24913040487495985</v>
      </c>
      <c r="AO10" s="1">
        <f>[1]节奏总纲!AO10</f>
        <v>0.18684780365621989</v>
      </c>
      <c r="AP10" s="1">
        <f>[1]节奏总纲!AP10</f>
        <v>0.12456520243747993</v>
      </c>
      <c r="AQ10" s="1">
        <f>[1]节奏总纲!AQ10</f>
        <v>6.2282601218739964E-2</v>
      </c>
      <c r="AS10" s="1">
        <f>[1]节奏总纲!AS10</f>
        <v>7</v>
      </c>
      <c r="AT10" s="1">
        <f>[1]节奏总纲!AT10</f>
        <v>9.0855565394707877E-2</v>
      </c>
      <c r="AU10" s="1">
        <f>[1]节奏总纲!AU10</f>
        <v>7.2684452315766285E-2</v>
      </c>
      <c r="AV10" s="1">
        <f>[1]节奏总纲!AV10</f>
        <v>5.451333923682472E-2</v>
      </c>
      <c r="AW10" s="1">
        <f>[1]节奏总纲!AW10</f>
        <v>3.6342226157883142E-2</v>
      </c>
      <c r="AX10" s="1">
        <f>[1]节奏总纲!AX10</f>
        <v>1.8171113078941571E-2</v>
      </c>
      <c r="AY10" s="1"/>
      <c r="AZ10" s="1">
        <f>[1]节奏总纲!AZ10</f>
        <v>7</v>
      </c>
      <c r="BA10" s="1">
        <f>[1]节奏总纲!BA10</f>
        <v>21.627432338833255</v>
      </c>
      <c r="BB10" s="1">
        <f>[1]节奏总纲!BB10</f>
        <v>22.938628095451385</v>
      </c>
      <c r="BC10" s="1">
        <f>[1]节奏总纲!BC10</f>
        <v>24.619152272059132</v>
      </c>
      <c r="BD10" s="1">
        <f>[1]节奏总纲!BD10</f>
        <v>27.059707353051884</v>
      </c>
      <c r="BE10" s="1">
        <f>[1]节奏总纲!BE10</f>
        <v>31.280110398778046</v>
      </c>
      <c r="BI10" s="1">
        <f>[1]节奏总纲!BI10</f>
        <v>7</v>
      </c>
      <c r="BJ10" s="1">
        <f>[1]节奏总纲!BJ10</f>
        <v>1.0666666666666669</v>
      </c>
      <c r="BK10" s="1">
        <f>[1]节奏总纲!BK10</f>
        <v>1.0880000000000003</v>
      </c>
      <c r="BL10" s="1">
        <f>[1]节奏总纲!BL10</f>
        <v>1.1306666666666669</v>
      </c>
      <c r="BM10" s="1">
        <f>[1]节奏总纲!BM10</f>
        <v>1.2160000000000002</v>
      </c>
      <c r="BN10" s="1">
        <f>[1]节奏总纲!BN10</f>
        <v>1.4933333333333336</v>
      </c>
      <c r="BP10" s="1">
        <f>[1]节奏总纲!BP10</f>
        <v>7</v>
      </c>
      <c r="BQ10" s="1">
        <f>[1]节奏总纲!BQ10</f>
        <v>3.9083908523902386</v>
      </c>
      <c r="BR10" s="1">
        <f>[1]节奏总纲!BR10</f>
        <v>3.7000938700170019</v>
      </c>
      <c r="BS10" s="1">
        <f>[1]节奏总纲!BS10</f>
        <v>3.4949550680198662</v>
      </c>
      <c r="BT10" s="1">
        <f>[1]节奏总纲!BT10</f>
        <v>3.2977452115900578</v>
      </c>
      <c r="BU10" s="1">
        <f>[1]节奏总纲!BU10</f>
        <v>3.1175616442680676</v>
      </c>
      <c r="BW10" s="1">
        <f>[1]节奏总纲!BW10</f>
        <v>7</v>
      </c>
      <c r="BX10" s="1">
        <f>[1]节奏总纲!BX10</f>
        <v>9.2992754060675331</v>
      </c>
      <c r="BY10" s="1">
        <f>[1]节奏总纲!BY10</f>
        <v>9.5403165281128111</v>
      </c>
      <c r="BZ10" s="1">
        <f>[1]节奏总纲!BZ10</f>
        <v>9.8205867658616608</v>
      </c>
      <c r="CA10" s="1">
        <f>[1]节奏总纲!CA10</f>
        <v>10.128686248037246</v>
      </c>
      <c r="CB10" s="1">
        <f>[1]节奏总纲!CB10</f>
        <v>10.460138723751793</v>
      </c>
      <c r="CC10" s="1">
        <f>[1]节奏总纲!CC10</f>
        <v>10.460138723751793</v>
      </c>
      <c r="CE10" s="1">
        <f>[1]节奏总纲!CE10</f>
        <v>33</v>
      </c>
      <c r="CF10" s="1">
        <f>[1]节奏总纲!CF10</f>
        <v>26</v>
      </c>
    </row>
    <row r="11" spans="2:84" x14ac:dyDescent="0.15">
      <c r="B11" s="1">
        <f>[1]节奏总纲!B11</f>
        <v>40</v>
      </c>
      <c r="C11" s="1">
        <f>[1]节奏总纲!C11</f>
        <v>15</v>
      </c>
      <c r="D11" s="1">
        <f>[1]节奏总纲!D11</f>
        <v>8</v>
      </c>
      <c r="F11" s="1">
        <f>[1]节奏总纲!F11</f>
        <v>9</v>
      </c>
      <c r="G11" s="1">
        <f>[1]节奏总纲!G11</f>
        <v>0.86606598307361482</v>
      </c>
      <c r="I11" s="1">
        <f>[1]节奏总纲!I11</f>
        <v>9</v>
      </c>
      <c r="J11" s="1">
        <f>[1]节奏总纲!J11</f>
        <v>0.57090651823243421</v>
      </c>
      <c r="K11" s="13">
        <f>[1]节奏总纲!K11</f>
        <v>0.46</v>
      </c>
      <c r="N11" s="1">
        <f>[1]节奏总纲!N11</f>
        <v>16</v>
      </c>
      <c r="O11" s="1">
        <f>[1]节奏总纲!O11</f>
        <v>8</v>
      </c>
      <c r="P11" s="1">
        <f>[1]节奏总纲!P11</f>
        <v>0.74110112659224825</v>
      </c>
      <c r="Q11" s="1">
        <f>[1]节奏总纲!Q11</f>
        <v>0.63089938906798093</v>
      </c>
      <c r="R11" s="1">
        <f>[1]节奏总纲!R11</f>
        <v>0.50550507844857251</v>
      </c>
      <c r="S11" s="1">
        <f>[1]节奏总纲!S11</f>
        <v>0.36195379022765406</v>
      </c>
      <c r="T11" s="1">
        <f>[1]节奏总纲!T11</f>
        <v>0.19579891764567198</v>
      </c>
      <c r="V11" s="1">
        <f>[1]节奏总纲!V11</f>
        <v>8</v>
      </c>
      <c r="W11" s="1">
        <f>[1]节奏总纲!W11</f>
        <v>0.1165963338797773</v>
      </c>
      <c r="X11" s="1">
        <f>[1]节奏总纲!X11</f>
        <v>9.6760439861004577E-2</v>
      </c>
      <c r="Y11" s="1">
        <f>[1]节奏总纲!Y11</f>
        <v>7.4784122914781315E-2</v>
      </c>
      <c r="Z11" s="1">
        <f>[1]节奏总纲!Z11</f>
        <v>5.2449214959353452E-2</v>
      </c>
      <c r="AA11" s="1">
        <f>[1]节奏总纲!AA11</f>
        <v>2.8806336074357231E-2</v>
      </c>
      <c r="AC11" s="1">
        <f>[1]节奏总纲!AC11</f>
        <v>8</v>
      </c>
      <c r="AD11" s="1">
        <f>[1]节奏总纲!AD11</f>
        <v>31.691928656135214</v>
      </c>
      <c r="AE11" s="1">
        <f>[1]节奏总纲!AE11</f>
        <v>33.465251056098396</v>
      </c>
      <c r="AF11" s="1">
        <f>[1]节奏总纲!AF11</f>
        <v>35.930751746472978</v>
      </c>
      <c r="AG11" s="1">
        <f>[1]节奏总纲!AG11</f>
        <v>39.998279638578282</v>
      </c>
      <c r="AH11" s="1">
        <f>[1]节奏总纲!AH11</f>
        <v>48.067140183443534</v>
      </c>
      <c r="AL11" s="1">
        <f>[1]节奏总纲!AL11</f>
        <v>8</v>
      </c>
      <c r="AM11" s="1">
        <f>[1]节奏总纲!AM11</f>
        <v>0.42660095793436714</v>
      </c>
      <c r="AN11" s="1">
        <f>[1]节奏总纲!AN11</f>
        <v>0.34128076634749371</v>
      </c>
      <c r="AO11" s="1">
        <f>[1]节奏总纲!AO11</f>
        <v>0.25596057476062029</v>
      </c>
      <c r="AP11" s="1">
        <f>[1]节奏总纲!AP11</f>
        <v>0.17064038317374686</v>
      </c>
      <c r="AQ11" s="1">
        <f>[1]节奏总纲!AQ11</f>
        <v>8.5320191586873428E-2</v>
      </c>
      <c r="AS11" s="1">
        <f>[1]节奏总纲!AS11</f>
        <v>8</v>
      </c>
      <c r="AT11" s="1">
        <f>[1]节奏总纲!AT11</f>
        <v>0.11518795184066732</v>
      </c>
      <c r="AU11" s="1">
        <f>[1]节奏总纲!AU11</f>
        <v>9.2150361472533859E-2</v>
      </c>
      <c r="AV11" s="1">
        <f>[1]节奏总纲!AV11</f>
        <v>6.9112771104400395E-2</v>
      </c>
      <c r="AW11" s="1">
        <f>[1]节奏总纲!AW11</f>
        <v>4.607518073626693E-2</v>
      </c>
      <c r="AX11" s="1">
        <f>[1]节奏总纲!AX11</f>
        <v>2.3037590368133465E-2</v>
      </c>
      <c r="AY11" s="1"/>
      <c r="AZ11" s="1">
        <f>[1]节奏总纲!AZ11</f>
        <v>8</v>
      </c>
      <c r="BA11" s="1">
        <f>[1]节奏总纲!BA11</f>
        <v>22.400634983357783</v>
      </c>
      <c r="BB11" s="1">
        <f>[1]节奏总纲!BB11</f>
        <v>23.710496742673982</v>
      </c>
      <c r="BC11" s="1">
        <f>[1]节奏总纲!BC11</f>
        <v>25.412810862541733</v>
      </c>
      <c r="BD11" s="1">
        <f>[1]节奏总纲!BD11</f>
        <v>27.863030247590562</v>
      </c>
      <c r="BE11" s="1">
        <f>[1]节奏总纲!BE11</f>
        <v>32.113552950216736</v>
      </c>
      <c r="BI11" s="1">
        <f>[1]节奏总纲!BI11</f>
        <v>8</v>
      </c>
      <c r="BJ11" s="1">
        <f>[1]节奏总纲!BJ11</f>
        <v>1.1000000000000003</v>
      </c>
      <c r="BK11" s="1">
        <f>[1]节奏总纲!BK11</f>
        <v>1.1220000000000003</v>
      </c>
      <c r="BL11" s="1">
        <f>[1]节奏总纲!BL11</f>
        <v>1.1660000000000004</v>
      </c>
      <c r="BM11" s="1">
        <f>[1]节奏总纲!BM11</f>
        <v>1.2540000000000002</v>
      </c>
      <c r="BN11" s="1">
        <f>[1]节奏总纲!BN11</f>
        <v>1.5400000000000003</v>
      </c>
      <c r="BP11" s="1">
        <f>[1]节奏总纲!BP11</f>
        <v>8</v>
      </c>
      <c r="BQ11" s="1">
        <f>[1]节奏总纲!BQ11</f>
        <v>5.1220396939633002</v>
      </c>
      <c r="BR11" s="1">
        <f>[1]节奏总纲!BR11</f>
        <v>4.8616228494416447</v>
      </c>
      <c r="BS11" s="1">
        <f>[1]节奏总纲!BS11</f>
        <v>4.5815795834661612</v>
      </c>
      <c r="BT11" s="1">
        <f>[1]节奏总纲!BT11</f>
        <v>4.3105632736922681</v>
      </c>
      <c r="BU11" s="1">
        <f>[1]节奏总纲!BU11</f>
        <v>4.0494061619177515</v>
      </c>
      <c r="BW11" s="1">
        <f>[1]节奏总纲!BW11</f>
        <v>8</v>
      </c>
      <c r="BX11" s="1">
        <f>[1]节奏总纲!BX11</f>
        <v>9.9503115729287064</v>
      </c>
      <c r="BY11" s="1">
        <f>[1]节奏总纲!BY11</f>
        <v>10.209179596854964</v>
      </c>
      <c r="BZ11" s="1">
        <f>[1]节奏总纲!BZ11</f>
        <v>10.501003645853389</v>
      </c>
      <c r="CA11" s="1">
        <f>[1]节奏总纲!CA11</f>
        <v>10.838817158161019</v>
      </c>
      <c r="CB11" s="1">
        <f>[1]节奏总纲!CB11</f>
        <v>11.201197012273351</v>
      </c>
      <c r="CC11" s="1">
        <f>[1]节奏总纲!CC11</f>
        <v>11.201197012273351</v>
      </c>
      <c r="CE11" s="1">
        <f>[1]节奏总纲!CE11</f>
        <v>38</v>
      </c>
      <c r="CF11" s="1">
        <f>[1]节奏总纲!CF11</f>
        <v>28</v>
      </c>
    </row>
    <row r="12" spans="2:84" x14ac:dyDescent="0.15">
      <c r="B12" s="1">
        <f>[1]节奏总纲!B12</f>
        <v>50</v>
      </c>
      <c r="C12" s="1">
        <f>[1]节奏总纲!C12</f>
        <v>31</v>
      </c>
      <c r="D12" s="1">
        <f>[1]节奏总纲!D12</f>
        <v>16</v>
      </c>
      <c r="F12" s="1">
        <f>[1]节奏总纲!F12</f>
        <v>10</v>
      </c>
      <c r="G12" s="1">
        <f>[1]节奏总纲!G12</f>
        <v>1</v>
      </c>
      <c r="I12" s="1">
        <f>[1]节奏总纲!I12</f>
        <v>10</v>
      </c>
      <c r="J12" s="1">
        <f>[1]节奏总纲!J12</f>
        <v>0.75</v>
      </c>
      <c r="K12" s="13">
        <f>[1]节奏总纲!K12</f>
        <v>0.5</v>
      </c>
      <c r="N12" s="1">
        <f>[1]节奏总纲!N12</f>
        <v>18</v>
      </c>
      <c r="O12" s="1">
        <f>[1]节奏总纲!O12</f>
        <v>9</v>
      </c>
      <c r="P12" s="1">
        <f>[1]节奏总纲!P12</f>
        <v>0.86606598307361482</v>
      </c>
      <c r="Q12" s="1">
        <f>[1]节奏总纲!Q12</f>
        <v>0.73702215159564621</v>
      </c>
      <c r="R12" s="1">
        <f>[1]节奏总纲!R12</f>
        <v>0.59282216541388932</v>
      </c>
      <c r="S12" s="1">
        <f>[1]节奏总纲!S12</f>
        <v>0.42766338244175101</v>
      </c>
      <c r="T12" s="1">
        <f>[1]节奏总纲!T12</f>
        <v>0.23193247026711403</v>
      </c>
      <c r="V12" s="1">
        <f>[1]节奏总纲!V12</f>
        <v>9</v>
      </c>
      <c r="W12" s="1">
        <f>[1]节奏总纲!W12</f>
        <v>0.12496485648136657</v>
      </c>
      <c r="X12" s="1">
        <f>[1]节奏总纲!X12</f>
        <v>0.10612276252766528</v>
      </c>
      <c r="Y12" s="1">
        <f>[1]节奏总纲!Y12</f>
        <v>8.7317086965316815E-2</v>
      </c>
      <c r="Z12" s="1">
        <f>[1]节奏总纲!Z12</f>
        <v>6.5709592214096946E-2</v>
      </c>
      <c r="AA12" s="1">
        <f>[1]节奏总纲!AA12</f>
        <v>3.613355262144205E-2</v>
      </c>
      <c r="AC12" s="1">
        <f>[1]节奏总纲!AC12</f>
        <v>9</v>
      </c>
      <c r="AD12" s="1">
        <f>[1]节奏总纲!AD12</f>
        <v>33.213386604241784</v>
      </c>
      <c r="AE12" s="1">
        <f>[1]节奏总纲!AE12</f>
        <v>34.992730785174565</v>
      </c>
      <c r="AF12" s="1">
        <f>[1]节奏总纲!AF12</f>
        <v>37.510565846691456</v>
      </c>
      <c r="AG12" s="1">
        <f>[1]节奏总纲!AG12</f>
        <v>41.534743419557365</v>
      </c>
      <c r="AH12" s="1">
        <f>[1]节奏总纲!AH12</f>
        <v>49.706056771838036</v>
      </c>
      <c r="AL12" s="1">
        <f>[1]节奏总纲!AL12</f>
        <v>9</v>
      </c>
      <c r="AM12" s="1">
        <f>[1]节奏总纲!AM12</f>
        <v>0.57090651823243421</v>
      </c>
      <c r="AN12" s="1">
        <f>[1]节奏总纲!AN12</f>
        <v>0.45672521458594739</v>
      </c>
      <c r="AO12" s="1">
        <f>[1]节奏总纲!AO12</f>
        <v>0.34254391093946052</v>
      </c>
      <c r="AP12" s="1">
        <f>[1]节奏总纲!AP12</f>
        <v>0.2283626072929737</v>
      </c>
      <c r="AQ12" s="1">
        <f>[1]节奏总纲!AQ12</f>
        <v>0.11418130364648685</v>
      </c>
      <c r="AS12" s="1">
        <f>[1]节奏总纲!AS12</f>
        <v>9</v>
      </c>
      <c r="AT12" s="1">
        <f>[1]节奏总纲!AT12</f>
        <v>0.14430556029806707</v>
      </c>
      <c r="AU12" s="1">
        <f>[1]节奏总纲!AU12</f>
        <v>0.11544444823845368</v>
      </c>
      <c r="AV12" s="1">
        <f>[1]节奏总纲!AV12</f>
        <v>8.6583336178840231E-2</v>
      </c>
      <c r="AW12" s="1">
        <f>[1]节奏总纲!AW12</f>
        <v>5.7722224119226839E-2</v>
      </c>
      <c r="AX12" s="1">
        <f>[1]节奏总纲!AX12</f>
        <v>2.886111205961342E-2</v>
      </c>
      <c r="AY12" s="1"/>
      <c r="AZ12" s="1">
        <f>[1]节奏总纲!AZ12</f>
        <v>9</v>
      </c>
      <c r="BA12" s="1">
        <f>[1]节奏总纲!BA12</f>
        <v>23.100336713798686</v>
      </c>
      <c r="BB12" s="1">
        <f>[1]节奏总纲!BB12</f>
        <v>24.402761517547276</v>
      </c>
      <c r="BC12" s="1">
        <f>[1]节奏总纲!BC12</f>
        <v>26.127796402772656</v>
      </c>
      <c r="BD12" s="1">
        <f>[1]节奏总纲!BD12</f>
        <v>28.568390277483555</v>
      </c>
      <c r="BE12" s="1">
        <f>[1]节奏总纲!BE12</f>
        <v>32.842201900114915</v>
      </c>
      <c r="BI12" s="1">
        <f>[1]节奏总纲!BI12</f>
        <v>9</v>
      </c>
      <c r="BJ12" s="1">
        <f>[1]节奏总纲!BJ12</f>
        <v>1.1333333333333337</v>
      </c>
      <c r="BK12" s="1">
        <f>[1]节奏总纲!BK12</f>
        <v>1.1560000000000004</v>
      </c>
      <c r="BL12" s="1">
        <f>[1]节奏总纲!BL12</f>
        <v>1.2013333333333338</v>
      </c>
      <c r="BM12" s="1">
        <f>[1]节奏总纲!BM12</f>
        <v>1.2920000000000003</v>
      </c>
      <c r="BN12" s="1">
        <f>[1]节奏总纲!BN12</f>
        <v>1.5866666666666671</v>
      </c>
      <c r="BP12" s="1">
        <f>[1]节奏总纲!BP12</f>
        <v>9</v>
      </c>
      <c r="BQ12" s="1">
        <f>[1]节奏总纲!BQ12</f>
        <v>6.5073154848533106</v>
      </c>
      <c r="BR12" s="1">
        <f>[1]节奏总纲!BR12</f>
        <v>6.182955000821134</v>
      </c>
      <c r="BS12" s="1">
        <f>[1]节奏总纲!BS12</f>
        <v>5.8458242478885518</v>
      </c>
      <c r="BT12" s="1">
        <f>[1]节奏总纲!BT12</f>
        <v>5.4937555014634736</v>
      </c>
      <c r="BU12" s="1">
        <f>[1]节奏总纲!BU12</f>
        <v>5.1616447031846953</v>
      </c>
      <c r="BW12" s="1">
        <f>[1]节奏总纲!BW12</f>
        <v>9</v>
      </c>
      <c r="BX12" s="1">
        <f>[1]节奏总纲!BX12</f>
        <v>10.62858551654854</v>
      </c>
      <c r="BY12" s="1">
        <f>[1]节奏总纲!BY12</f>
        <v>10.92759887154785</v>
      </c>
      <c r="BZ12" s="1">
        <f>[1]节奏总纲!BZ12</f>
        <v>11.242219885173299</v>
      </c>
      <c r="CA12" s="1">
        <f>[1]节奏总纲!CA12</f>
        <v>11.610247668732617</v>
      </c>
      <c r="CB12" s="1">
        <f>[1]节奏总纲!CB12</f>
        <v>12.017497952687538</v>
      </c>
      <c r="CC12" s="1">
        <f>[1]节奏总纲!CC12</f>
        <v>12.017497952687538</v>
      </c>
      <c r="CE12" s="1">
        <f>[1]节奏总纲!CE12</f>
        <v>43</v>
      </c>
      <c r="CF12" s="1">
        <f>[1]节奏总纲!CF12</f>
        <v>30</v>
      </c>
    </row>
    <row r="13" spans="2:84" x14ac:dyDescent="0.15">
      <c r="B13" s="1">
        <f>[1]节奏总纲!B13</f>
        <v>60</v>
      </c>
      <c r="C13" s="1">
        <f>[1]节奏总纲!C13</f>
        <v>63</v>
      </c>
      <c r="D13" s="1">
        <f>[1]节奏总纲!D13</f>
        <v>32</v>
      </c>
      <c r="F13" s="1">
        <f>[1]节奏总纲!F13</f>
        <v>11</v>
      </c>
      <c r="G13" s="1">
        <f>[1]节奏总纲!G13</f>
        <v>1.1435469250725863</v>
      </c>
      <c r="I13" s="1">
        <f>[1]节奏总纲!I13</f>
        <v>11</v>
      </c>
      <c r="J13" s="1">
        <f>[1]节奏总纲!J13</f>
        <v>0.93464628919691628</v>
      </c>
      <c r="K13" s="13">
        <f>[1]节奏总纲!K13</f>
        <v>0.52</v>
      </c>
      <c r="N13" s="1">
        <f>[1]节奏总纲!N13</f>
        <v>20</v>
      </c>
      <c r="O13" s="1">
        <f>[1]节奏总纲!O13</f>
        <v>10</v>
      </c>
      <c r="P13" s="1">
        <f>[1]节奏总纲!P13</f>
        <v>1</v>
      </c>
      <c r="Q13" s="1">
        <f>[1]节奏总纲!Q13</f>
        <v>0.8548</v>
      </c>
      <c r="R13" s="1">
        <f>[1]节奏总纲!R13</f>
        <v>0.6895</v>
      </c>
      <c r="S13" s="1">
        <f>[1]节奏总纲!S13</f>
        <v>0.49980000000000002</v>
      </c>
      <c r="T13" s="1">
        <f>[1]节奏总纲!T13</f>
        <v>0.2732</v>
      </c>
      <c r="V13" s="1">
        <f>[1]节奏总纲!V13</f>
        <v>10</v>
      </c>
      <c r="W13" s="1">
        <f>[1]节奏总纲!W13</f>
        <v>0.13393401692638518</v>
      </c>
      <c r="X13" s="1">
        <f>[1]节奏总纲!X13</f>
        <v>0.11777784840435379</v>
      </c>
      <c r="Y13" s="1">
        <f>[1]节奏总纲!Y13</f>
        <v>9.6677834586110678E-2</v>
      </c>
      <c r="Z13" s="1">
        <f>[1]节奏总纲!Z13</f>
        <v>7.2136617558249017E-2</v>
      </c>
      <c r="AA13" s="1">
        <f>[1]节奏总纲!AA13</f>
        <v>4.1267529732885971E-2</v>
      </c>
      <c r="AC13" s="1">
        <f>[1]节奏总纲!AC13</f>
        <v>10</v>
      </c>
      <c r="AD13" s="1">
        <f>[1]节奏总纲!AD13</f>
        <v>34.585942742481357</v>
      </c>
      <c r="AE13" s="1">
        <f>[1]节奏总纲!AE13</f>
        <v>36.36169634498642</v>
      </c>
      <c r="AF13" s="1">
        <f>[1]节奏总纲!AF13</f>
        <v>38.977035507933373</v>
      </c>
      <c r="AG13" s="1">
        <f>[1]节奏总纲!AG13</f>
        <v>42.970748198558951</v>
      </c>
      <c r="AH13" s="1">
        <f>[1]节奏总纲!AH13</f>
        <v>51.212821897464167</v>
      </c>
      <c r="AL13" s="1">
        <f>[1]节奏总纲!AL13</f>
        <v>10</v>
      </c>
      <c r="AM13" s="1">
        <f>[1]节奏总纲!AM13</f>
        <v>0.75</v>
      </c>
      <c r="AN13" s="1">
        <f>[1]节奏总纲!AN13</f>
        <v>0.60000000000000009</v>
      </c>
      <c r="AO13" s="1">
        <f>[1]节奏总纲!AO13</f>
        <v>0.44999999999999996</v>
      </c>
      <c r="AP13" s="1">
        <f>[1]节奏总纲!AP13</f>
        <v>0.30000000000000004</v>
      </c>
      <c r="AQ13" s="1">
        <f>[1]节奏总纲!AQ13</f>
        <v>0.15000000000000002</v>
      </c>
      <c r="AS13" s="1">
        <f>[1]节奏总纲!AS13</f>
        <v>10</v>
      </c>
      <c r="AT13" s="1">
        <f>[1]节奏总纲!AT13</f>
        <v>0.17909348176756579</v>
      </c>
      <c r="AU13" s="1">
        <f>[1]节奏总纲!AU13</f>
        <v>0.1432747854140527</v>
      </c>
      <c r="AV13" s="1">
        <f>[1]节奏总纲!AV13</f>
        <v>0.10745608906053944</v>
      </c>
      <c r="AW13" s="1">
        <f>[1]节奏总纲!AW13</f>
        <v>7.1637392707026348E-2</v>
      </c>
      <c r="AX13" s="1">
        <f>[1]节奏总纲!AX13</f>
        <v>3.5818696353513174E-2</v>
      </c>
      <c r="AY13" s="1"/>
      <c r="AZ13" s="1">
        <f>[1]节奏总纲!AZ13</f>
        <v>10</v>
      </c>
      <c r="BA13" s="1">
        <f>[1]节奏总纲!BA13</f>
        <v>23.710496742673982</v>
      </c>
      <c r="BB13" s="1">
        <f>[1]节奏总纲!BB13</f>
        <v>25.044229735272328</v>
      </c>
      <c r="BC13" s="1">
        <f>[1]节奏总纲!BC13</f>
        <v>26.755953543357073</v>
      </c>
      <c r="BD13" s="1">
        <f>[1]节奏总纲!BD13</f>
        <v>29.216428548527322</v>
      </c>
      <c r="BE13" s="1">
        <f>[1]节奏总纲!BE13</f>
        <v>33.487933395889513</v>
      </c>
      <c r="BI13" s="1">
        <f>[1]节奏总纲!BI13</f>
        <v>10</v>
      </c>
      <c r="BJ13" s="1">
        <f>[1]节奏总纲!BJ13</f>
        <v>1.1666666666666672</v>
      </c>
      <c r="BK13" s="1">
        <f>[1]节奏总纲!BK13</f>
        <v>1.1900000000000006</v>
      </c>
      <c r="BL13" s="1">
        <f>[1]节奏总纲!BL13</f>
        <v>1.2366666666666672</v>
      </c>
      <c r="BM13" s="1">
        <f>[1]节奏总纲!BM13</f>
        <v>1.3300000000000005</v>
      </c>
      <c r="BN13" s="1">
        <f>[1]节奏总纲!BN13</f>
        <v>1.633333333333334</v>
      </c>
      <c r="BP13" s="1">
        <f>[1]节奏总纲!BP13</f>
        <v>10</v>
      </c>
      <c r="BQ13" s="1">
        <f>[1]节奏总纲!BQ13</f>
        <v>8.071211008105136</v>
      </c>
      <c r="BR13" s="1">
        <f>[1]节奏总纲!BR13</f>
        <v>7.6806609280366285</v>
      </c>
      <c r="BS13" s="1">
        <f>[1]节奏总纲!BS13</f>
        <v>7.2577959560771719</v>
      </c>
      <c r="BT13" s="1">
        <f>[1]节奏总纲!BT13</f>
        <v>6.8275081581253696</v>
      </c>
      <c r="BU13" s="1">
        <f>[1]节奏总纲!BU13</f>
        <v>6.4063898414553373</v>
      </c>
      <c r="BW13" s="1">
        <f>[1]节奏总纲!BW13</f>
        <v>10</v>
      </c>
      <c r="BX13" s="1">
        <f>[1]节奏总纲!BX13</f>
        <v>11.296493250964016</v>
      </c>
      <c r="BY13" s="1">
        <f>[1]节奏总纲!BY13</f>
        <v>11.607260419981094</v>
      </c>
      <c r="BZ13" s="1">
        <f>[1]节奏总纲!BZ13</f>
        <v>11.973224677412396</v>
      </c>
      <c r="CA13" s="1">
        <f>[1]节奏总纲!CA13</f>
        <v>12.359692277800681</v>
      </c>
      <c r="CB13" s="1">
        <f>[1]节奏总纲!CB13</f>
        <v>12.803444306803474</v>
      </c>
      <c r="CC13" s="1">
        <f>[1]节奏总纲!CC13</f>
        <v>12.803444306803474</v>
      </c>
      <c r="CE13" s="1">
        <f>[1]节奏总纲!CE13</f>
        <v>48</v>
      </c>
      <c r="CF13" s="1">
        <f>[1]节奏总纲!CF13</f>
        <v>33</v>
      </c>
    </row>
    <row r="14" spans="2:84" x14ac:dyDescent="0.15">
      <c r="B14" s="1">
        <f>[1]节奏总纲!B14</f>
        <v>70</v>
      </c>
      <c r="C14" s="1">
        <f>[1]节奏总纲!C14</f>
        <v>127</v>
      </c>
      <c r="D14" s="1">
        <f>[1]节奏总纲!D14</f>
        <v>64</v>
      </c>
      <c r="F14" s="1">
        <f>[1]节奏总纲!F14</f>
        <v>12</v>
      </c>
      <c r="G14" s="1">
        <f>[1]节奏总纲!G14</f>
        <v>1.2973967099940702</v>
      </c>
      <c r="I14" s="1">
        <f>[1]节奏总纲!I14</f>
        <v>12</v>
      </c>
      <c r="J14" s="1">
        <f>[1]节奏总纲!J14</f>
        <v>1.1550685436347259</v>
      </c>
      <c r="K14" s="13">
        <f>[1]节奏总纲!K14</f>
        <v>0.54</v>
      </c>
      <c r="N14" s="1">
        <f>[1]节奏总纲!N14</f>
        <v>21</v>
      </c>
      <c r="O14" s="1">
        <f>[1]节奏总纲!O14</f>
        <v>11</v>
      </c>
      <c r="P14" s="1">
        <f>[1]节奏总纲!P14</f>
        <v>1.1435469250725863</v>
      </c>
      <c r="Q14" s="1">
        <f>[1]节奏总纲!Q14</f>
        <v>0.98036277886472811</v>
      </c>
      <c r="R14" s="1">
        <f>[1]节奏总纲!R14</f>
        <v>0.79453640354043287</v>
      </c>
      <c r="S14" s="1">
        <f>[1]节奏总纲!S14</f>
        <v>0.57577587677404707</v>
      </c>
      <c r="T14" s="1">
        <f>[1]节奏总纲!T14</f>
        <v>0.31767733578516444</v>
      </c>
      <c r="V14" s="1">
        <f>[1]节奏总纲!V14</f>
        <v>11</v>
      </c>
      <c r="W14" s="1">
        <f>[1]节奏总纲!W14</f>
        <v>0.14354692507258626</v>
      </c>
      <c r="X14" s="1">
        <f>[1]节奏总纲!X14</f>
        <v>0.12556277886472811</v>
      </c>
      <c r="Y14" s="1">
        <f>[1]节奏总纲!Y14</f>
        <v>0.10503640354043287</v>
      </c>
      <c r="Z14" s="1">
        <f>[1]节奏总纲!Z14</f>
        <v>7.5975876774047046E-2</v>
      </c>
      <c r="AA14" s="1">
        <f>[1]节奏总纲!AA14</f>
        <v>4.447733578516444E-2</v>
      </c>
      <c r="AC14" s="1">
        <f>[1]节奏总纲!AC14</f>
        <v>11</v>
      </c>
      <c r="AD14" s="1">
        <f>[1]节奏总纲!AD14</f>
        <v>35.845161563010116</v>
      </c>
      <c r="AE14" s="1">
        <f>[1]节奏总纲!AE14</f>
        <v>37.6388925299823</v>
      </c>
      <c r="AF14" s="1">
        <f>[1]节奏总纲!AF14</f>
        <v>40.259528204263837</v>
      </c>
      <c r="AG14" s="1">
        <f>[1]节奏总纲!AG14</f>
        <v>44.288230531994081</v>
      </c>
      <c r="AH14" s="1">
        <f>[1]节奏总纲!AH14</f>
        <v>52.559419343629337</v>
      </c>
      <c r="AL14" s="1">
        <f>[1]节奏总纲!AL14</f>
        <v>11</v>
      </c>
      <c r="AM14" s="1">
        <f>[1]节奏总纲!AM14</f>
        <v>0.93464628919691628</v>
      </c>
      <c r="AN14" s="1">
        <f>[1]节奏总纲!AN14</f>
        <v>0.74771703135753309</v>
      </c>
      <c r="AO14" s="1">
        <f>[1]节奏总纲!AO14</f>
        <v>0.56078777351814979</v>
      </c>
      <c r="AP14" s="1">
        <f>[1]节奏总纲!AP14</f>
        <v>0.37385851567876655</v>
      </c>
      <c r="AQ14" s="1">
        <f>[1]节奏总纲!AQ14</f>
        <v>0.18692925783938327</v>
      </c>
      <c r="AS14" s="1">
        <f>[1]节奏总纲!AS14</f>
        <v>11</v>
      </c>
      <c r="AT14" s="1">
        <f>[1]节奏总纲!AT14</f>
        <v>0.18464628919691628</v>
      </c>
      <c r="AU14" s="1">
        <f>[1]节奏总纲!AU14</f>
        <v>0.147717031357533</v>
      </c>
      <c r="AV14" s="1">
        <f>[1]节奏总纲!AV14</f>
        <v>0.11078777351814983</v>
      </c>
      <c r="AW14" s="1">
        <f>[1]节奏总纲!AW14</f>
        <v>7.3858515678766501E-2</v>
      </c>
      <c r="AX14" s="1">
        <f>[1]节奏总纲!AX14</f>
        <v>3.692925783938325E-2</v>
      </c>
      <c r="AY14" s="1"/>
      <c r="AZ14" s="1">
        <f>[1]节奏总纲!AZ14</f>
        <v>11</v>
      </c>
      <c r="BA14" s="1">
        <f>[1]节奏总纲!BA14</f>
        <v>24.272927064840161</v>
      </c>
      <c r="BB14" s="1">
        <f>[1]节奏总纲!BB14</f>
        <v>25.597101426176433</v>
      </c>
      <c r="BC14" s="1">
        <f>[1]节奏总纲!BC14</f>
        <v>27.327481651231444</v>
      </c>
      <c r="BD14" s="1">
        <f>[1]节奏总纲!BD14</f>
        <v>29.80118336305917</v>
      </c>
      <c r="BE14" s="1">
        <f>[1]节奏总纲!BE14</f>
        <v>34.09469189131628</v>
      </c>
      <c r="BI14" s="1">
        <f>[1]节奏总纲!BI14</f>
        <v>11</v>
      </c>
      <c r="BJ14" s="1">
        <f>[1]节奏总纲!BJ14</f>
        <v>1.2000000000000006</v>
      </c>
      <c r="BK14" s="1">
        <f>[1]节奏总纲!BK14</f>
        <v>1.2240000000000006</v>
      </c>
      <c r="BL14" s="1">
        <f>[1]节奏总纲!BL14</f>
        <v>1.2720000000000007</v>
      </c>
      <c r="BM14" s="1">
        <f>[1]节奏总纲!BM14</f>
        <v>1.3680000000000005</v>
      </c>
      <c r="BN14" s="1">
        <f>[1]节奏总纲!BN14</f>
        <v>1.6800000000000008</v>
      </c>
      <c r="BP14" s="1">
        <f>[1]节奏总纲!BP14</f>
        <v>11</v>
      </c>
      <c r="BQ14" s="1">
        <f>[1]节奏总纲!BQ14</f>
        <v>9.5120454660969038</v>
      </c>
      <c r="BR14" s="1">
        <f>[1]节奏总纲!BR14</f>
        <v>9.0908055284315381</v>
      </c>
      <c r="BS14" s="1">
        <f>[1]节奏总纲!BS14</f>
        <v>8.6331257373661145</v>
      </c>
      <c r="BT14" s="1">
        <f>[1]节奏总纲!BT14</f>
        <v>8.1811718053632738</v>
      </c>
      <c r="BU14" s="1">
        <f>[1]节奏总纲!BU14</f>
        <v>7.6920934414083888</v>
      </c>
      <c r="BW14" s="1">
        <f>[1]节奏总纲!BW14</f>
        <v>11</v>
      </c>
      <c r="BX14" s="1">
        <f>[1]节奏总纲!BX14</f>
        <v>11.947729331634296</v>
      </c>
      <c r="BY14" s="1">
        <f>[1]节奏总纲!BY14</f>
        <v>12.268098330256127</v>
      </c>
      <c r="BZ14" s="1">
        <f>[1]节奏总纲!BZ14</f>
        <v>12.644330976574002</v>
      </c>
      <c r="CA14" s="1">
        <f>[1]节奏总纲!CA14</f>
        <v>13.069974059992543</v>
      </c>
      <c r="CB14" s="1">
        <f>[1]节奏总纲!CB14</f>
        <v>13.547253897167892</v>
      </c>
      <c r="CC14" s="1">
        <f>[1]节奏总纲!CC14</f>
        <v>13.547253897167892</v>
      </c>
      <c r="CE14" s="1">
        <f>[1]节奏总纲!CE14</f>
        <v>53</v>
      </c>
      <c r="CF14" s="1">
        <f>[1]节奏总纲!CF14</f>
        <v>35</v>
      </c>
    </row>
    <row r="15" spans="2:84" x14ac:dyDescent="0.15">
      <c r="B15" s="1">
        <f>[1]节奏总纲!B15</f>
        <v>80</v>
      </c>
      <c r="C15" s="1">
        <f>[1]节奏总纲!C15</f>
        <v>255</v>
      </c>
      <c r="D15" s="1">
        <f>[1]节奏总纲!D15</f>
        <v>128</v>
      </c>
      <c r="F15" s="1">
        <f>[1]节奏总纲!F15</f>
        <v>13</v>
      </c>
      <c r="G15" s="1">
        <f>[1]节奏总纲!G15</f>
        <v>1.4622888266898326</v>
      </c>
      <c r="I15" s="1">
        <f>[1]节奏总纲!I15</f>
        <v>13</v>
      </c>
      <c r="J15" s="1">
        <f>[1]节奏总纲!J15</f>
        <v>1.417602554491646</v>
      </c>
      <c r="K15" s="13">
        <f>[1]节奏总纲!K15</f>
        <v>0.56000000000000005</v>
      </c>
      <c r="N15" s="1">
        <f>[1]节奏总纲!N15</f>
        <v>22</v>
      </c>
      <c r="O15" s="1">
        <f>[1]节奏总纲!O15</f>
        <v>12</v>
      </c>
      <c r="P15" s="1">
        <f>[1]节奏总纲!P15</f>
        <v>1.2973967099940702</v>
      </c>
      <c r="Q15" s="1">
        <f>[1]节奏总纲!Q15</f>
        <v>1.1126474184909145</v>
      </c>
      <c r="R15" s="1">
        <f>[1]节奏总纲!R15</f>
        <v>0.9058423829178599</v>
      </c>
      <c r="S15" s="1">
        <f>[1]节奏总纲!S15</f>
        <v>0.66219128078097333</v>
      </c>
      <c r="T15" s="1">
        <f>[1]节奏总纲!T15</f>
        <v>0.36560639287632896</v>
      </c>
      <c r="V15" s="1">
        <f>[1]节奏总纲!V15</f>
        <v>12</v>
      </c>
      <c r="W15" s="1">
        <f>[1]节奏总纲!W15</f>
        <v>0.15384978492148393</v>
      </c>
      <c r="X15" s="1">
        <f>[1]节奏总纲!X15</f>
        <v>0.13228463962618642</v>
      </c>
      <c r="Y15" s="1">
        <f>[1]节奏总纲!Y15</f>
        <v>0.11130597937742703</v>
      </c>
      <c r="Z15" s="1">
        <f>[1]节奏总纲!Z15</f>
        <v>8.6415404006926266E-2</v>
      </c>
      <c r="AA15" s="1">
        <f>[1]节奏总纲!AA15</f>
        <v>4.7929057091164518E-2</v>
      </c>
      <c r="AC15" s="1">
        <f>[1]节奏总纲!AC15</f>
        <v>12</v>
      </c>
      <c r="AD15" s="1">
        <f>[1]节奏总纲!AD15</f>
        <v>37.004247194324648</v>
      </c>
      <c r="AE15" s="1">
        <f>[1]节奏总纲!AE15</f>
        <v>38.827998824669805</v>
      </c>
      <c r="AF15" s="1">
        <f>[1]节奏总纲!AF15</f>
        <v>41.408320762540754</v>
      </c>
      <c r="AG15" s="1">
        <f>[1]节奏总纲!AG15</f>
        <v>45.500930067545958</v>
      </c>
      <c r="AH15" s="1">
        <f>[1]节奏总纲!AH15</f>
        <v>53.855547243088772</v>
      </c>
      <c r="AL15" s="1">
        <f>[1]节奏总纲!AL15</f>
        <v>12</v>
      </c>
      <c r="AM15" s="1">
        <f>[1]节奏总纲!AM15</f>
        <v>1.1550685436347259</v>
      </c>
      <c r="AN15" s="1">
        <f>[1]节奏总纲!AN15</f>
        <v>0.92405483490778073</v>
      </c>
      <c r="AO15" s="1">
        <f>[1]节奏总纲!AO15</f>
        <v>0.69304112618083547</v>
      </c>
      <c r="AP15" s="1">
        <f>[1]节奏总纲!AP15</f>
        <v>0.46202741745389037</v>
      </c>
      <c r="AQ15" s="1">
        <f>[1]节奏总纲!AQ15</f>
        <v>0.23101370872694518</v>
      </c>
      <c r="AS15" s="1">
        <f>[1]节奏总纲!AS15</f>
        <v>12</v>
      </c>
      <c r="AT15" s="1">
        <f>[1]节奏总纲!AT15</f>
        <v>0.22042225443780961</v>
      </c>
      <c r="AU15" s="1">
        <f>[1]节奏总纲!AU15</f>
        <v>0.17633780355024764</v>
      </c>
      <c r="AV15" s="1">
        <f>[1]节奏总纲!AV15</f>
        <v>0.13225335266268567</v>
      </c>
      <c r="AW15" s="1">
        <f>[1]节奏总纲!AW15</f>
        <v>8.816890177512382E-2</v>
      </c>
      <c r="AX15" s="1">
        <f>[1]节奏总纲!AX15</f>
        <v>4.408445088756191E-2</v>
      </c>
      <c r="AY15" s="1"/>
      <c r="AZ15" s="1">
        <f>[1]节奏总纲!AZ15</f>
        <v>12</v>
      </c>
      <c r="BA15" s="1">
        <f>[1]节奏总纲!BA15</f>
        <v>24.792264875668618</v>
      </c>
      <c r="BB15" s="1">
        <f>[1]节奏总纲!BB15</f>
        <v>26.127796402772656</v>
      </c>
      <c r="BC15" s="1">
        <f>[1]节奏总纲!BC15</f>
        <v>27.863030247590562</v>
      </c>
      <c r="BD15" s="1">
        <f>[1]节奏总纲!BD15</f>
        <v>30.329493925593439</v>
      </c>
      <c r="BE15" s="1">
        <f>[1]节奏总纲!BE15</f>
        <v>34.627226072894942</v>
      </c>
      <c r="BI15" s="1">
        <f>[1]节奏总纲!BI15</f>
        <v>12</v>
      </c>
      <c r="BJ15" s="1">
        <f>[1]节奏总纲!BJ15</f>
        <v>1.2333333333333341</v>
      </c>
      <c r="BK15" s="1">
        <f>[1]节奏总纲!BK15</f>
        <v>1.2580000000000007</v>
      </c>
      <c r="BL15" s="1">
        <f>[1]节奏总纲!BL15</f>
        <v>1.3073333333333341</v>
      </c>
      <c r="BM15" s="1">
        <f>[1]节奏总纲!BM15</f>
        <v>1.4060000000000008</v>
      </c>
      <c r="BN15" s="1">
        <f>[1]节奏总纲!BN15</f>
        <v>1.7266666666666677</v>
      </c>
      <c r="BP15" s="1">
        <f>[1]节奏总纲!BP15</f>
        <v>12</v>
      </c>
      <c r="BQ15" s="1">
        <f>[1]节奏总纲!BQ15</f>
        <v>11.074888753130331</v>
      </c>
      <c r="BR15" s="1">
        <f>[1]节奏总纲!BR15</f>
        <v>10.551555449265667</v>
      </c>
      <c r="BS15" s="1">
        <f>[1]节奏总纲!BS15</f>
        <v>10.033713322824047</v>
      </c>
      <c r="BT15" s="1">
        <f>[1]节奏总纲!BT15</f>
        <v>9.4763743598650301</v>
      </c>
      <c r="BU15" s="1">
        <f>[1]节奏总纲!BU15</f>
        <v>8.9745731744178503</v>
      </c>
      <c r="BW15" s="1">
        <f>[1]节奏总纲!BW15</f>
        <v>12</v>
      </c>
      <c r="BX15" s="1">
        <f>[1]节奏总纲!BX15</f>
        <v>12.542132297048981</v>
      </c>
      <c r="BY15" s="1">
        <f>[1]节奏总纲!BY15</f>
        <v>12.897943579612605</v>
      </c>
      <c r="BZ15" s="1">
        <f>[1]节奏总纲!BZ15</f>
        <v>13.295232951964469</v>
      </c>
      <c r="CA15" s="1">
        <f>[1]节奏总纲!CA15</f>
        <v>13.76223932139796</v>
      </c>
      <c r="CB15" s="1">
        <f>[1]节奏总纲!CB15</f>
        <v>14.265591764569512</v>
      </c>
      <c r="CC15" s="1">
        <f>[1]节奏总纲!CC15</f>
        <v>14.265591764569512</v>
      </c>
      <c r="CE15" s="1">
        <f>[1]节奏总纲!CE15</f>
        <v>58</v>
      </c>
      <c r="CF15" s="1">
        <f>[1]节奏总纲!CF15</f>
        <v>37</v>
      </c>
    </row>
    <row r="16" spans="2:84" x14ac:dyDescent="0.15">
      <c r="B16" s="1">
        <f>[1]节奏总纲!B16</f>
        <v>90</v>
      </c>
      <c r="C16" s="1">
        <f>[1]节奏总纲!C16</f>
        <v>511</v>
      </c>
      <c r="D16" s="1">
        <f>[1]节奏总纲!D16</f>
        <v>256</v>
      </c>
      <c r="F16" s="1">
        <f>[1]节奏总纲!F16</f>
        <v>14</v>
      </c>
      <c r="G16" s="1">
        <f>[1]节奏总纲!G16</f>
        <v>1.6390158215457884</v>
      </c>
      <c r="I16" s="1">
        <f>[1]节奏总纲!I16</f>
        <v>14</v>
      </c>
      <c r="J16" s="1">
        <f>[1]节奏总纲!J16</f>
        <v>1.7296773068470075</v>
      </c>
      <c r="K16" s="13">
        <f>[1]节奏总纲!K16</f>
        <v>0.57999999999999996</v>
      </c>
      <c r="N16" s="1">
        <f>[1]节奏总纲!N16</f>
        <v>23</v>
      </c>
      <c r="O16" s="1">
        <f>[1]节奏总纲!O16</f>
        <v>13</v>
      </c>
      <c r="P16" s="1">
        <f>[1]节奏总纲!P16</f>
        <v>1.4622888266898326</v>
      </c>
      <c r="Q16" s="1">
        <f>[1]节奏总纲!Q16</f>
        <v>1.2628326307293396</v>
      </c>
      <c r="R16" s="1">
        <f>[1]节奏总纲!R16</f>
        <v>1.0294513339896421</v>
      </c>
      <c r="S16" s="1">
        <f>[1]节奏总纲!S16</f>
        <v>0.75556463675063656</v>
      </c>
      <c r="T16" s="1">
        <f>[1]节奏总纲!T16</f>
        <v>0.41865329108129906</v>
      </c>
      <c r="V16" s="1">
        <f>[1]节奏总纲!V16</f>
        <v>13</v>
      </c>
      <c r="W16" s="1">
        <f>[1]节奏总纲!W16</f>
        <v>0.16489211669576243</v>
      </c>
      <c r="X16" s="1">
        <f>[1]节奏总纲!X16</f>
        <v>0.15018521223842507</v>
      </c>
      <c r="Y16" s="1">
        <f>[1]节奏总纲!Y16</f>
        <v>0.12360895107178216</v>
      </c>
      <c r="Z16" s="1">
        <f>[1]节奏总纲!Z16</f>
        <v>9.337335596966323E-2</v>
      </c>
      <c r="AA16" s="1">
        <f>[1]节奏总纲!AA16</f>
        <v>5.3046898204970105E-2</v>
      </c>
      <c r="AC16" s="1">
        <f>[1]节奏总纲!AC16</f>
        <v>13</v>
      </c>
      <c r="AD16" s="1">
        <f>[1]节奏总纲!AD16</f>
        <v>38.071211008105138</v>
      </c>
      <c r="AE16" s="1">
        <f>[1]节奏总纲!AE16</f>
        <v>39.935302111946527</v>
      </c>
      <c r="AF16" s="1">
        <f>[1]节奏总纲!AF16</f>
        <v>42.470214785133983</v>
      </c>
      <c r="AG16" s="1">
        <f>[1]节奏总纲!AG16</f>
        <v>46.631096344914496</v>
      </c>
      <c r="AH16" s="1">
        <f>[1]节奏总纲!AH16</f>
        <v>55.062101953238496</v>
      </c>
      <c r="AL16" s="1">
        <f>[1]节奏总纲!AL16</f>
        <v>13</v>
      </c>
      <c r="AM16" s="1">
        <f>[1]节奏总纲!AM16</f>
        <v>1.417602554491646</v>
      </c>
      <c r="AN16" s="1">
        <f>[1]节奏总纲!AN16</f>
        <v>1.1340820435933168</v>
      </c>
      <c r="AO16" s="1">
        <f>[1]节奏总纲!AO16</f>
        <v>0.85056153269498758</v>
      </c>
      <c r="AP16" s="1">
        <f>[1]节奏总纲!AP16</f>
        <v>0.56704102179665838</v>
      </c>
      <c r="AQ16" s="1">
        <f>[1]节奏总纲!AQ16</f>
        <v>0.28352051089832919</v>
      </c>
      <c r="AS16" s="1">
        <f>[1]节奏总纲!AS16</f>
        <v>13</v>
      </c>
      <c r="AT16" s="1">
        <f>[1]节奏总纲!AT16</f>
        <v>0.26253401085692007</v>
      </c>
      <c r="AU16" s="1">
        <f>[1]节奏总纲!AU16</f>
        <v>0.21002720868553604</v>
      </c>
      <c r="AV16" s="1">
        <f>[1]节奏总纲!AV16</f>
        <v>0.15752040651415211</v>
      </c>
      <c r="AW16" s="1">
        <f>[1]节奏总纲!AW16</f>
        <v>0.10501360434276802</v>
      </c>
      <c r="AX16" s="1">
        <f>[1]节奏总纲!AX16</f>
        <v>5.2506802171384009E-2</v>
      </c>
      <c r="AY16" s="1"/>
      <c r="AZ16" s="1">
        <f>[1]节奏总纲!AZ16</f>
        <v>13</v>
      </c>
      <c r="BA16" s="1">
        <f>[1]节奏总纲!BA16</f>
        <v>25.265378411633971</v>
      </c>
      <c r="BB16" s="1">
        <f>[1]节奏总纲!BB16</f>
        <v>26.598914258210968</v>
      </c>
      <c r="BC16" s="1">
        <f>[1]节奏总纲!BC16</f>
        <v>28.339982398803929</v>
      </c>
      <c r="BD16" s="1">
        <f>[1]节奏总纲!BD16</f>
        <v>30.828727146189561</v>
      </c>
      <c r="BE16" s="1">
        <f>[1]节奏总纲!BE16</f>
        <v>35.146386283795508</v>
      </c>
      <c r="BI16" s="1">
        <f>[1]节奏总纲!BI16</f>
        <v>13</v>
      </c>
      <c r="BJ16" s="1">
        <f>[1]节奏总纲!BJ16</f>
        <v>1.2666666666666675</v>
      </c>
      <c r="BK16" s="1">
        <f>[1]节奏总纲!BK16</f>
        <v>1.2920000000000009</v>
      </c>
      <c r="BL16" s="1">
        <f>[1]节奏总纲!BL16</f>
        <v>1.3426666666666676</v>
      </c>
      <c r="BM16" s="1">
        <f>[1]节奏总纲!BM16</f>
        <v>1.4440000000000008</v>
      </c>
      <c r="BN16" s="1">
        <f>[1]节奏总纲!BN16</f>
        <v>1.7733333333333343</v>
      </c>
      <c r="BP16" s="1">
        <f>[1]节奏总纲!BP16</f>
        <v>13</v>
      </c>
      <c r="BQ16" s="1">
        <f>[1]节奏总纲!BQ16</f>
        <v>12.728996915718925</v>
      </c>
      <c r="BR16" s="1">
        <f>[1]节奏总纲!BR16</f>
        <v>12.142721275836225</v>
      </c>
      <c r="BS16" s="1">
        <f>[1]节奏总纲!BS16</f>
        <v>11.503343391504416</v>
      </c>
      <c r="BT16" s="1">
        <f>[1]节奏总纲!BT16</f>
        <v>10.885031205321049</v>
      </c>
      <c r="BU16" s="1">
        <f>[1]节奏总纲!BU16</f>
        <v>10.232039772979649</v>
      </c>
      <c r="BW16" s="1">
        <f>[1]节奏总纲!BW16</f>
        <v>13</v>
      </c>
      <c r="BX16" s="1">
        <f>[1]节奏总纲!BX16</f>
        <v>13.143190924164548</v>
      </c>
      <c r="BY16" s="1">
        <f>[1]节奏总纲!BY16</f>
        <v>13.515704114816591</v>
      </c>
      <c r="BZ16" s="1">
        <f>[1]节奏总纲!BZ16</f>
        <v>13.955379012797932</v>
      </c>
      <c r="CA16" s="1">
        <f>[1]节奏总纲!CA16</f>
        <v>14.429987921274376</v>
      </c>
      <c r="CB16" s="1">
        <f>[1]节奏总纲!CB16</f>
        <v>14.981817088938907</v>
      </c>
      <c r="CC16" s="1">
        <f>[1]节奏总纲!CC16</f>
        <v>14.981817088938907</v>
      </c>
      <c r="CE16" s="1">
        <f>[1]节奏总纲!CE16</f>
        <v>63</v>
      </c>
      <c r="CF16" s="1">
        <f>[1]节奏总纲!CF16</f>
        <v>39</v>
      </c>
    </row>
    <row r="17" spans="2:84" x14ac:dyDescent="0.15">
      <c r="B17" s="1">
        <f>[1]节奏总纲!B17</f>
        <v>100</v>
      </c>
      <c r="C17" s="1">
        <f>[1]节奏总纲!C17</f>
        <v>1023</v>
      </c>
      <c r="D17" s="1">
        <f>[1]节奏总纲!D17</f>
        <v>512</v>
      </c>
      <c r="F17" s="1">
        <f>[1]节奏总纲!F17</f>
        <v>15</v>
      </c>
      <c r="G17" s="1">
        <f>[1]节奏总纲!G17</f>
        <v>1.8284271247461898</v>
      </c>
      <c r="I17" s="1">
        <f>[1]节奏总纲!I17</f>
        <v>15</v>
      </c>
      <c r="J17" s="1">
        <f>[1]节奏总纲!J17</f>
        <v>2.1</v>
      </c>
      <c r="K17" s="13">
        <f>[1]节奏总纲!K17</f>
        <v>0.6</v>
      </c>
      <c r="N17" s="1">
        <f>[1]节奏总纲!N17</f>
        <v>24</v>
      </c>
      <c r="O17" s="1">
        <f>[1]节奏总纲!O17</f>
        <v>14</v>
      </c>
      <c r="P17" s="1">
        <f>[1]节奏总纲!P17</f>
        <v>1.6390158215457884</v>
      </c>
      <c r="Q17" s="1">
        <f>[1]节奏总纲!Q17</f>
        <v>1.4136511460832426</v>
      </c>
      <c r="R17" s="1">
        <f>[1]节奏总纲!R17</f>
        <v>1.1545227446968533</v>
      </c>
      <c r="S17" s="1">
        <f>[1]节奏总纲!S17</f>
        <v>0.84605996708193598</v>
      </c>
      <c r="T17" s="1">
        <f>[1]节奏总纲!T17</f>
        <v>0.46810291863347719</v>
      </c>
      <c r="V17" s="1">
        <f>[1]节奏总纲!V17</f>
        <v>14</v>
      </c>
      <c r="W17" s="1">
        <f>[1]节奏总纲!W17</f>
        <v>0.17672699485595578</v>
      </c>
      <c r="X17" s="1">
        <f>[1]节奏总纲!X17</f>
        <v>0.150818515353903</v>
      </c>
      <c r="Y17" s="1">
        <f>[1]节奏总纲!Y17</f>
        <v>0.12507141070721128</v>
      </c>
      <c r="Z17" s="1">
        <f>[1]节奏总纲!Z17</f>
        <v>9.0495330331299417E-2</v>
      </c>
      <c r="AA17" s="1">
        <f>[1]节奏总纲!AA17</f>
        <v>4.9449627552178133E-2</v>
      </c>
      <c r="AC17" s="1">
        <f>[1]节奏总纲!AC17</f>
        <v>14</v>
      </c>
      <c r="AD17" s="1">
        <f>[1]节奏总纲!AD17</f>
        <v>39.066704614192943</v>
      </c>
      <c r="AE17" s="1">
        <f>[1]节奏总纲!AE17</f>
        <v>40.935169244165145</v>
      </c>
      <c r="AF17" s="1">
        <f>[1]节奏总纲!AF17</f>
        <v>43.484929789964411</v>
      </c>
      <c r="AG17" s="1">
        <f>[1]节奏总纲!AG17</f>
        <v>47.711408234944486</v>
      </c>
      <c r="AH17" s="1">
        <f>[1]节奏总纲!AH17</f>
        <v>56.165983112651688</v>
      </c>
      <c r="AL17" s="1">
        <f>[1]节奏总纲!AL17</f>
        <v>14</v>
      </c>
      <c r="AM17" s="1">
        <f>[1]节奏总纲!AM17</f>
        <v>1.7296773068470075</v>
      </c>
      <c r="AN17" s="1">
        <f>[1]节奏总纲!AN17</f>
        <v>1.383741845477606</v>
      </c>
      <c r="AO17" s="1">
        <f>[1]节奏总纲!AO17</f>
        <v>1.0378063841082044</v>
      </c>
      <c r="AP17" s="1">
        <f>[1]节奏总纲!AP17</f>
        <v>0.69187092273880302</v>
      </c>
      <c r="AQ17" s="1">
        <f>[1]节奏总纲!AQ17</f>
        <v>0.34593546136940151</v>
      </c>
      <c r="AS17" s="1">
        <f>[1]节奏总纲!AS17</f>
        <v>14</v>
      </c>
      <c r="AT17" s="1">
        <f>[1]节奏总纲!AT17</f>
        <v>0.31207475235536153</v>
      </c>
      <c r="AU17" s="1">
        <f>[1]节奏总纲!AU17</f>
        <v>0.24965980188428927</v>
      </c>
      <c r="AV17" s="1">
        <f>[1]节奏总纲!AV17</f>
        <v>0.18724485141321678</v>
      </c>
      <c r="AW17" s="1">
        <f>[1]节奏总纲!AW17</f>
        <v>0.12482990094214463</v>
      </c>
      <c r="AX17" s="1">
        <f>[1]节奏总纲!AX17</f>
        <v>6.2414950471072317E-2</v>
      </c>
      <c r="AY17" s="1"/>
      <c r="AZ17" s="1">
        <f>[1]节奏总纲!AZ17</f>
        <v>14</v>
      </c>
      <c r="BA17" s="1">
        <f>[1]节奏总纲!BA17</f>
        <v>25.707675764357255</v>
      </c>
      <c r="BB17" s="1">
        <f>[1]节奏总纲!BB17</f>
        <v>27.059707353051884</v>
      </c>
      <c r="BC17" s="1">
        <f>[1]节奏总纲!BC17</f>
        <v>28.796798156163181</v>
      </c>
      <c r="BD17" s="1">
        <f>[1]节奏总纲!BD17</f>
        <v>31.280110398778046</v>
      </c>
      <c r="BE17" s="1">
        <f>[1]节奏总纲!BE17</f>
        <v>35.634340563113874</v>
      </c>
      <c r="BI17" s="1">
        <f>[1]节奏总纲!BI17</f>
        <v>14</v>
      </c>
      <c r="BJ17" s="1">
        <f>[1]节奏总纲!BJ17</f>
        <v>1.3000000000000009</v>
      </c>
      <c r="BK17" s="1">
        <f>[1]节奏总纲!BK17</f>
        <v>1.326000000000001</v>
      </c>
      <c r="BL17" s="1">
        <f>[1]节奏总纲!BL17</f>
        <v>1.378000000000001</v>
      </c>
      <c r="BM17" s="1">
        <f>[1]节奏总纲!BM17</f>
        <v>1.4820000000000009</v>
      </c>
      <c r="BN17" s="1">
        <f>[1]节奏总纲!BN17</f>
        <v>1.8200000000000012</v>
      </c>
      <c r="BP17" s="1">
        <f>[1]节奏总纲!BP17</f>
        <v>14</v>
      </c>
      <c r="BQ17" s="1">
        <f>[1]节奏总纲!BQ17</f>
        <v>14.478648759442287</v>
      </c>
      <c r="BR17" s="1">
        <f>[1]节奏总纲!BR17</f>
        <v>13.801686811891411</v>
      </c>
      <c r="BS17" s="1">
        <f>[1]节奏总纲!BS17</f>
        <v>13.066802237788149</v>
      </c>
      <c r="BT17" s="1">
        <f>[1]节奏总纲!BT17</f>
        <v>12.317859861087916</v>
      </c>
      <c r="BU17" s="1">
        <f>[1]节奏总纲!BU17</f>
        <v>11.589582338965862</v>
      </c>
      <c r="BW17" s="1">
        <f>[1]节奏总纲!BW17</f>
        <v>14</v>
      </c>
      <c r="BX17" s="1">
        <f>[1]节奏总纲!BX17</f>
        <v>13.709487920387797</v>
      </c>
      <c r="BY17" s="1">
        <f>[1]节奏总纲!BY17</f>
        <v>14.100956885571147</v>
      </c>
      <c r="BZ17" s="1">
        <f>[1]节奏总纲!BZ17</f>
        <v>14.525291242595772</v>
      </c>
      <c r="CA17" s="1">
        <f>[1]节奏总纲!CA17</f>
        <v>15.034528001908788</v>
      </c>
      <c r="CB17" s="1">
        <f>[1]节奏总纲!CB17</f>
        <v>15.548154022600523</v>
      </c>
      <c r="CC17" s="1">
        <f>[1]节奏总纲!CC17</f>
        <v>15.548154022600523</v>
      </c>
      <c r="CE17" s="1">
        <f>[1]节奏总纲!CE17</f>
        <v>68</v>
      </c>
      <c r="CF17" s="1">
        <f>[1]节奏总纲!CF17</f>
        <v>42</v>
      </c>
    </row>
    <row r="18" spans="2:84" x14ac:dyDescent="0.15">
      <c r="F18" s="1">
        <f>[1]节奏总纲!F18</f>
        <v>16</v>
      </c>
      <c r="G18" s="1">
        <f>[1]节奏总纲!G18</f>
        <v>2.031433133020796</v>
      </c>
      <c r="I18" s="1">
        <f>[1]节奏总纲!I18</f>
        <v>16</v>
      </c>
      <c r="J18" s="1">
        <f>[1]节奏总纲!J18</f>
        <v>2.5387719203926467</v>
      </c>
      <c r="K18" s="13">
        <f>[1]节奏总纲!K18</f>
        <v>0.62</v>
      </c>
      <c r="N18" s="1">
        <f>[1]节奏总纲!N18</f>
        <v>25</v>
      </c>
      <c r="O18" s="1">
        <f>[1]节奏总纲!O18</f>
        <v>15</v>
      </c>
      <c r="P18" s="1">
        <f>[1]节奏总纲!P18</f>
        <v>1.8284271247461898</v>
      </c>
      <c r="Q18" s="1">
        <f>[1]节奏总纲!Q18</f>
        <v>1.5793953503557587</v>
      </c>
      <c r="R18" s="1">
        <f>[1]节奏总纲!R18</f>
        <v>1.2928808199080308</v>
      </c>
      <c r="S18" s="1">
        <f>[1]节奏总纲!S18</f>
        <v>0.94895367774327255</v>
      </c>
      <c r="T18" s="1">
        <f>[1]节奏总纲!T18</f>
        <v>0.5271355400643265</v>
      </c>
      <c r="V18" s="1">
        <f>[1]节奏总纲!V18</f>
        <v>15</v>
      </c>
      <c r="W18" s="1">
        <f>[1]节奏总纲!W18</f>
        <v>0.18941130320040145</v>
      </c>
      <c r="X18" s="1">
        <f>[1]节奏总纲!X18</f>
        <v>0.16574420427251613</v>
      </c>
      <c r="Y18" s="1">
        <f>[1]节奏总纲!Y18</f>
        <v>0.13835807521117749</v>
      </c>
      <c r="Z18" s="1">
        <f>[1]节奏总纲!Z18</f>
        <v>0.10289371066133657</v>
      </c>
      <c r="AA18" s="1">
        <f>[1]节奏总纲!AA18</f>
        <v>5.9032621430849308E-2</v>
      </c>
      <c r="AC18" s="1">
        <f>[1]节奏总纲!AC18</f>
        <v>15</v>
      </c>
      <c r="AD18" s="1">
        <f>[1]节奏总纲!AD18</f>
        <v>40</v>
      </c>
      <c r="AE18" s="1">
        <f>[1]节奏总纲!AE18</f>
        <v>41.83669503626701</v>
      </c>
      <c r="AF18" s="1">
        <f>[1]节奏总纲!AF18</f>
        <v>44.442238853326032</v>
      </c>
      <c r="AG18" s="1">
        <f>[1]节奏总纲!AG18</f>
        <v>48.731413734867289</v>
      </c>
      <c r="AH18" s="1">
        <f>[1]节奏总纲!AH18</f>
        <v>57.176846218996921</v>
      </c>
      <c r="AL18" s="1">
        <f>[1]节奏总纲!AL18</f>
        <v>15</v>
      </c>
      <c r="AM18" s="1">
        <f>[1]节奏总纲!AM18</f>
        <v>2.1</v>
      </c>
      <c r="AN18" s="1">
        <f>[1]节奏总纲!AN18</f>
        <v>1.6800000000000002</v>
      </c>
      <c r="AO18" s="1">
        <f>[1]节奏总纲!AO18</f>
        <v>1.26</v>
      </c>
      <c r="AP18" s="1">
        <f>[1]节奏总纲!AP18</f>
        <v>0.84000000000000008</v>
      </c>
      <c r="AQ18" s="1">
        <f>[1]节奏总纲!AQ18</f>
        <v>0.42000000000000004</v>
      </c>
      <c r="AS18" s="1">
        <f>[1]节奏总纲!AS18</f>
        <v>15</v>
      </c>
      <c r="AT18" s="1">
        <f>[1]节奏总纲!AT18</f>
        <v>0.3703226931529926</v>
      </c>
      <c r="AU18" s="1">
        <f>[1]节奏总纲!AU18</f>
        <v>0.29625815452239412</v>
      </c>
      <c r="AV18" s="1">
        <f>[1]节奏总纲!AV18</f>
        <v>0.22219361589179565</v>
      </c>
      <c r="AW18" s="1">
        <f>[1]节奏总纲!AW18</f>
        <v>0.14812907726119706</v>
      </c>
      <c r="AX18" s="1">
        <f>[1]节奏总纲!AX18</f>
        <v>7.4064538630598531E-2</v>
      </c>
      <c r="AY18" s="1"/>
      <c r="AZ18" s="1">
        <f>[1]节奏总纲!AZ18</f>
        <v>15</v>
      </c>
      <c r="BA18" s="1">
        <f>[1]节奏总纲!BA18</f>
        <v>26.127796402772656</v>
      </c>
      <c r="BB18" s="1">
        <f>[1]节奏总纲!BB18</f>
        <v>27.461368800321225</v>
      </c>
      <c r="BC18" s="1">
        <f>[1]节奏总纲!BC18</f>
        <v>29.216428548527322</v>
      </c>
      <c r="BD18" s="1">
        <f>[1]节奏总纲!BD18</f>
        <v>31.706504654507764</v>
      </c>
      <c r="BE18" s="1">
        <f>[1]节奏总纲!BE18</f>
        <v>36.105477566569242</v>
      </c>
      <c r="BI18" s="1">
        <f>[1]节奏总纲!BI18</f>
        <v>15</v>
      </c>
      <c r="BJ18" s="1">
        <f>[1]节奏总纲!BJ18</f>
        <v>1.3333333333333344</v>
      </c>
      <c r="BK18" s="1">
        <f>[1]节奏总纲!BK18</f>
        <v>1.360000000000001</v>
      </c>
      <c r="BL18" s="1">
        <f>[1]节奏总纲!BL18</f>
        <v>1.4133333333333344</v>
      </c>
      <c r="BM18" s="1">
        <f>[1]节奏总纲!BM18</f>
        <v>1.5200000000000011</v>
      </c>
      <c r="BN18" s="1">
        <f>[1]节奏总纲!BN18</f>
        <v>1.866666666666668</v>
      </c>
      <c r="BP18" s="1">
        <f>[1]节奏总纲!BP18</f>
        <v>15</v>
      </c>
      <c r="BQ18" s="1">
        <f>[1]节奏总纲!BQ18</f>
        <v>16.315139190025224</v>
      </c>
      <c r="BR18" s="1">
        <f>[1]节奏总纲!BR18</f>
        <v>15.561358773741674</v>
      </c>
      <c r="BS18" s="1">
        <f>[1]节奏总纲!BS18</f>
        <v>14.762349831349963</v>
      </c>
      <c r="BT18" s="1">
        <f>[1]节奏总纲!BT18</f>
        <v>13.933035582501875</v>
      </c>
      <c r="BU18" s="1">
        <f>[1]节奏总纲!BU18</f>
        <v>13.02723395474071</v>
      </c>
      <c r="BW18" s="1">
        <f>[1]节奏总纲!BW18</f>
        <v>15</v>
      </c>
      <c r="BX18" s="1">
        <f>[1]节奏总纲!BX18</f>
        <v>14.266658834916136</v>
      </c>
      <c r="BY18" s="1">
        <f>[1]节奏总纲!BY18</f>
        <v>14.660415593263824</v>
      </c>
      <c r="BZ18" s="1">
        <f>[1]节奏总纲!BZ18</f>
        <v>15.124897159472612</v>
      </c>
      <c r="CA18" s="1">
        <f>[1]节奏总纲!CA18</f>
        <v>15.620787661421978</v>
      </c>
      <c r="CB18" s="1">
        <f>[1]节奏总纲!CB18</f>
        <v>16.186655799493046</v>
      </c>
      <c r="CC18" s="1">
        <f>[1]节奏总纲!CC18</f>
        <v>16.186655799493046</v>
      </c>
      <c r="CE18" s="1">
        <f>[1]节奏总纲!CE18</f>
        <v>73</v>
      </c>
      <c r="CF18" s="1">
        <f>[1]节奏总纲!CF18</f>
        <v>44</v>
      </c>
    </row>
    <row r="19" spans="2:84" x14ac:dyDescent="0.15">
      <c r="F19" s="1">
        <f>[1]节奏总纲!F19</f>
        <v>17</v>
      </c>
      <c r="G19" s="1">
        <f>[1]节奏总纲!G19</f>
        <v>2.2490095854249419</v>
      </c>
      <c r="I19" s="1">
        <f>[1]节奏总纲!I19</f>
        <v>17</v>
      </c>
      <c r="J19" s="1">
        <f>[1]节奏总纲!J19</f>
        <v>3.0579402515786085</v>
      </c>
      <c r="K19" s="13">
        <f>[1]节奏总纲!K19</f>
        <v>0.64</v>
      </c>
      <c r="N19" s="1">
        <f>[1]节奏总纲!N19</f>
        <v>26</v>
      </c>
      <c r="O19" s="1">
        <f>[1]节奏总纲!O19</f>
        <v>16</v>
      </c>
      <c r="P19" s="1">
        <f>[1]节奏总纲!P19</f>
        <v>2.031433133020796</v>
      </c>
      <c r="Q19" s="1">
        <f>[1]节奏总纲!Q19</f>
        <v>1.7586116632561031</v>
      </c>
      <c r="R19" s="1">
        <f>[1]节奏总纲!R19</f>
        <v>1.4398798046851402</v>
      </c>
      <c r="S19" s="1">
        <f>[1]节奏总纲!S19</f>
        <v>1.0618300986299702</v>
      </c>
      <c r="T19" s="1">
        <f>[1]节奏总纲!T19</f>
        <v>0.59460047803518701</v>
      </c>
      <c r="V19" s="1">
        <f>[1]节奏总纲!V19</f>
        <v>16</v>
      </c>
      <c r="W19" s="1">
        <f>[1]节奏总纲!W19</f>
        <v>0.20300600827460613</v>
      </c>
      <c r="X19" s="1">
        <f>[1]节奏总纲!X19</f>
        <v>0.17921631290034434</v>
      </c>
      <c r="Y19" s="1">
        <f>[1]节奏总纲!Y19</f>
        <v>0.14699898477710938</v>
      </c>
      <c r="Z19" s="1">
        <f>[1]节奏总纲!Z19</f>
        <v>0.11287642088669769</v>
      </c>
      <c r="AA19" s="1">
        <f>[1]节奏总纲!AA19</f>
        <v>6.7464937970860506E-2</v>
      </c>
      <c r="AC19" s="1">
        <f>[1]节奏总纲!AC19</f>
        <v>16</v>
      </c>
      <c r="AD19" s="1">
        <f>[1]节奏总纲!AD19</f>
        <v>40.870795385807064</v>
      </c>
      <c r="AE19" s="1">
        <f>[1]节奏总纲!AE19</f>
        <v>42.707142308553742</v>
      </c>
      <c r="AF19" s="1">
        <f>[1]节奏总纲!AF19</f>
        <v>45.343250058486468</v>
      </c>
      <c r="AG19" s="1">
        <f>[1]节奏总纲!AG19</f>
        <v>49.654306534727205</v>
      </c>
      <c r="AH19" s="1">
        <f>[1]节奏总纲!AH19</f>
        <v>58.12511610143563</v>
      </c>
      <c r="AL19" s="1">
        <f>[1]节奏总纲!AL19</f>
        <v>16</v>
      </c>
      <c r="AM19" s="1">
        <f>[1]节奏总纲!AM19</f>
        <v>2.5387719203926467</v>
      </c>
      <c r="AN19" s="1">
        <f>[1]节奏总纲!AN19</f>
        <v>2.0310175363141174</v>
      </c>
      <c r="AO19" s="1">
        <f>[1]节奏总纲!AO19</f>
        <v>1.5232631522355879</v>
      </c>
      <c r="AP19" s="1">
        <f>[1]节奏总纲!AP19</f>
        <v>1.0155087681570587</v>
      </c>
      <c r="AQ19" s="1">
        <f>[1]节奏总纲!AQ19</f>
        <v>0.50775438407852935</v>
      </c>
      <c r="AS19" s="1">
        <f>[1]节奏总纲!AS19</f>
        <v>16</v>
      </c>
      <c r="AT19" s="1">
        <f>[1]节奏总纲!AT19</f>
        <v>0.43877192039264656</v>
      </c>
      <c r="AU19" s="1">
        <f>[1]节奏总纲!AU19</f>
        <v>0.35101753631411725</v>
      </c>
      <c r="AV19" s="1">
        <f>[1]节奏总纲!AV19</f>
        <v>0.26326315223558794</v>
      </c>
      <c r="AW19" s="1">
        <f>[1]节奏总纲!AW19</f>
        <v>0.17550876815705863</v>
      </c>
      <c r="AX19" s="1">
        <f>[1]节奏总纲!AX19</f>
        <v>8.7754384078529313E-2</v>
      </c>
      <c r="AY19" s="1"/>
      <c r="AZ19" s="1">
        <f>[1]节奏总纲!AZ19</f>
        <v>16</v>
      </c>
      <c r="BA19" s="1">
        <f>[1]节奏总纲!BA19</f>
        <v>26.504690687123308</v>
      </c>
      <c r="BB19" s="1">
        <f>[1]节奏总纲!BB19</f>
        <v>27.863030247590562</v>
      </c>
      <c r="BC19" s="1">
        <f>[1]节奏总纲!BC19</f>
        <v>29.606265091548554</v>
      </c>
      <c r="BD19" s="1">
        <f>[1]节奏总纲!BD19</f>
        <v>32.113552950216736</v>
      </c>
      <c r="BE19" s="1">
        <f>[1]节奏总纲!BE19</f>
        <v>36.526331209747774</v>
      </c>
      <c r="BI19" s="1">
        <f>[1]节奏总纲!BI19</f>
        <v>16</v>
      </c>
      <c r="BJ19" s="1">
        <f>[1]节奏总纲!BJ19</f>
        <v>1.3666666666666678</v>
      </c>
      <c r="BK19" s="1">
        <f>[1]节奏总纲!BK19</f>
        <v>1.3940000000000012</v>
      </c>
      <c r="BL19" s="1">
        <f>[1]节奏总纲!BL19</f>
        <v>1.4486666666666679</v>
      </c>
      <c r="BM19" s="1">
        <f>[1]节奏总纲!BM19</f>
        <v>1.5580000000000012</v>
      </c>
      <c r="BN19" s="1">
        <f>[1]节奏总纲!BN19</f>
        <v>1.9133333333333349</v>
      </c>
      <c r="BP19" s="1">
        <f>[1]节奏总纲!BP19</f>
        <v>16</v>
      </c>
      <c r="BQ19" s="1">
        <f>[1]节奏总纲!BQ19</f>
        <v>18.226342304552581</v>
      </c>
      <c r="BR19" s="1">
        <f>[1]节奏总纲!BR19</f>
        <v>17.420973982667814</v>
      </c>
      <c r="BS19" s="1">
        <f>[1]节奏总纲!BS19</f>
        <v>16.55360159735687</v>
      </c>
      <c r="BT19" s="1">
        <f>[1]节奏总纲!BT19</f>
        <v>15.589627930182091</v>
      </c>
      <c r="BU19" s="1">
        <f>[1]节奏总纲!BU19</f>
        <v>14.671687356650759</v>
      </c>
      <c r="BW19" s="1">
        <f>[1]节奏总纲!BW19</f>
        <v>16</v>
      </c>
      <c r="BX19" s="1">
        <f>[1]节奏总纲!BX19</f>
        <v>14.814845624513547</v>
      </c>
      <c r="BY19" s="1">
        <f>[1]节奏总纲!BY19</f>
        <v>15.223953663630512</v>
      </c>
      <c r="BZ19" s="1">
        <f>[1]节奏总纲!BZ19</f>
        <v>15.68326996451129</v>
      </c>
      <c r="CA19" s="1">
        <f>[1]节奏总纲!CA19</f>
        <v>16.223055450854915</v>
      </c>
      <c r="CB19" s="1">
        <f>[1]节奏总纲!CB19</f>
        <v>16.836396297114952</v>
      </c>
      <c r="CC19" s="1">
        <f>[1]节奏总纲!CC19</f>
        <v>16.836396297114952</v>
      </c>
      <c r="CE19" s="1">
        <f>[1]节奏总纲!CE19</f>
        <v>78</v>
      </c>
      <c r="CF19" s="1">
        <f>[1]节奏总纲!CF19</f>
        <v>46</v>
      </c>
    </row>
    <row r="20" spans="2:84" x14ac:dyDescent="0.15">
      <c r="F20" s="1">
        <f>[1]节奏总纲!F20</f>
        <v>18</v>
      </c>
      <c r="G20" s="1">
        <f>[1]节奏总纲!G20</f>
        <v>2.4822022531844965</v>
      </c>
      <c r="I20" s="1">
        <f>[1]节奏总纲!I20</f>
        <v>18</v>
      </c>
      <c r="J20" s="1">
        <f>[1]节奏总纲!J20</f>
        <v>3.671491735587451</v>
      </c>
      <c r="K20" s="13">
        <f>[1]节奏总纲!K20</f>
        <v>0.66</v>
      </c>
      <c r="N20" s="1">
        <f>[1]节奏总纲!N20</f>
        <v>27</v>
      </c>
      <c r="O20" s="1">
        <f>[1]节奏总纲!O20</f>
        <v>17</v>
      </c>
      <c r="P20" s="1">
        <f>[1]节奏总纲!P20</f>
        <v>2.2490095854249419</v>
      </c>
      <c r="Q20" s="1">
        <f>[1]节奏总纲!Q20</f>
        <v>1.9433691827656923</v>
      </c>
      <c r="R20" s="1">
        <f>[1]节奏总纲!R20</f>
        <v>1.5904995788125189</v>
      </c>
      <c r="S20" s="1">
        <f>[1]节奏总纲!S20</f>
        <v>1.1742079045503622</v>
      </c>
      <c r="T20" s="1">
        <f>[1]节奏总纲!T20</f>
        <v>0.65311238360740309</v>
      </c>
      <c r="V20" s="1">
        <f>[1]节奏总纲!V20</f>
        <v>17</v>
      </c>
      <c r="W20" s="1">
        <f>[1]节奏总纲!W20</f>
        <v>0.21757645240414591</v>
      </c>
      <c r="X20" s="1">
        <f>[1]节奏总纲!X20</f>
        <v>0.18475751950958919</v>
      </c>
      <c r="Y20" s="1">
        <f>[1]节奏总纲!Y20</f>
        <v>0.1506197741273787</v>
      </c>
      <c r="Z20" s="1">
        <f>[1]节奏总纲!Z20</f>
        <v>0.11237780592039193</v>
      </c>
      <c r="AA20" s="1">
        <f>[1]节奏总纲!AA20</f>
        <v>5.8511905572216083E-2</v>
      </c>
      <c r="AC20" s="1">
        <f>[1]节奏总纲!AC20</f>
        <v>17</v>
      </c>
      <c r="AD20" s="1">
        <f>[1]节奏总纲!AD20</f>
        <v>41.691928656135218</v>
      </c>
      <c r="AE20" s="1">
        <f>[1]节奏总纲!AE20</f>
        <v>43.535389560453282</v>
      </c>
      <c r="AF20" s="1">
        <f>[1]节奏总纲!AF20</f>
        <v>46.195785611164197</v>
      </c>
      <c r="AG20" s="1">
        <f>[1]节奏总纲!AG20</f>
        <v>50.510850036206186</v>
      </c>
      <c r="AH20" s="1">
        <f>[1]节奏总纲!AH20</f>
        <v>58.996855914896834</v>
      </c>
      <c r="AL20" s="1">
        <f>[1]节奏总纲!AL20</f>
        <v>17</v>
      </c>
      <c r="AM20" s="1">
        <f>[1]节奏总纲!AM20</f>
        <v>3.0579402515786085</v>
      </c>
      <c r="AN20" s="1">
        <f>[1]节奏总纲!AN20</f>
        <v>2.4463522012628869</v>
      </c>
      <c r="AO20" s="1">
        <f>[1]节奏总纲!AO20</f>
        <v>1.8347641509471651</v>
      </c>
      <c r="AP20" s="1">
        <f>[1]节奏总纲!AP20</f>
        <v>1.2231761006314434</v>
      </c>
      <c r="AQ20" s="1">
        <f>[1]节奏总纲!AQ20</f>
        <v>0.61158805031572172</v>
      </c>
      <c r="AS20" s="1">
        <f>[1]节奏总纲!AS20</f>
        <v>17</v>
      </c>
      <c r="AT20" s="1">
        <f>[1]节奏总纲!AT20</f>
        <v>0.51916833118596184</v>
      </c>
      <c r="AU20" s="1">
        <f>[1]节奏总纲!AU20</f>
        <v>0.41533466494876947</v>
      </c>
      <c r="AV20" s="1">
        <f>[1]节奏总纲!AV20</f>
        <v>0.3115009987115771</v>
      </c>
      <c r="AW20" s="1">
        <f>[1]节奏总纲!AW20</f>
        <v>0.20766733247438474</v>
      </c>
      <c r="AX20" s="1">
        <f>[1]节奏总纲!AX20</f>
        <v>0.10383366623719237</v>
      </c>
      <c r="AY20" s="1"/>
      <c r="AZ20" s="1">
        <f>[1]节奏总纲!AZ20</f>
        <v>17</v>
      </c>
      <c r="BA20" s="1">
        <f>[1]节奏总纲!BA20</f>
        <v>26.881584971473956</v>
      </c>
      <c r="BB20" s="1">
        <f>[1]节奏总纲!BB20</f>
        <v>28.225778459464117</v>
      </c>
      <c r="BC20" s="1">
        <f>[1]节奏总纲!BC20</f>
        <v>29.996101634569786</v>
      </c>
      <c r="BD20" s="1">
        <f>[1]节奏总纲!BD20</f>
        <v>32.477877425165822</v>
      </c>
      <c r="BE20" s="1">
        <f>[1]节奏总纲!BE20</f>
        <v>36.947184852926306</v>
      </c>
      <c r="BI20" s="1">
        <f>[1]节奏总纲!BI20</f>
        <v>17</v>
      </c>
      <c r="BJ20" s="1">
        <f>[1]节奏总纲!BJ20</f>
        <v>1.4000000000000012</v>
      </c>
      <c r="BK20" s="1">
        <f>[1]节奏总纲!BK20</f>
        <v>1.4280000000000013</v>
      </c>
      <c r="BL20" s="1">
        <f>[1]节奏总纲!BL20</f>
        <v>1.4840000000000013</v>
      </c>
      <c r="BM20" s="1">
        <f>[1]节奏总纲!BM20</f>
        <v>1.5960000000000012</v>
      </c>
      <c r="BN20" s="1">
        <f>[1]节奏总纲!BN20</f>
        <v>1.9600000000000015</v>
      </c>
      <c r="BP20" s="1">
        <f>[1]节奏总纲!BP20</f>
        <v>17</v>
      </c>
      <c r="BQ20" s="1">
        <f>[1]节奏总纲!BQ20</f>
        <v>20.20181641490861</v>
      </c>
      <c r="BR20" s="1">
        <f>[1]节奏总纲!BR20</f>
        <v>19.316761289213389</v>
      </c>
      <c r="BS20" s="1">
        <f>[1]节奏总纲!BS20</f>
        <v>18.361080760620879</v>
      </c>
      <c r="BT20" s="1">
        <f>[1]节奏总纲!BT20</f>
        <v>17.369785176246889</v>
      </c>
      <c r="BU20" s="1">
        <f>[1]节奏总纲!BU20</f>
        <v>16.290326765372022</v>
      </c>
      <c r="BW20" s="1">
        <f>[1]节奏总纲!BW20</f>
        <v>17</v>
      </c>
      <c r="BX20" s="1">
        <f>[1]节奏总纲!BX20</f>
        <v>15.339606019664149</v>
      </c>
      <c r="BY20" s="1">
        <f>[1]节奏总纲!BY20</f>
        <v>15.750302066190816</v>
      </c>
      <c r="BZ20" s="1">
        <f>[1]节奏总纲!BZ20</f>
        <v>16.215846584296784</v>
      </c>
      <c r="CA20" s="1">
        <f>[1]节奏总纲!CA20</f>
        <v>16.764198848718195</v>
      </c>
      <c r="CB20" s="1">
        <f>[1]节奏总纲!CB20</f>
        <v>17.338393226762065</v>
      </c>
      <c r="CC20" s="1">
        <f>[1]节奏总纲!CC20</f>
        <v>17.338393226762065</v>
      </c>
      <c r="CE20" s="1">
        <f>[1]节奏总纲!CE20</f>
        <v>83</v>
      </c>
      <c r="CF20" s="1">
        <f>[1]节奏总纲!CF20</f>
        <v>49</v>
      </c>
    </row>
    <row r="21" spans="2:84" x14ac:dyDescent="0.15">
      <c r="F21" s="1">
        <f>[1]节奏总纲!F21</f>
        <v>19</v>
      </c>
      <c r="G21" s="1">
        <f>[1]节奏总纲!G21</f>
        <v>2.7321319661472296</v>
      </c>
      <c r="I21" s="1">
        <f>[1]节奏总纲!I21</f>
        <v>19</v>
      </c>
      <c r="J21" s="1">
        <f>[1]节奏总纲!J21</f>
        <v>4.3957950643309154</v>
      </c>
      <c r="K21" s="13">
        <f>[1]节奏总纲!K21</f>
        <v>0.68</v>
      </c>
      <c r="N21" s="1">
        <f>[1]节奏总纲!N21</f>
        <v>28</v>
      </c>
      <c r="O21" s="1">
        <f>[1]节奏总纲!O21</f>
        <v>18</v>
      </c>
      <c r="P21" s="1">
        <f>[1]节奏总纲!P21</f>
        <v>2.4822022531844965</v>
      </c>
      <c r="Q21" s="1">
        <f>[1]节奏总纲!Q21</f>
        <v>2.1515729130603214</v>
      </c>
      <c r="R21" s="1">
        <f>[1]节奏总纲!R21</f>
        <v>1.7690655458445907</v>
      </c>
      <c r="S21" s="1">
        <f>[1]节奏总纲!S21</f>
        <v>1.3066312660763189</v>
      </c>
      <c r="T21" s="1">
        <f>[1]节奏总纲!T21</f>
        <v>0.72554771860582834</v>
      </c>
      <c r="V21" s="1">
        <f>[1]节奏总纲!V21</f>
        <v>18</v>
      </c>
      <c r="W21" s="1">
        <f>[1]节奏总纲!W21</f>
        <v>0.23319266775955461</v>
      </c>
      <c r="X21" s="1">
        <f>[1]节奏总纲!X21</f>
        <v>0.20820373029462913</v>
      </c>
      <c r="Y21" s="1">
        <f>[1]节奏总纲!Y21</f>
        <v>0.17856596703207184</v>
      </c>
      <c r="Z21" s="1">
        <f>[1]节奏总纲!Z21</f>
        <v>0.13242336152595668</v>
      </c>
      <c r="AA21" s="1">
        <f>[1]节奏总纲!AA21</f>
        <v>7.2435334998425249E-2</v>
      </c>
      <c r="AC21" s="1">
        <f>[1]节奏总纲!AC21</f>
        <v>18</v>
      </c>
      <c r="AD21" s="1">
        <f>[1]节奏总纲!AD21</f>
        <v>42.470630686057078</v>
      </c>
      <c r="AE21" s="1">
        <f>[1]节奏总纲!AE21</f>
        <v>44.32123076997032</v>
      </c>
      <c r="AF21" s="1">
        <f>[1]节奏总纲!AF21</f>
        <v>47.002405448181747</v>
      </c>
      <c r="AG21" s="1">
        <f>[1]节奏总纲!AG21</f>
        <v>51.307235833425089</v>
      </c>
      <c r="AH21" s="1">
        <f>[1]节奏总纲!AH21</f>
        <v>59.782901351568675</v>
      </c>
      <c r="AL21" s="1">
        <f>[1]节奏总纲!AL21</f>
        <v>18</v>
      </c>
      <c r="AM21" s="1">
        <f>[1]节奏总纲!AM21</f>
        <v>3.671491735587451</v>
      </c>
      <c r="AN21" s="1">
        <f>[1]节奏总纲!AN21</f>
        <v>2.9371933884699608</v>
      </c>
      <c r="AO21" s="1">
        <f>[1]节奏总纲!AO21</f>
        <v>2.2028950413524706</v>
      </c>
      <c r="AP21" s="1">
        <f>[1]节奏总纲!AP21</f>
        <v>1.4685966942349804</v>
      </c>
      <c r="AQ21" s="1">
        <f>[1]节奏总纲!AQ21</f>
        <v>0.7342983471174902</v>
      </c>
      <c r="AS21" s="1">
        <f>[1]节奏总纲!AS21</f>
        <v>18</v>
      </c>
      <c r="AT21" s="1">
        <f>[1]节奏总纲!AT21</f>
        <v>0.61355148400884252</v>
      </c>
      <c r="AU21" s="1">
        <f>[1]节奏总纲!AU21</f>
        <v>0.49084118720707393</v>
      </c>
      <c r="AV21" s="1">
        <f>[1]节奏总纲!AV21</f>
        <v>0.36813089040530556</v>
      </c>
      <c r="AW21" s="1">
        <f>[1]节奏总纲!AW21</f>
        <v>0.24542059360353696</v>
      </c>
      <c r="AX21" s="1">
        <f>[1]节奏总纲!AX21</f>
        <v>0.12271029680176848</v>
      </c>
      <c r="AY21" s="1"/>
      <c r="AZ21" s="1">
        <f>[1]节奏总纲!AZ21</f>
        <v>18</v>
      </c>
      <c r="BA21" s="1">
        <f>[1]节奏总纲!BA21</f>
        <v>27.220371931959619</v>
      </c>
      <c r="BB21" s="1">
        <f>[1]节奏总纲!BB21</f>
        <v>28.568390277483555</v>
      </c>
      <c r="BC21" s="1">
        <f>[1]节奏总纲!BC21</f>
        <v>30.329493925593439</v>
      </c>
      <c r="BD21" s="1">
        <f>[1]节奏总纲!BD21</f>
        <v>32.842201900114915</v>
      </c>
      <c r="BE21" s="1">
        <f>[1]节奏总纲!BE21</f>
        <v>37.317457773889828</v>
      </c>
      <c r="BI21" s="1">
        <f>[1]节奏总纲!BI21</f>
        <v>18</v>
      </c>
      <c r="BJ21" s="1">
        <f>[1]节奏总纲!BJ21</f>
        <v>1.4333333333333347</v>
      </c>
      <c r="BK21" s="1">
        <f>[1]节奏总纲!BK21</f>
        <v>1.4620000000000013</v>
      </c>
      <c r="BL21" s="1">
        <f>[1]节奏总纲!BL21</f>
        <v>1.5193333333333348</v>
      </c>
      <c r="BM21" s="1">
        <f>[1]节奏总纲!BM21</f>
        <v>1.6340000000000015</v>
      </c>
      <c r="BN21" s="1">
        <f>[1]节奏总纲!BN21</f>
        <v>2.0066666666666686</v>
      </c>
      <c r="BP21" s="1">
        <f>[1]节奏总纲!BP21</f>
        <v>18</v>
      </c>
      <c r="BQ21" s="1">
        <f>[1]节奏总纲!BQ21</f>
        <v>22.23257120211764</v>
      </c>
      <c r="BR21" s="1">
        <f>[1]节奏总纲!BR21</f>
        <v>21.313236761787984</v>
      </c>
      <c r="BS21" s="1">
        <f>[1]节奏总纲!BS21</f>
        <v>20.31364557414641</v>
      </c>
      <c r="BT21" s="1">
        <f>[1]节奏总纲!BT21</f>
        <v>19.206606162403641</v>
      </c>
      <c r="BU21" s="1">
        <f>[1]节奏总纲!BU21</f>
        <v>18.113419670820548</v>
      </c>
      <c r="BW21" s="1">
        <f>[1]节奏总纲!BW21</f>
        <v>18</v>
      </c>
      <c r="BX21" s="1">
        <f>[1]节奏总纲!BX21</f>
        <v>15.871072726902106</v>
      </c>
      <c r="BY21" s="1">
        <f>[1]节奏总纲!BY21</f>
        <v>16.290260811148702</v>
      </c>
      <c r="BZ21" s="1">
        <f>[1]节奏总纲!BZ21</f>
        <v>16.78909022643807</v>
      </c>
      <c r="CA21" s="1">
        <f>[1]节奏总纲!CA21</f>
        <v>17.340049562343136</v>
      </c>
      <c r="CB21" s="1">
        <f>[1]节奏总纲!CB21</f>
        <v>17.928688718553115</v>
      </c>
      <c r="CC21" s="1">
        <f>[1]节奏总纲!CC21</f>
        <v>17.928688718553115</v>
      </c>
      <c r="CE21" s="1">
        <f>[1]节奏总纲!CE21</f>
        <v>88</v>
      </c>
      <c r="CF21" s="1">
        <f>[1]节奏总纲!CF21</f>
        <v>51</v>
      </c>
    </row>
    <row r="22" spans="2:84" x14ac:dyDescent="0.15">
      <c r="B22" s="24" t="s">
        <v>3</v>
      </c>
      <c r="C22" s="24"/>
      <c r="D22" s="24"/>
      <c r="F22" s="1">
        <f>[1]节奏总纲!F22</f>
        <v>20</v>
      </c>
      <c r="G22" s="1">
        <f>[1]节奏总纲!G22</f>
        <v>3</v>
      </c>
      <c r="I22" s="1">
        <f>[1]节奏总纲!I22</f>
        <v>20</v>
      </c>
      <c r="J22" s="1">
        <f>[1]节奏总纲!J22</f>
        <v>5.25</v>
      </c>
      <c r="K22" s="13">
        <f>[1]节奏总纲!K22</f>
        <v>0.7</v>
      </c>
      <c r="N22" s="1">
        <f>[1]节奏总纲!N22</f>
        <v>29</v>
      </c>
      <c r="O22" s="1">
        <f>[1]节奏总纲!O22</f>
        <v>19</v>
      </c>
      <c r="P22" s="1">
        <f>[1]节奏总纲!P22</f>
        <v>2.7321319661472296</v>
      </c>
      <c r="Q22" s="1">
        <f>[1]节奏总纲!Q22</f>
        <v>2.3734030389920986</v>
      </c>
      <c r="R22" s="1">
        <f>[1]节奏总纲!R22</f>
        <v>1.9510154370257367</v>
      </c>
      <c r="S22" s="1">
        <f>[1]节奏总纲!S22</f>
        <v>1.4395603329629754</v>
      </c>
      <c r="T22" s="1">
        <f>[1]节奏总纲!T22</f>
        <v>0.80270037165405606</v>
      </c>
      <c r="V22" s="1">
        <f>[1]节奏总纲!V22</f>
        <v>19</v>
      </c>
      <c r="W22" s="1">
        <f>[1]节奏总纲!W22</f>
        <v>0.24992971296273314</v>
      </c>
      <c r="X22" s="1">
        <f>[1]节奏总纲!X22</f>
        <v>0.2218301259317772</v>
      </c>
      <c r="Y22" s="1">
        <f>[1]节奏总纲!Y22</f>
        <v>0.18194989118114591</v>
      </c>
      <c r="Z22" s="1">
        <f>[1]节奏总纲!Z22</f>
        <v>0.13292906688665651</v>
      </c>
      <c r="AA22" s="1">
        <f>[1]节奏总纲!AA22</f>
        <v>7.7152653048227715E-2</v>
      </c>
      <c r="AC22" s="1">
        <f>[1]节奏总纲!AC22</f>
        <v>19</v>
      </c>
      <c r="AD22" s="1">
        <f>[1]节奏总纲!AD22</f>
        <v>43.213386604241784</v>
      </c>
      <c r="AE22" s="1">
        <f>[1]节奏总纲!AE22</f>
        <v>45.070782602372333</v>
      </c>
      <c r="AF22" s="1">
        <f>[1]节奏总纲!AF22</f>
        <v>47.752799438858894</v>
      </c>
      <c r="AG22" s="1">
        <f>[1]节奏总纲!AG22</f>
        <v>52.050057424983954</v>
      </c>
      <c r="AH22" s="1">
        <f>[1]节奏总纲!AH22</f>
        <v>60.54585273688761</v>
      </c>
      <c r="AL22" s="1">
        <f>[1]节奏总纲!AL22</f>
        <v>19</v>
      </c>
      <c r="AM22" s="1">
        <f>[1]节奏总纲!AM22</f>
        <v>4.3957950643309154</v>
      </c>
      <c r="AN22" s="1">
        <f>[1]节奏总纲!AN22</f>
        <v>3.5166360514647326</v>
      </c>
      <c r="AO22" s="1">
        <f>[1]节奏总纲!AO22</f>
        <v>2.6374770385985493</v>
      </c>
      <c r="AP22" s="1">
        <f>[1]节奏总纲!AP22</f>
        <v>1.7583180257323663</v>
      </c>
      <c r="AQ22" s="1">
        <f>[1]节奏总纲!AQ22</f>
        <v>0.87915901286618314</v>
      </c>
      <c r="AS22" s="1">
        <f>[1]节奏总纲!AS22</f>
        <v>19</v>
      </c>
      <c r="AT22" s="1">
        <f>[1]节奏总纲!AT22</f>
        <v>0.72430332874346437</v>
      </c>
      <c r="AU22" s="1">
        <f>[1]节奏总纲!AU22</f>
        <v>0.57944266299477176</v>
      </c>
      <c r="AV22" s="1">
        <f>[1]节奏总纲!AV22</f>
        <v>0.43458199724607871</v>
      </c>
      <c r="AW22" s="1">
        <f>[1]节奏总纲!AW22</f>
        <v>0.28972133149738588</v>
      </c>
      <c r="AX22" s="1">
        <f>[1]节奏总纲!AX22</f>
        <v>0.14486066574869294</v>
      </c>
      <c r="AY22" s="1"/>
      <c r="AZ22" s="1">
        <f>[1]节奏总纲!AZ22</f>
        <v>19</v>
      </c>
      <c r="BA22" s="1">
        <f>[1]节奏总纲!BA22</f>
        <v>27.541701089775092</v>
      </c>
      <c r="BB22" s="1">
        <f>[1]节奏总纲!BB22</f>
        <v>28.911002095502997</v>
      </c>
      <c r="BC22" s="1">
        <f>[1]节奏总纲!BC22</f>
        <v>30.662316072657521</v>
      </c>
      <c r="BD22" s="1">
        <f>[1]节奏总纲!BD22</f>
        <v>33.176527924103851</v>
      </c>
      <c r="BE22" s="1">
        <f>[1]节奏总纲!BE22</f>
        <v>37.680472138177471</v>
      </c>
      <c r="BI22" s="1">
        <f>[1]节奏总纲!BI22</f>
        <v>19</v>
      </c>
      <c r="BJ22" s="1">
        <f>[1]节奏总纲!BJ22</f>
        <v>1.4666666666666681</v>
      </c>
      <c r="BK22" s="1">
        <f>[1]节奏总纲!BK22</f>
        <v>1.4960000000000016</v>
      </c>
      <c r="BL22" s="1">
        <f>[1]节奏总纲!BL22</f>
        <v>1.5546666666666682</v>
      </c>
      <c r="BM22" s="1">
        <f>[1]节奏总纲!BM22</f>
        <v>1.6720000000000015</v>
      </c>
      <c r="BN22" s="1">
        <f>[1]节奏总纲!BN22</f>
        <v>2.0533333333333355</v>
      </c>
      <c r="BP22" s="1">
        <f>[1]节奏总纲!BP22</f>
        <v>19</v>
      </c>
      <c r="BQ22" s="1">
        <f>[1]节奏总纲!BQ22</f>
        <v>24.310866931512376</v>
      </c>
      <c r="BR22" s="1">
        <f>[1]节奏总纲!BR22</f>
        <v>23.346355732194773</v>
      </c>
      <c r="BS22" s="1">
        <f>[1]节奏总纲!BS22</f>
        <v>22.270075478919804</v>
      </c>
      <c r="BT22" s="1">
        <f>[1]节奏总纲!BT22</f>
        <v>21.127034033068878</v>
      </c>
      <c r="BU22" s="1">
        <f>[1]节奏总纲!BU22</f>
        <v>19.990401674856564</v>
      </c>
      <c r="BW22" s="1">
        <f>[1]节奏总纲!BW22</f>
        <v>19</v>
      </c>
      <c r="BX22" s="1">
        <f>[1]节奏总纲!BX22</f>
        <v>16.372441911687645</v>
      </c>
      <c r="BY22" s="1">
        <f>[1]节奏总纲!BY22</f>
        <v>16.824360525554045</v>
      </c>
      <c r="BZ22" s="1">
        <f>[1]节奏总纲!BZ22</f>
        <v>17.315787914321945</v>
      </c>
      <c r="CA22" s="1">
        <f>[1]节奏总纲!CA22</f>
        <v>17.881687348051518</v>
      </c>
      <c r="CB22" s="1">
        <f>[1]节奏总纲!CB22</f>
        <v>18.472191841608893</v>
      </c>
      <c r="CC22" s="1">
        <f>[1]节奏总纲!CC22</f>
        <v>18.472191841608893</v>
      </c>
      <c r="CE22" s="1">
        <f>[1]节奏总纲!CE22</f>
        <v>93</v>
      </c>
      <c r="CF22" s="1">
        <f>[1]节奏总纲!CF22</f>
        <v>53</v>
      </c>
    </row>
    <row r="23" spans="2:84" x14ac:dyDescent="0.15">
      <c r="B23" s="1" t="s">
        <v>55</v>
      </c>
      <c r="C23" s="1" t="s">
        <v>15</v>
      </c>
      <c r="D23" s="1" t="s">
        <v>16</v>
      </c>
      <c r="F23" s="1">
        <f>[1]节奏总纲!F23</f>
        <v>21</v>
      </c>
      <c r="G23" s="1">
        <f>[1]节奏总纲!G23</f>
        <v>3.2870938501451725</v>
      </c>
      <c r="I23" s="1">
        <f>[1]节奏总纲!I23</f>
        <v>21</v>
      </c>
      <c r="J23" s="1">
        <f>[1]节奏总纲!J23</f>
        <v>6.2565025247829205</v>
      </c>
      <c r="K23" s="13">
        <f>[1]节奏总纲!K23</f>
        <v>0.72</v>
      </c>
      <c r="N23" s="1">
        <f>[1]节奏总纲!N23</f>
        <v>30</v>
      </c>
      <c r="O23" s="1">
        <f>[1]节奏总纲!O23</f>
        <v>20</v>
      </c>
      <c r="P23" s="1">
        <f>[1]节奏总纲!P23</f>
        <v>3</v>
      </c>
      <c r="Q23" s="1">
        <f>[1]节奏总纲!Q23</f>
        <v>2.6036999999999999</v>
      </c>
      <c r="R23" s="1">
        <f>[1]节奏总纲!R23</f>
        <v>2.1372</v>
      </c>
      <c r="S23" s="1">
        <f>[1]节奏总纲!S23</f>
        <v>1.5800999999999998</v>
      </c>
      <c r="T23" s="1">
        <f>[1]节奏总纲!T23</f>
        <v>0.87990000000000002</v>
      </c>
      <c r="V23" s="1">
        <f>[1]节奏总纲!V23</f>
        <v>20</v>
      </c>
      <c r="W23" s="1">
        <f>[1]节奏总纲!W23</f>
        <v>0.26786803385277036</v>
      </c>
      <c r="X23" s="1">
        <f>[1]节奏总纲!X23</f>
        <v>0.23029696100790131</v>
      </c>
      <c r="Y23" s="1">
        <f>[1]节奏总纲!Y23</f>
        <v>0.18618456297426333</v>
      </c>
      <c r="Z23" s="1">
        <f>[1]节奏总纲!Z23</f>
        <v>0.14053966703702447</v>
      </c>
      <c r="AA23" s="1">
        <f>[1]节奏总纲!AA23</f>
        <v>7.719962834594396E-2</v>
      </c>
      <c r="AC23" s="1">
        <f>[1]节奏总纲!AC23</f>
        <v>20</v>
      </c>
      <c r="AD23" s="1">
        <f>[1]节奏总纲!AD23</f>
        <v>43.920692243099523</v>
      </c>
      <c r="AE23" s="1">
        <f>[1]节奏总纲!AE23</f>
        <v>45.780025086357675</v>
      </c>
      <c r="AF23" s="1">
        <f>[1]节奏总纲!AF23</f>
        <v>48.482447528152484</v>
      </c>
      <c r="AG23" s="1">
        <f>[1]节奏总纲!AG23</f>
        <v>52.769987980532711</v>
      </c>
      <c r="AH23" s="1">
        <f>[1]节奏总纲!AH23</f>
        <v>61.261422558944936</v>
      </c>
      <c r="AL23" s="1">
        <f>[1]节奏总纲!AL23</f>
        <v>20</v>
      </c>
      <c r="AM23" s="1">
        <f>[1]节奏总纲!AM23</f>
        <v>5.25</v>
      </c>
      <c r="AN23" s="1">
        <f>[1]节奏总纲!AN23</f>
        <v>4.2</v>
      </c>
      <c r="AO23" s="1">
        <f>[1]节奏总纲!AO23</f>
        <v>3.15</v>
      </c>
      <c r="AP23" s="1">
        <f>[1]节奏总纲!AP23</f>
        <v>2.1</v>
      </c>
      <c r="AQ23" s="1">
        <f>[1]节奏总纲!AQ23</f>
        <v>1.05</v>
      </c>
      <c r="AS23" s="1">
        <f>[1]节奏总纲!AS23</f>
        <v>20</v>
      </c>
      <c r="AT23" s="1">
        <f>[1]节奏总纲!AT23</f>
        <v>0.85420493566908462</v>
      </c>
      <c r="AU23" s="1">
        <f>[1]节奏总纲!AU23</f>
        <v>0.68336394853526761</v>
      </c>
      <c r="AV23" s="1">
        <f>[1]节奏总纲!AV23</f>
        <v>0.51252296140145059</v>
      </c>
      <c r="AW23" s="1">
        <f>[1]节奏总纲!AW23</f>
        <v>0.3416819742676338</v>
      </c>
      <c r="AX23" s="1">
        <f>[1]节奏总纲!AX23</f>
        <v>0.1708409871338169</v>
      </c>
      <c r="AY23" s="1"/>
      <c r="AZ23" s="1">
        <f>[1]节奏总纲!AZ23</f>
        <v>20</v>
      </c>
      <c r="BA23" s="1">
        <f>[1]节奏总纲!BA23</f>
        <v>27.863030247590562</v>
      </c>
      <c r="BB23" s="1">
        <f>[1]节奏总纲!BB23</f>
        <v>29.216428548527322</v>
      </c>
      <c r="BC23" s="1">
        <f>[1]节奏总纲!BC23</f>
        <v>30.995138219721603</v>
      </c>
      <c r="BD23" s="1">
        <f>[1]节奏总纲!BD23</f>
        <v>33.487933395889513</v>
      </c>
      <c r="BE23" s="1">
        <f>[1]节奏总纲!BE23</f>
        <v>38.037513426486328</v>
      </c>
      <c r="BI23" s="1">
        <f>[1]节奏总纲!BI23</f>
        <v>20</v>
      </c>
      <c r="BJ23" s="1">
        <f>[1]节奏总纲!BJ23</f>
        <v>1.5000000000000016</v>
      </c>
      <c r="BK23" s="1">
        <f>[1]节奏总纲!BK23</f>
        <v>1.5300000000000016</v>
      </c>
      <c r="BL23" s="1">
        <f>[1]节奏总纲!BL23</f>
        <v>1.5900000000000016</v>
      </c>
      <c r="BM23" s="1">
        <f>[1]节奏总纲!BM23</f>
        <v>1.7100000000000015</v>
      </c>
      <c r="BN23" s="1">
        <f>[1]节奏总纲!BN23</f>
        <v>2.1000000000000019</v>
      </c>
      <c r="BP23" s="1">
        <f>[1]节奏总纲!BP23</f>
        <v>20</v>
      </c>
      <c r="BQ23" s="1">
        <f>[1]节奏总纲!BQ23</f>
        <v>26.430041330048915</v>
      </c>
      <c r="BR23" s="1">
        <f>[1]节奏总纲!BR23</f>
        <v>25.411137335118717</v>
      </c>
      <c r="BS23" s="1">
        <f>[1]节奏总纲!BS23</f>
        <v>24.291601023356559</v>
      </c>
      <c r="BT23" s="1">
        <f>[1]节奏总纲!BT23</f>
        <v>23.104674507319633</v>
      </c>
      <c r="BU23" s="1">
        <f>[1]节奏总纲!BU23</f>
        <v>21.807019312177008</v>
      </c>
      <c r="BW23" s="1">
        <f>[1]节奏总纲!BW23</f>
        <v>20</v>
      </c>
      <c r="BX23" s="1">
        <f>[1]节奏总纲!BX23</f>
        <v>16.888397947066121</v>
      </c>
      <c r="BY23" s="1">
        <f>[1]节奏总纲!BY23</f>
        <v>17.320567635394323</v>
      </c>
      <c r="BZ23" s="1">
        <f>[1]节奏总纲!BZ23</f>
        <v>17.821544339079665</v>
      </c>
      <c r="CA23" s="1">
        <f>[1]节奏总纲!CA23</f>
        <v>18.384863983569073</v>
      </c>
      <c r="CB23" s="1">
        <f>[1]节奏总纲!CB23</f>
        <v>19.004337291338853</v>
      </c>
      <c r="CC23" s="1">
        <f>[1]节奏总纲!CC23</f>
        <v>19.004337291338853</v>
      </c>
      <c r="CE23" s="1">
        <f>[1]节奏总纲!CE23</f>
        <v>98</v>
      </c>
      <c r="CF23" s="1">
        <f>[1]节奏总纲!CF23</f>
        <v>55</v>
      </c>
    </row>
    <row r="24" spans="2:84" x14ac:dyDescent="0.15">
      <c r="B24" s="1">
        <f>[1]节奏总纲!B24</f>
        <v>5</v>
      </c>
      <c r="C24" s="1">
        <f>[1]节奏总纲!C24</f>
        <v>0.5</v>
      </c>
      <c r="D24" s="1">
        <f>[1]节奏总纲!D24</f>
        <v>0.5</v>
      </c>
      <c r="F24" s="1">
        <f>[1]节奏总纲!F24</f>
        <v>22</v>
      </c>
      <c r="G24" s="1">
        <f>[1]节奏总纲!G24</f>
        <v>3.5947934199881395</v>
      </c>
      <c r="I24" s="1">
        <f>[1]节奏总纲!I24</f>
        <v>22</v>
      </c>
      <c r="J24" s="1">
        <f>[1]节奏总纲!J24</f>
        <v>7.4414868317755332</v>
      </c>
      <c r="K24" s="13">
        <f>[1]节奏总纲!K24</f>
        <v>0.74</v>
      </c>
      <c r="N24" s="1">
        <f>[1]节奏总纲!N24</f>
        <v>31</v>
      </c>
      <c r="O24" s="1">
        <f>[1]节奏总纲!O24</f>
        <v>21</v>
      </c>
      <c r="P24" s="1">
        <f>[1]节奏总纲!P24</f>
        <v>3.2870938501451725</v>
      </c>
      <c r="Q24" s="1">
        <f>[1]节奏总纲!Q24</f>
        <v>2.8518826243859516</v>
      </c>
      <c r="R24" s="1">
        <f>[1]节奏总纲!R24</f>
        <v>2.3466562996186386</v>
      </c>
      <c r="S24" s="1">
        <f>[1]节奏总纲!S24</f>
        <v>1.7365716810316947</v>
      </c>
      <c r="T24" s="1">
        <f>[1]节奏总纲!T24</f>
        <v>0.97166494210291288</v>
      </c>
      <c r="V24" s="1">
        <f>[1]节奏总纲!V24</f>
        <v>21</v>
      </c>
      <c r="W24" s="1">
        <f>[1]节奏总纲!W24</f>
        <v>0.28709385014517252</v>
      </c>
      <c r="X24" s="1">
        <f>[1]节奏总纲!X24</f>
        <v>0.24818262438595173</v>
      </c>
      <c r="Y24" s="1">
        <f>[1]节奏总纲!Y24</f>
        <v>0.20945629961863865</v>
      </c>
      <c r="Z24" s="1">
        <f>[1]节奏总纲!Z24</f>
        <v>0.15647168103169484</v>
      </c>
      <c r="AA24" s="1">
        <f>[1]节奏总纲!AA24</f>
        <v>9.1764942102912861E-2</v>
      </c>
      <c r="AC24" s="1">
        <f>[1]节奏总纲!AC24</f>
        <v>21</v>
      </c>
      <c r="AD24" s="1">
        <f>[1]节奏总纲!AD24</f>
        <v>44.585942742481357</v>
      </c>
      <c r="AE24" s="1">
        <f>[1]节奏总纲!AE24</f>
        <v>46.455967430551723</v>
      </c>
      <c r="AF24" s="1">
        <f>[1]节奏总纲!AF24</f>
        <v>49.18886033229559</v>
      </c>
      <c r="AG24" s="1">
        <f>[1]节奏总纲!AG24</f>
        <v>53.471660769826336</v>
      </c>
      <c r="AH24" s="1">
        <f>[1]节奏总纲!AH24</f>
        <v>61.918453772109508</v>
      </c>
      <c r="AL24" s="1">
        <f>[1]节奏总纲!AL24</f>
        <v>21</v>
      </c>
      <c r="AM24" s="1">
        <f>[1]节奏总纲!AM24</f>
        <v>6.2565025247829205</v>
      </c>
      <c r="AN24" s="1">
        <f>[1]节奏总纲!AN24</f>
        <v>5.0052020198263367</v>
      </c>
      <c r="AO24" s="1">
        <f>[1]节奏总纲!AO24</f>
        <v>3.7539015148697521</v>
      </c>
      <c r="AP24" s="1">
        <f>[1]节奏总纲!AP24</f>
        <v>2.5026010099131684</v>
      </c>
      <c r="AQ24" s="1">
        <f>[1]节奏总纲!AQ24</f>
        <v>1.2513005049565842</v>
      </c>
      <c r="AS24" s="1">
        <f>[1]节奏总纲!AS24</f>
        <v>21</v>
      </c>
      <c r="AT24" s="1">
        <f>[1]节奏总纲!AT24</f>
        <v>1.0065025247829205</v>
      </c>
      <c r="AU24" s="1">
        <f>[1]节奏总纲!AU24</f>
        <v>0.80520201982633655</v>
      </c>
      <c r="AV24" s="1">
        <f>[1]节奏总纲!AV24</f>
        <v>0.60390151486975219</v>
      </c>
      <c r="AW24" s="1">
        <f>[1]节奏总纲!AW24</f>
        <v>0.40260100991316827</v>
      </c>
      <c r="AX24" s="1">
        <f>[1]节奏总纲!AX24</f>
        <v>0.20130050495658414</v>
      </c>
      <c r="AY24" s="1"/>
      <c r="AZ24" s="1">
        <f>[1]节奏总纲!AZ24</f>
        <v>21</v>
      </c>
      <c r="BA24" s="1">
        <f>[1]节奏总纲!BA24</f>
        <v>28.157256095860227</v>
      </c>
      <c r="BB24" s="1">
        <f>[1]节奏总纲!BB24</f>
        <v>29.508805955793246</v>
      </c>
      <c r="BC24" s="1">
        <f>[1]节奏总纲!BC24</f>
        <v>31.280110398778046</v>
      </c>
      <c r="BD24" s="1">
        <f>[1]节奏总纲!BD24</f>
        <v>33.799338867675175</v>
      </c>
      <c r="BE24" s="1">
        <f>[1]节奏总纲!BE24</f>
        <v>38.35066605767593</v>
      </c>
      <c r="BI24" s="1">
        <f>[1]节奏总纲!BI24</f>
        <v>21</v>
      </c>
      <c r="BJ24" s="1">
        <f>[1]节奏总纲!BJ24</f>
        <v>1.533333333333335</v>
      </c>
      <c r="BK24" s="1">
        <f>[1]节奏总纲!BK24</f>
        <v>1.5640000000000016</v>
      </c>
      <c r="BL24" s="1">
        <f>[1]节奏总纲!BL24</f>
        <v>1.6253333333333351</v>
      </c>
      <c r="BM24" s="1">
        <f>[1]节奏总纲!BM24</f>
        <v>1.7480000000000018</v>
      </c>
      <c r="BN24" s="1">
        <f>[1]节奏总纲!BN24</f>
        <v>2.1466666666666687</v>
      </c>
      <c r="BP24" s="1">
        <f>[1]节奏总纲!BP24</f>
        <v>21</v>
      </c>
      <c r="BQ24" s="1">
        <f>[1]节奏总纲!BQ24</f>
        <v>28.584360328652647</v>
      </c>
      <c r="BR24" s="1">
        <f>[1]节奏总纲!BR24</f>
        <v>27.538147336025965</v>
      </c>
      <c r="BS24" s="1">
        <f>[1]节奏总纲!BS24</f>
        <v>26.374084715154964</v>
      </c>
      <c r="BT24" s="1">
        <f>[1]节奏总纲!BT24</f>
        <v>25.113701488415835</v>
      </c>
      <c r="BU24" s="1">
        <f>[1]节奏总纲!BU24</f>
        <v>23.834029842136172</v>
      </c>
      <c r="BW24" s="1">
        <f>[1]节奏总纲!BW24</f>
        <v>21</v>
      </c>
      <c r="BX24" s="1">
        <f>[1]节奏总纲!BX24</f>
        <v>17.373487155583607</v>
      </c>
      <c r="BY24" s="1">
        <f>[1]节奏总纲!BY24</f>
        <v>17.826194772754434</v>
      </c>
      <c r="BZ24" s="1">
        <f>[1]节奏总纲!BZ24</f>
        <v>18.330803528855718</v>
      </c>
      <c r="CA24" s="1">
        <f>[1]节奏总纲!CA24</f>
        <v>18.92494047784373</v>
      </c>
      <c r="CB24" s="1">
        <f>[1]节奏总纲!CB24</f>
        <v>19.541473862851607</v>
      </c>
      <c r="CC24" s="1">
        <f>[1]节奏总纲!CC24</f>
        <v>19.541473862851607</v>
      </c>
      <c r="CE24" s="1">
        <f>[1]节奏总纲!CE24</f>
        <v>103</v>
      </c>
      <c r="CF24" s="1">
        <f>[1]节奏总纲!CF24</f>
        <v>58</v>
      </c>
    </row>
    <row r="25" spans="2:84" x14ac:dyDescent="0.15">
      <c r="B25" s="1">
        <f>[1]节奏总纲!B25</f>
        <v>10</v>
      </c>
      <c r="C25" s="1">
        <f>[1]节奏总纲!C25</f>
        <v>1.5</v>
      </c>
      <c r="D25" s="1">
        <f>[1]节奏总纲!D25</f>
        <v>1</v>
      </c>
      <c r="F25" s="1">
        <f>[1]节奏总纲!F25</f>
        <v>23</v>
      </c>
      <c r="G25" s="1">
        <f>[1]节奏总纲!G25</f>
        <v>3.9245776533796644</v>
      </c>
      <c r="I25" s="1">
        <f>[1]节奏总纲!I25</f>
        <v>23</v>
      </c>
      <c r="J25" s="1">
        <f>[1]节奏总纲!J25</f>
        <v>8.8355567243832152</v>
      </c>
      <c r="K25" s="13">
        <f>[1]节奏总纲!K25</f>
        <v>0.76</v>
      </c>
      <c r="N25" s="1">
        <f>[1]节奏总纲!N25</f>
        <v>32</v>
      </c>
      <c r="O25" s="1">
        <f>[1]节奏总纲!O25</f>
        <v>22</v>
      </c>
      <c r="P25" s="1">
        <f>[1]节奏总纲!P25</f>
        <v>3.5947934199881395</v>
      </c>
      <c r="Q25" s="1">
        <f>[1]节奏总纲!Q25</f>
        <v>3.124234961311692</v>
      </c>
      <c r="R25" s="1">
        <f>[1]节奏总纲!R25</f>
        <v>2.5749505267375046</v>
      </c>
      <c r="S25" s="1">
        <f>[1]节奏总纲!S25</f>
        <v>1.9077568679877055</v>
      </c>
      <c r="T25" s="1">
        <f>[1]节奏总纲!T25</f>
        <v>1.0687320837624739</v>
      </c>
      <c r="V25" s="1">
        <f>[1]节奏总纲!V25</f>
        <v>22</v>
      </c>
      <c r="W25" s="1">
        <f>[1]节奏总纲!W25</f>
        <v>0.30769956984296698</v>
      </c>
      <c r="X25" s="1">
        <f>[1]节奏总纲!X25</f>
        <v>0.27235233692574035</v>
      </c>
      <c r="Y25" s="1">
        <f>[1]节奏总纲!Y25</f>
        <v>0.22829422711886593</v>
      </c>
      <c r="Z25" s="1">
        <f>[1]节奏总纲!Z25</f>
        <v>0.17118518695601082</v>
      </c>
      <c r="AA25" s="1">
        <f>[1]节奏总纲!AA25</f>
        <v>9.7067141659560985E-2</v>
      </c>
      <c r="AC25" s="1">
        <f>[1]节奏总纲!AC25</f>
        <v>22</v>
      </c>
      <c r="AD25" s="1">
        <f>[1]节奏总纲!AD25</f>
        <v>45.229416240679988</v>
      </c>
      <c r="AE25" s="1">
        <f>[1]节奏总纲!AE25</f>
        <v>47.110426931480873</v>
      </c>
      <c r="AF25" s="1">
        <f>[1]节奏总纲!AF25</f>
        <v>49.861837738505173</v>
      </c>
      <c r="AG25" s="1">
        <f>[1]节奏总纲!AG25</f>
        <v>54.15637358335789</v>
      </c>
      <c r="AH25" s="1">
        <f>[1]节奏总纲!AH25</f>
        <v>62.555781631668886</v>
      </c>
      <c r="AL25" s="1">
        <f>[1]节奏总纲!AL25</f>
        <v>22</v>
      </c>
      <c r="AM25" s="1">
        <f>[1]节奏总纲!AM25</f>
        <v>7.4414868317755332</v>
      </c>
      <c r="AN25" s="1">
        <f>[1]节奏总纲!AN25</f>
        <v>5.9531894654204267</v>
      </c>
      <c r="AO25" s="1">
        <f>[1]节奏总纲!AO25</f>
        <v>4.4648920990653194</v>
      </c>
      <c r="AP25" s="1">
        <f>[1]节奏总纲!AP25</f>
        <v>2.9765947327102134</v>
      </c>
      <c r="AQ25" s="1">
        <f>[1]节奏总纲!AQ25</f>
        <v>1.4882973663551067</v>
      </c>
      <c r="AS25" s="1">
        <f>[1]节奏总纲!AS25</f>
        <v>22</v>
      </c>
      <c r="AT25" s="1">
        <f>[1]节奏总纲!AT25</f>
        <v>1.1849843069926127</v>
      </c>
      <c r="AU25" s="1">
        <f>[1]节奏总纲!AU25</f>
        <v>0.94798744559408998</v>
      </c>
      <c r="AV25" s="1">
        <f>[1]节奏总纲!AV25</f>
        <v>0.71099058419556727</v>
      </c>
      <c r="AW25" s="1">
        <f>[1]节奏总纲!AW25</f>
        <v>0.47399372279704499</v>
      </c>
      <c r="AX25" s="1">
        <f>[1]节奏总纲!AX25</f>
        <v>0.2369968613985225</v>
      </c>
      <c r="AY25" s="1"/>
      <c r="AZ25" s="1">
        <f>[1]节奏总纲!AZ25</f>
        <v>22</v>
      </c>
      <c r="BA25" s="1">
        <f>[1]节奏总纲!BA25</f>
        <v>28.431345550275779</v>
      </c>
      <c r="BB25" s="1">
        <f>[1]节奏总纲!BB25</f>
        <v>29.80118336305917</v>
      </c>
      <c r="BC25" s="1">
        <f>[1]节奏总纲!BC25</f>
        <v>31.564373235931193</v>
      </c>
      <c r="BD25" s="1">
        <f>[1]节奏总纲!BD25</f>
        <v>34.09469189131628</v>
      </c>
      <c r="BE25" s="1">
        <f>[1]节奏总纲!BE25</f>
        <v>38.663818688865533</v>
      </c>
      <c r="BI25" s="1">
        <f>[1]节奏总纲!BI25</f>
        <v>22</v>
      </c>
      <c r="BJ25" s="1">
        <f>[1]节奏总纲!BJ25</f>
        <v>1.5666666666666684</v>
      </c>
      <c r="BK25" s="1">
        <f>[1]节奏总纲!BK25</f>
        <v>1.5980000000000019</v>
      </c>
      <c r="BL25" s="1">
        <f>[1]节奏总纲!BL25</f>
        <v>1.6606666666666685</v>
      </c>
      <c r="BM25" s="1">
        <f>[1]节奏总纲!BM25</f>
        <v>1.7860000000000018</v>
      </c>
      <c r="BN25" s="1">
        <f>[1]节奏总纲!BN25</f>
        <v>2.1933333333333356</v>
      </c>
      <c r="BP25" s="1">
        <f>[1]节奏总纲!BP25</f>
        <v>22</v>
      </c>
      <c r="BQ25" s="1">
        <f>[1]节奏总纲!BQ25</f>
        <v>30.768889392009427</v>
      </c>
      <c r="BR25" s="1">
        <f>[1]节奏总纲!BR25</f>
        <v>29.682299134892848</v>
      </c>
      <c r="BS25" s="1">
        <f>[1]节奏总纲!BS25</f>
        <v>28.504605619902428</v>
      </c>
      <c r="BT25" s="1">
        <f>[1]节奏总纲!BT25</f>
        <v>27.228985792746204</v>
      </c>
      <c r="BU25" s="1">
        <f>[1]节奏总纲!BU25</f>
        <v>25.905106178844033</v>
      </c>
      <c r="BW25" s="1">
        <f>[1]节奏总纲!BW25</f>
        <v>22</v>
      </c>
      <c r="BX25" s="1">
        <f>[1]节奏总纲!BX25</f>
        <v>17.874992861074709</v>
      </c>
      <c r="BY25" s="1">
        <f>[1]节奏总纲!BY25</f>
        <v>18.322795653110926</v>
      </c>
      <c r="BZ25" s="1">
        <f>[1]节奏总纲!BZ25</f>
        <v>18.856122636792893</v>
      </c>
      <c r="CA25" s="1">
        <f>[1]节奏总纲!CA25</f>
        <v>19.437362382301988</v>
      </c>
      <c r="CB25" s="1">
        <f>[1]节奏总纲!CB25</f>
        <v>20.093055324260185</v>
      </c>
      <c r="CC25" s="1">
        <f>[1]节奏总纲!CC25</f>
        <v>20.093055324260185</v>
      </c>
      <c r="CE25" s="1">
        <f>[1]节奏总纲!CE25</f>
        <v>108</v>
      </c>
      <c r="CF25" s="1">
        <f>[1]节奏总纲!CF25</f>
        <v>60</v>
      </c>
    </row>
    <row r="26" spans="2:84" x14ac:dyDescent="0.15">
      <c r="B26" s="1">
        <f>[1]节奏总纲!B26</f>
        <v>15</v>
      </c>
      <c r="C26" s="1">
        <f>[1]节奏总纲!C26</f>
        <v>3.5</v>
      </c>
      <c r="D26" s="1">
        <f>[1]节奏总纲!D26</f>
        <v>2</v>
      </c>
      <c r="F26" s="1">
        <f>[1]节奏总纲!F26</f>
        <v>24</v>
      </c>
      <c r="G26" s="1">
        <f>[1]节奏总纲!G26</f>
        <v>4.2780316430915768</v>
      </c>
      <c r="I26" s="1">
        <f>[1]节奏总纲!I26</f>
        <v>24</v>
      </c>
      <c r="J26" s="1">
        <f>[1]节奏总纲!J26</f>
        <v>10.47447102993563</v>
      </c>
      <c r="K26" s="13">
        <f>[1]节奏总纲!K26</f>
        <v>0.78</v>
      </c>
      <c r="N26" s="1">
        <f>[1]节奏总纲!N26</f>
        <v>33</v>
      </c>
      <c r="O26" s="1">
        <f>[1]节奏总纲!O26</f>
        <v>23</v>
      </c>
      <c r="P26" s="1">
        <f>[1]节奏总纲!P26</f>
        <v>3.9245776533796644</v>
      </c>
      <c r="Q26" s="1">
        <f>[1]节奏总纲!Q26</f>
        <v>3.4081032341949005</v>
      </c>
      <c r="R26" s="1">
        <f>[1]节奏总纲!R26</f>
        <v>2.8064654799317976</v>
      </c>
      <c r="S26" s="1">
        <f>[1]节奏总纲!S26</f>
        <v>2.0796336985258841</v>
      </c>
      <c r="T26" s="1">
        <f>[1]节奏总纲!T26</f>
        <v>1.1608900698697047</v>
      </c>
      <c r="V26" s="1">
        <f>[1]节奏总纲!V26</f>
        <v>23</v>
      </c>
      <c r="W26" s="1">
        <f>[1]节奏总纲!W26</f>
        <v>0.32978423339152485</v>
      </c>
      <c r="X26" s="1">
        <f>[1]节奏总纲!X26</f>
        <v>0.28386827288320848</v>
      </c>
      <c r="Y26" s="1">
        <f>[1]节奏总纲!Y26</f>
        <v>0.23151495319429305</v>
      </c>
      <c r="Z26" s="1">
        <f>[1]节奏总纲!Z26</f>
        <v>0.17187683053817859</v>
      </c>
      <c r="AA26" s="1">
        <f>[1]节奏总纲!AA26</f>
        <v>9.2157986107230805E-2</v>
      </c>
      <c r="AC26" s="1">
        <f>[1]节奏总纲!AC26</f>
        <v>23</v>
      </c>
      <c r="AD26" s="1">
        <f>[1]节奏总纲!AD26</f>
        <v>45.845161563010116</v>
      </c>
      <c r="AE26" s="1">
        <f>[1]节奏总纲!AE26</f>
        <v>47.734594805743399</v>
      </c>
      <c r="AF26" s="1">
        <f>[1]节奏总纲!AF26</f>
        <v>50.503430607741265</v>
      </c>
      <c r="AG26" s="1">
        <f>[1]节奏总纲!AG26</f>
        <v>54.814188287451351</v>
      </c>
      <c r="AH26" s="1">
        <f>[1]节奏总纲!AH26</f>
        <v>63.182677965405439</v>
      </c>
      <c r="AL26" s="1">
        <f>[1]节奏总纲!AL26</f>
        <v>23</v>
      </c>
      <c r="AM26" s="1">
        <f>[1]节奏总纲!AM26</f>
        <v>8.8355567243832152</v>
      </c>
      <c r="AN26" s="1">
        <f>[1]节奏总纲!AN26</f>
        <v>7.0684453795065725</v>
      </c>
      <c r="AO26" s="1">
        <f>[1]节奏总纲!AO26</f>
        <v>5.3013340346299289</v>
      </c>
      <c r="AP26" s="1">
        <f>[1]节奏总纲!AP26</f>
        <v>3.5342226897532862</v>
      </c>
      <c r="AQ26" s="1">
        <f>[1]节奏总纲!AQ26</f>
        <v>1.7671113448766431</v>
      </c>
      <c r="AS26" s="1">
        <f>[1]节奏总纲!AS26</f>
        <v>23</v>
      </c>
      <c r="AT26" s="1">
        <f>[1]节奏总纲!AT26</f>
        <v>1.394069892607682</v>
      </c>
      <c r="AU26" s="1">
        <f>[1]节奏总纲!AU26</f>
        <v>1.1152559140861458</v>
      </c>
      <c r="AV26" s="1">
        <f>[1]节奏总纲!AV26</f>
        <v>0.83644193556460955</v>
      </c>
      <c r="AW26" s="1">
        <f>[1]节奏总纲!AW26</f>
        <v>0.55762795704307289</v>
      </c>
      <c r="AX26" s="1">
        <f>[1]节奏总纲!AX26</f>
        <v>0.27881397852153644</v>
      </c>
      <c r="AY26" s="1"/>
      <c r="AZ26" s="1">
        <f>[1]节奏总纲!AZ26</f>
        <v>23</v>
      </c>
      <c r="BA26" s="1">
        <f>[1]节奏总纲!BA26</f>
        <v>28.705435004691331</v>
      </c>
      <c r="BB26" s="1">
        <f>[1]节奏总纲!BB26</f>
        <v>30.079877315295377</v>
      </c>
      <c r="BC26" s="1">
        <f>[1]节奏总纲!BC26</f>
        <v>31.848636073084339</v>
      </c>
      <c r="BD26" s="1">
        <f>[1]节奏总纲!BD26</f>
        <v>34.360958982105608</v>
      </c>
      <c r="BE26" s="1">
        <f>[1]节奏总纲!BE26</f>
        <v>38.976971320055128</v>
      </c>
      <c r="BI26" s="1">
        <f>[1]节奏总纲!BI26</f>
        <v>23</v>
      </c>
      <c r="BJ26" s="1">
        <f>[1]节奏总纲!BJ26</f>
        <v>1.6000000000000019</v>
      </c>
      <c r="BK26" s="1">
        <f>[1]节奏总纲!BK26</f>
        <v>1.6320000000000019</v>
      </c>
      <c r="BL26" s="1">
        <f>[1]节奏总纲!BL26</f>
        <v>1.6960000000000022</v>
      </c>
      <c r="BM26" s="1">
        <f>[1]节奏总纲!BM26</f>
        <v>1.8240000000000021</v>
      </c>
      <c r="BN26" s="1">
        <f>[1]节奏总纲!BN26</f>
        <v>2.2400000000000024</v>
      </c>
      <c r="BP26" s="1">
        <f>[1]节奏总纲!BP26</f>
        <v>23</v>
      </c>
      <c r="BQ26" s="1">
        <f>[1]节奏总纲!BQ26</f>
        <v>32.979382606869549</v>
      </c>
      <c r="BR26" s="1">
        <f>[1]节奏总纲!BR26</f>
        <v>31.845462834406923</v>
      </c>
      <c r="BS26" s="1">
        <f>[1]节奏总纲!BS26</f>
        <v>30.615521552489891</v>
      </c>
      <c r="BT26" s="1">
        <f>[1]节奏总纲!BT26</f>
        <v>29.279653557700659</v>
      </c>
      <c r="BU26" s="1">
        <f>[1]节奏总纲!BU26</f>
        <v>27.953695907743711</v>
      </c>
      <c r="BW26" s="1">
        <f>[1]节奏总纲!BW26</f>
        <v>23</v>
      </c>
      <c r="BX26" s="1">
        <f>[1]节奏总纲!BX26</f>
        <v>18.349419791058079</v>
      </c>
      <c r="BY26" s="1">
        <f>[1]节奏总纲!BY26</f>
        <v>18.812694466249869</v>
      </c>
      <c r="BZ26" s="1">
        <f>[1]节奏总纲!BZ26</f>
        <v>19.32971877176227</v>
      </c>
      <c r="CA26" s="1">
        <f>[1]节奏总纲!CA26</f>
        <v>19.940393983271228</v>
      </c>
      <c r="CB26" s="1">
        <f>[1]节奏总纲!CB26</f>
        <v>20.55086831448148</v>
      </c>
      <c r="CC26" s="1">
        <f>[1]节奏总纲!CC26</f>
        <v>20.55086831448148</v>
      </c>
      <c r="CE26" s="1">
        <f>[1]节奏总纲!CE26</f>
        <v>113</v>
      </c>
      <c r="CF26" s="1">
        <f>[1]节奏总纲!CF26</f>
        <v>62</v>
      </c>
    </row>
    <row r="27" spans="2:84" x14ac:dyDescent="0.15">
      <c r="B27" s="1">
        <f>[1]节奏总纲!B27</f>
        <v>20</v>
      </c>
      <c r="C27" s="1">
        <f>[1]节奏总纲!C27</f>
        <v>7.5</v>
      </c>
      <c r="D27" s="1">
        <f>[1]节奏总纲!D27</f>
        <v>4</v>
      </c>
      <c r="F27" s="1">
        <f>[1]节奏总纲!F27</f>
        <v>25</v>
      </c>
      <c r="G27" s="1">
        <f>[1]节奏总纲!G27</f>
        <v>4.6568542494923806</v>
      </c>
      <c r="I27" s="1">
        <f>[1]节奏总纲!I27</f>
        <v>25</v>
      </c>
      <c r="J27" s="1">
        <f>[1]节奏总纲!J27</f>
        <v>12.4</v>
      </c>
      <c r="K27" s="13">
        <f>[1]节奏总纲!K27</f>
        <v>0.8</v>
      </c>
      <c r="N27" s="1">
        <f>[1]节奏总纲!N27</f>
        <v>34</v>
      </c>
      <c r="O27" s="1">
        <f>[1]节奏总纲!O27</f>
        <v>24</v>
      </c>
      <c r="P27" s="1">
        <f>[1]节奏总纲!P27</f>
        <v>4.2780316430915768</v>
      </c>
      <c r="Q27" s="1">
        <f>[1]节奏总纲!Q27</f>
        <v>3.7214597263253628</v>
      </c>
      <c r="R27" s="1">
        <f>[1]节奏总纲!R27</f>
        <v>3.0699155070825155</v>
      </c>
      <c r="S27" s="1">
        <f>[1]节奏总纲!S27</f>
        <v>2.2742016214674821</v>
      </c>
      <c r="T27" s="1">
        <f>[1]节奏总纲!T27</f>
        <v>1.2692919885052709</v>
      </c>
      <c r="V27" s="1">
        <f>[1]节奏总纲!V27</f>
        <v>24</v>
      </c>
      <c r="W27" s="1">
        <f>[1]节奏总纲!W27</f>
        <v>0.35345398971191244</v>
      </c>
      <c r="X27" s="1">
        <f>[1]节奏总纲!X27</f>
        <v>0.31335649213046235</v>
      </c>
      <c r="Y27" s="1">
        <f>[1]节奏总纲!Y27</f>
        <v>0.26345002715071786</v>
      </c>
      <c r="Z27" s="1">
        <f>[1]节奏总纲!Z27</f>
        <v>0.19456792294159797</v>
      </c>
      <c r="AA27" s="1">
        <f>[1]节奏总纲!AA27</f>
        <v>0.10840191863556625</v>
      </c>
      <c r="AC27" s="1">
        <f>[1]节奏总纲!AC27</f>
        <v>24</v>
      </c>
      <c r="AD27" s="1">
        <f>[1]节奏总纲!AD27</f>
        <v>46.430041330048923</v>
      </c>
      <c r="AE27" s="1">
        <f>[1]节奏总纲!AE27</f>
        <v>48.330142263709867</v>
      </c>
      <c r="AF27" s="1">
        <f>[1]节奏总纲!AF27</f>
        <v>51.118578408701396</v>
      </c>
      <c r="AG27" s="1">
        <f>[1]节奏总纲!AG27</f>
        <v>55.44072585486321</v>
      </c>
      <c r="AH27" s="1">
        <f>[1]节奏总纲!AH27</f>
        <v>63.791742872142052</v>
      </c>
      <c r="AL27" s="1">
        <f>[1]节奏总纲!AL27</f>
        <v>24</v>
      </c>
      <c r="AM27" s="1">
        <f>[1]节奏总纲!AM27</f>
        <v>10.47447102993563</v>
      </c>
      <c r="AN27" s="1">
        <f>[1]节奏总纲!AN27</f>
        <v>8.3795768239485042</v>
      </c>
      <c r="AO27" s="1">
        <f>[1]节奏总纲!AO27</f>
        <v>6.2846826179613782</v>
      </c>
      <c r="AP27" s="1">
        <f>[1]节奏总纲!AP27</f>
        <v>4.1897884119742521</v>
      </c>
      <c r="AQ27" s="1">
        <f>[1]节奏总纲!AQ27</f>
        <v>2.0948942059871261</v>
      </c>
      <c r="AS27" s="1">
        <f>[1]节奏总纲!AS27</f>
        <v>24</v>
      </c>
      <c r="AT27" s="1">
        <f>[1]节奏总纲!AT27</f>
        <v>1.6389143055524151</v>
      </c>
      <c r="AU27" s="1">
        <f>[1]节奏总纲!AU27</f>
        <v>1.3111314444419317</v>
      </c>
      <c r="AV27" s="1">
        <f>[1]节奏总纲!AV27</f>
        <v>0.98334858333144926</v>
      </c>
      <c r="AW27" s="1">
        <f>[1]节奏总纲!AW27</f>
        <v>0.65556572222096587</v>
      </c>
      <c r="AX27" s="1">
        <f>[1]节奏总纲!AX27</f>
        <v>0.32778286111048294</v>
      </c>
      <c r="AY27" s="1"/>
      <c r="AZ27" s="1">
        <f>[1]节奏总纲!AZ27</f>
        <v>24</v>
      </c>
      <c r="BA27" s="1">
        <f>[1]节奏总纲!BA27</f>
        <v>28.979524459106884</v>
      </c>
      <c r="BB27" s="1">
        <f>[1]节奏总纲!BB27</f>
        <v>30.329493925593439</v>
      </c>
      <c r="BC27" s="1">
        <f>[1]节奏总纲!BC27</f>
        <v>32.113552950216736</v>
      </c>
      <c r="BD27" s="1">
        <f>[1]节奏总纲!BD27</f>
        <v>34.627226072894942</v>
      </c>
      <c r="BE27" s="1">
        <f>[1]节奏总纲!BE27</f>
        <v>39.250296194358178</v>
      </c>
      <c r="BI27" s="1">
        <f>[1]节奏总纲!BI27</f>
        <v>24</v>
      </c>
      <c r="BJ27" s="1">
        <f>[1]节奏总纲!BJ27</f>
        <v>1.6333333333333353</v>
      </c>
      <c r="BK27" s="1">
        <f>[1]节奏总纲!BK27</f>
        <v>1.6660000000000021</v>
      </c>
      <c r="BL27" s="1">
        <f>[1]节奏总纲!BL27</f>
        <v>1.7313333333333356</v>
      </c>
      <c r="BM27" s="1">
        <f>[1]节奏总纲!BM27</f>
        <v>1.8620000000000021</v>
      </c>
      <c r="BN27" s="1">
        <f>[1]节奏总纲!BN27</f>
        <v>2.2866666666666693</v>
      </c>
      <c r="BP27" s="1">
        <f>[1]节奏总纲!BP27</f>
        <v>24</v>
      </c>
      <c r="BQ27" s="1">
        <f>[1]节奏总纲!BQ27</f>
        <v>35.197977552877902</v>
      </c>
      <c r="BR27" s="1">
        <f>[1]节奏总纲!BR27</f>
        <v>34.072116335246974</v>
      </c>
      <c r="BS27" s="1">
        <f>[1]节奏总纲!BS27</f>
        <v>32.816661243819851</v>
      </c>
      <c r="BT27" s="1">
        <f>[1]节奏总纲!BT27</f>
        <v>31.412793977181359</v>
      </c>
      <c r="BU27" s="1">
        <f>[1]节奏总纲!BU27</f>
        <v>29.964600225621755</v>
      </c>
      <c r="BW27" s="1">
        <f>[1]节奏总纲!BW27</f>
        <v>24</v>
      </c>
      <c r="BX27" s="1">
        <f>[1]节奏总纲!BX27</f>
        <v>18.837411459307198</v>
      </c>
      <c r="BY27" s="1">
        <f>[1]节奏总纲!BY27</f>
        <v>19.299728534552713</v>
      </c>
      <c r="BZ27" s="1">
        <f>[1]节奏总纲!BZ27</f>
        <v>19.843744575465458</v>
      </c>
      <c r="CA27" s="1">
        <f>[1]节奏总纲!CA27</f>
        <v>20.432690473143754</v>
      </c>
      <c r="CB27" s="1">
        <f>[1]节奏总纲!CB27</f>
        <v>21.075914438033141</v>
      </c>
      <c r="CC27" s="1">
        <f>[1]节奏总纲!CC27</f>
        <v>21.075914438033141</v>
      </c>
      <c r="CE27" s="1">
        <f>[1]节奏总纲!CE27</f>
        <v>118</v>
      </c>
      <c r="CF27" s="1">
        <f>[1]节奏总纲!CF27</f>
        <v>65</v>
      </c>
    </row>
    <row r="28" spans="2:84" x14ac:dyDescent="0.15">
      <c r="B28" s="1">
        <f>[1]节奏总纲!B28</f>
        <v>25</v>
      </c>
      <c r="C28" s="1">
        <f>[1]节奏总纲!C28</f>
        <v>15.5</v>
      </c>
      <c r="D28" s="1">
        <f>[1]节奏总纲!D28</f>
        <v>8</v>
      </c>
      <c r="F28" s="1">
        <f>[1]节奏总纲!F28</f>
        <v>26</v>
      </c>
      <c r="G28" s="1">
        <f>[1]节奏总纲!G28</f>
        <v>5.062866266041592</v>
      </c>
      <c r="I28" s="1">
        <f>[1]节奏总纲!I28</f>
        <v>26</v>
      </c>
      <c r="J28" s="1">
        <f>[1]节奏总纲!J28</f>
        <v>14.6609224175611</v>
      </c>
      <c r="K28" s="13">
        <f>[1]节奏总纲!K28</f>
        <v>0.82</v>
      </c>
      <c r="N28" s="1">
        <f>[1]节奏总纲!N28</f>
        <v>35</v>
      </c>
      <c r="O28" s="1">
        <f>[1]节奏总纲!O28</f>
        <v>25</v>
      </c>
      <c r="P28" s="1">
        <f>[1]节奏总纲!P28</f>
        <v>4.6568542494923806</v>
      </c>
      <c r="Q28" s="1">
        <f>[1]节奏总纲!Q28</f>
        <v>4.054257309608067</v>
      </c>
      <c r="R28" s="1">
        <f>[1]节奏总纲!R28</f>
        <v>3.3445527219854276</v>
      </c>
      <c r="S28" s="1">
        <f>[1]节奏总纲!S28</f>
        <v>2.478377831579845</v>
      </c>
      <c r="T28" s="1">
        <f>[1]节奏总纲!T28</f>
        <v>1.3802915995495415</v>
      </c>
      <c r="V28" s="1">
        <f>[1]节奏总纲!V28</f>
        <v>25</v>
      </c>
      <c r="W28" s="1">
        <f>[1]节奏总纲!W28</f>
        <v>0.37882260640080379</v>
      </c>
      <c r="X28" s="1">
        <f>[1]节奏总纲!X28</f>
        <v>0.33279758328270415</v>
      </c>
      <c r="Y28" s="1">
        <f>[1]节奏总纲!Y28</f>
        <v>0.27463721490291215</v>
      </c>
      <c r="Z28" s="1">
        <f>[1]节奏总纲!Z28</f>
        <v>0.20417621011236298</v>
      </c>
      <c r="AA28" s="1">
        <f>[1]节奏总纲!AA28</f>
        <v>0.11099961104427059</v>
      </c>
      <c r="AC28" s="1">
        <f>[1]节奏总纲!AC28</f>
        <v>25</v>
      </c>
      <c r="AD28" s="1">
        <f>[1]节奏总纲!AD28</f>
        <v>47.004247194324648</v>
      </c>
      <c r="AE28" s="1">
        <f>[1]节奏总纲!AE28</f>
        <v>48.904516930942819</v>
      </c>
      <c r="AF28" s="1">
        <f>[1]节奏总纲!AF28</f>
        <v>51.667220029142385</v>
      </c>
      <c r="AG28" s="1">
        <f>[1]节奏总纲!AG28</f>
        <v>56.05100027504308</v>
      </c>
      <c r="AH28" s="1">
        <f>[1]节奏总纲!AH28</f>
        <v>64.398425477456215</v>
      </c>
      <c r="AL28" s="1">
        <f>[1]节奏总纲!AL28</f>
        <v>25</v>
      </c>
      <c r="AM28" s="1">
        <f>[1]节奏总纲!AM28</f>
        <v>12.4</v>
      </c>
      <c r="AN28" s="1">
        <f>[1]节奏总纲!AN28</f>
        <v>9.9200000000000017</v>
      </c>
      <c r="AO28" s="1">
        <f>[1]节奏总纲!AO28</f>
        <v>7.4399999999999995</v>
      </c>
      <c r="AP28" s="1">
        <f>[1]节奏总纲!AP28</f>
        <v>4.9600000000000009</v>
      </c>
      <c r="AQ28" s="1">
        <f>[1]节奏总纲!AQ28</f>
        <v>2.4800000000000004</v>
      </c>
      <c r="AS28" s="1">
        <f>[1]节奏总纲!AS28</f>
        <v>25</v>
      </c>
      <c r="AT28" s="1">
        <f>[1]节奏总纲!AT28</f>
        <v>1.9255289700643701</v>
      </c>
      <c r="AU28" s="1">
        <f>[1]节奏总纲!AU28</f>
        <v>1.5404231760514975</v>
      </c>
      <c r="AV28" s="1">
        <f>[1]节奏总纲!AV28</f>
        <v>1.1553173820386213</v>
      </c>
      <c r="AW28" s="1">
        <f>[1]节奏总纲!AW28</f>
        <v>0.77021158802574874</v>
      </c>
      <c r="AX28" s="1">
        <f>[1]节奏总纲!AX28</f>
        <v>0.38510579401287437</v>
      </c>
      <c r="AY28" s="1"/>
      <c r="AZ28" s="1">
        <f>[1]节奏总纲!AZ28</f>
        <v>25</v>
      </c>
      <c r="BA28" s="1">
        <f>[1]节奏总纲!BA28</f>
        <v>29.216428548527322</v>
      </c>
      <c r="BB28" s="1">
        <f>[1]节奏总纲!BB28</f>
        <v>30.579110535891502</v>
      </c>
      <c r="BC28" s="1">
        <f>[1]节奏总纲!BC28</f>
        <v>32.356435933516131</v>
      </c>
      <c r="BD28" s="1">
        <f>[1]节奏总纲!BD28</f>
        <v>34.893493163684269</v>
      </c>
      <c r="BE28" s="1">
        <f>[1]节奏总纲!BE28</f>
        <v>39.520459727922798</v>
      </c>
      <c r="BI28" s="1">
        <f>[1]节奏总纲!BI28</f>
        <v>25</v>
      </c>
      <c r="BJ28" s="1">
        <f>[1]节奏总纲!BJ28</f>
        <v>1.6666666666666687</v>
      </c>
      <c r="BK28" s="1">
        <f>[1]节奏总纲!BK28</f>
        <v>1.7000000000000022</v>
      </c>
      <c r="BL28" s="1">
        <f>[1]节奏总纲!BL28</f>
        <v>1.766666666666669</v>
      </c>
      <c r="BM28" s="1">
        <f>[1]节奏总纲!BM28</f>
        <v>1.9000000000000021</v>
      </c>
      <c r="BN28" s="1">
        <f>[1]节奏总纲!BN28</f>
        <v>2.3333333333333361</v>
      </c>
      <c r="BP28" s="1">
        <f>[1]节奏总纲!BP28</f>
        <v>25</v>
      </c>
      <c r="BQ28" s="1">
        <f>[1]节奏总纲!BQ28</f>
        <v>37.433077144085807</v>
      </c>
      <c r="BR28" s="1">
        <f>[1]节奏总纲!BR28</f>
        <v>36.256047084538473</v>
      </c>
      <c r="BS28" s="1">
        <f>[1]节奏总纲!BS28</f>
        <v>34.973799799710449</v>
      </c>
      <c r="BT28" s="1">
        <f>[1]节奏总纲!BT28</f>
        <v>33.570278782515963</v>
      </c>
      <c r="BU28" s="1">
        <f>[1]节奏总纲!BU28</f>
        <v>32.075561469230017</v>
      </c>
      <c r="BW28" s="1">
        <f>[1]节奏总纲!BW28</f>
        <v>25</v>
      </c>
      <c r="BX28" s="1">
        <f>[1]节奏总纲!BX28</f>
        <v>19.305616573096692</v>
      </c>
      <c r="BY28" s="1">
        <f>[1]节奏总纲!BY28</f>
        <v>19.786727569248686</v>
      </c>
      <c r="BZ28" s="1">
        <f>[1]节奏总纲!BZ28</f>
        <v>20.32215968530463</v>
      </c>
      <c r="CA28" s="1">
        <f>[1]节奏总纲!CA28</f>
        <v>20.939833289691578</v>
      </c>
      <c r="CB28" s="1">
        <f>[1]节奏总纲!CB28</f>
        <v>21.544273429748305</v>
      </c>
      <c r="CC28" s="1">
        <f>[1]节奏总纲!CC28</f>
        <v>21.544273429748305</v>
      </c>
      <c r="CE28" s="1">
        <f>[1]节奏总纲!CE28</f>
        <v>123</v>
      </c>
      <c r="CF28" s="1">
        <f>[1]节奏总纲!CF28</f>
        <v>67</v>
      </c>
    </row>
    <row r="29" spans="2:84" x14ac:dyDescent="0.15">
      <c r="B29" s="1">
        <f>[1]节奏总纲!B29</f>
        <v>30</v>
      </c>
      <c r="C29" s="1">
        <f>[1]节奏总纲!C29</f>
        <v>31.5</v>
      </c>
      <c r="D29" s="1">
        <f>[1]节奏总纲!D29</f>
        <v>16</v>
      </c>
      <c r="F29" s="1">
        <f>[1]节奏总纲!F29</f>
        <v>27</v>
      </c>
      <c r="G29" s="1">
        <f>[1]节奏总纲!G29</f>
        <v>5.4980191708498847</v>
      </c>
      <c r="I29" s="1">
        <f>[1]节奏总纲!I29</f>
        <v>27</v>
      </c>
      <c r="J29" s="1">
        <f>[1]节奏总纲!J29</f>
        <v>17.314186320787698</v>
      </c>
      <c r="K29" s="13">
        <f>[1]节奏总纲!K29</f>
        <v>0.84</v>
      </c>
      <c r="N29" s="1">
        <f>[1]节奏总纲!N29</f>
        <v>36</v>
      </c>
      <c r="O29" s="1">
        <f>[1]节奏总纲!O29</f>
        <v>26</v>
      </c>
      <c r="P29" s="1">
        <f>[1]节奏总纲!P29</f>
        <v>5.062866266041592</v>
      </c>
      <c r="Q29" s="1">
        <f>[1]节奏总纲!Q29</f>
        <v>4.408743944469018</v>
      </c>
      <c r="R29" s="1">
        <f>[1]节奏总纲!R29</f>
        <v>3.63716312552428</v>
      </c>
      <c r="S29" s="1">
        <f>[1]节奏总纲!S29</f>
        <v>2.6914197070277099</v>
      </c>
      <c r="T29" s="1">
        <f>[1]节奏总纲!T29</f>
        <v>1.4996209880015197</v>
      </c>
      <c r="V29" s="1">
        <f>[1]节奏总纲!V29</f>
        <v>26</v>
      </c>
      <c r="W29" s="1">
        <f>[1]节奏总纲!W29</f>
        <v>0.40601201654921137</v>
      </c>
      <c r="X29" s="1">
        <f>[1]节奏总纲!X29</f>
        <v>0.354486634860951</v>
      </c>
      <c r="Y29" s="1">
        <f>[1]节奏总纲!Y29</f>
        <v>0.29261040353885237</v>
      </c>
      <c r="Z29" s="1">
        <f>[1]节奏总纲!Z29</f>
        <v>0.2130418754478649</v>
      </c>
      <c r="AA29" s="1">
        <f>[1]节奏总纲!AA29</f>
        <v>0.11932938845197816</v>
      </c>
      <c r="AC29" s="1">
        <f>[1]节奏总纲!AC29</f>
        <v>26</v>
      </c>
      <c r="AD29" s="1">
        <f>[1]节奏总纲!AD29</f>
        <v>47.540284631526092</v>
      </c>
      <c r="AE29" s="1">
        <f>[1]节奏总纲!AE29</f>
        <v>49.446133440059114</v>
      </c>
      <c r="AF29" s="1">
        <f>[1]节奏总纲!AF29</f>
        <v>52.199341027338768</v>
      </c>
      <c r="AG29" s="1">
        <f>[1]节奏总纲!AG29</f>
        <v>56.621068614050692</v>
      </c>
      <c r="AH29" s="1">
        <f>[1]节奏总纲!AH29</f>
        <v>65.00344105132713</v>
      </c>
      <c r="AL29" s="1">
        <f>[1]节奏总纲!AL29</f>
        <v>26</v>
      </c>
      <c r="AM29" s="1">
        <f>[1]节奏总纲!AM29</f>
        <v>14.6609224175611</v>
      </c>
      <c r="AN29" s="1">
        <f>[1]节奏总纲!AN29</f>
        <v>11.72873793404888</v>
      </c>
      <c r="AO29" s="1">
        <f>[1]节奏总纲!AO29</f>
        <v>8.7965534505366598</v>
      </c>
      <c r="AP29" s="1">
        <f>[1]节奏总纲!AP29</f>
        <v>5.8643689670244399</v>
      </c>
      <c r="AQ29" s="1">
        <f>[1]节奏总纲!AQ29</f>
        <v>2.9321844835122199</v>
      </c>
      <c r="AS29" s="1">
        <f>[1]节奏总纲!AS29</f>
        <v>26</v>
      </c>
      <c r="AT29" s="1">
        <f>[1]节奏总纲!AT29</f>
        <v>2.2609224175610994</v>
      </c>
      <c r="AU29" s="1">
        <f>[1]节奏总纲!AU29</f>
        <v>1.8087379340488781</v>
      </c>
      <c r="AV29" s="1">
        <f>[1]节奏总纲!AV29</f>
        <v>1.3565534505366603</v>
      </c>
      <c r="AW29" s="1">
        <f>[1]节奏总纲!AW29</f>
        <v>0.90436896702443903</v>
      </c>
      <c r="AX29" s="1">
        <f>[1]节奏总纲!AX29</f>
        <v>0.45218448351221951</v>
      </c>
      <c r="AY29" s="1"/>
      <c r="AZ29" s="1">
        <f>[1]节奏总纲!AZ29</f>
        <v>26</v>
      </c>
      <c r="BA29" s="1">
        <f>[1]节奏总纲!BA29</f>
        <v>29.45033047434006</v>
      </c>
      <c r="BB29" s="1">
        <f>[1]节奏总纲!BB29</f>
        <v>30.828727146189561</v>
      </c>
      <c r="BC29" s="1">
        <f>[1]节奏总纲!BC29</f>
        <v>32.59931891681552</v>
      </c>
      <c r="BD29" s="1">
        <f>[1]节奏总纲!BD29</f>
        <v>35.146386283795508</v>
      </c>
      <c r="BE29" s="1">
        <f>[1]节奏总纲!BE29</f>
        <v>39.790623261487418</v>
      </c>
      <c r="BI29" s="1">
        <f>[1]节奏总纲!BI29</f>
        <v>26</v>
      </c>
      <c r="BJ29" s="1">
        <f>[1]节奏总纲!BJ29</f>
        <v>1.7000000000000022</v>
      </c>
      <c r="BK29" s="1">
        <f>[1]节奏总纲!BK29</f>
        <v>1.7340000000000022</v>
      </c>
      <c r="BL29" s="1">
        <f>[1]节奏总纲!BL29</f>
        <v>1.8020000000000025</v>
      </c>
      <c r="BM29" s="1">
        <f>[1]节奏总纲!BM29</f>
        <v>1.9380000000000024</v>
      </c>
      <c r="BN29" s="1">
        <f>[1]节奏总纲!BN29</f>
        <v>2.380000000000003</v>
      </c>
      <c r="BP29" s="1">
        <f>[1]节奏总纲!BP29</f>
        <v>26</v>
      </c>
      <c r="BQ29" s="1">
        <f>[1]节奏总纲!BQ29</f>
        <v>39.683540456879165</v>
      </c>
      <c r="BR29" s="1">
        <f>[1]节奏总纲!BR29</f>
        <v>38.510750823022413</v>
      </c>
      <c r="BS29" s="1">
        <f>[1]节奏总纲!BS29</f>
        <v>37.198506294230036</v>
      </c>
      <c r="BT29" s="1">
        <f>[1]节奏总纲!BT29</f>
        <v>35.753927091474367</v>
      </c>
      <c r="BU29" s="1">
        <f>[1]节奏总纲!BU29</f>
        <v>34.222396456091865</v>
      </c>
      <c r="BW29" s="1">
        <f>[1]节奏总纲!BW29</f>
        <v>26</v>
      </c>
      <c r="BX29" s="1">
        <f>[1]节奏总纲!BX29</f>
        <v>19.780926419241737</v>
      </c>
      <c r="BY29" s="1">
        <f>[1]节奏总纲!BY29</f>
        <v>20.259244188823619</v>
      </c>
      <c r="BZ29" s="1">
        <f>[1]节奏总纲!BZ29</f>
        <v>20.806693001307259</v>
      </c>
      <c r="CA29" s="1">
        <f>[1]节奏总纲!CA29</f>
        <v>21.398356957135043</v>
      </c>
      <c r="CB29" s="1">
        <f>[1]节奏总纲!CB29</f>
        <v>22.040613536331495</v>
      </c>
      <c r="CC29" s="1">
        <f>[1]节奏总纲!CC29</f>
        <v>22.040613536331495</v>
      </c>
      <c r="CE29" s="1">
        <f>[1]节奏总纲!CE29</f>
        <v>128</v>
      </c>
      <c r="CF29" s="1">
        <f>[1]节奏总纲!CF29</f>
        <v>69</v>
      </c>
    </row>
    <row r="30" spans="2:84" x14ac:dyDescent="0.15">
      <c r="B30" s="1">
        <f>[1]节奏总纲!B30</f>
        <v>35</v>
      </c>
      <c r="C30" s="1">
        <f>[1]节奏总纲!C30</f>
        <v>63.5</v>
      </c>
      <c r="D30" s="1">
        <f>[1]节奏总纲!D30</f>
        <v>32</v>
      </c>
      <c r="F30" s="1">
        <f>[1]节奏总纲!F30</f>
        <v>28</v>
      </c>
      <c r="G30" s="1">
        <f>[1]节奏总纲!G30</f>
        <v>5.9644045063689921</v>
      </c>
      <c r="I30" s="1">
        <f>[1]节奏总纲!I30</f>
        <v>28</v>
      </c>
      <c r="J30" s="1">
        <f>[1]节奏总纲!J30</f>
        <v>20.42625995518307</v>
      </c>
      <c r="K30" s="13">
        <f>[1]节奏总纲!K30</f>
        <v>0.86</v>
      </c>
      <c r="N30" s="1">
        <f>[1]节奏总纲!N30</f>
        <v>37</v>
      </c>
      <c r="O30" s="1">
        <f>[1]节奏总纲!O30</f>
        <v>27</v>
      </c>
      <c r="P30" s="1">
        <f>[1]节奏总纲!P30</f>
        <v>5.4980191708498847</v>
      </c>
      <c r="Q30" s="1">
        <f>[1]节奏总纲!Q30</f>
        <v>4.7882248958931646</v>
      </c>
      <c r="R30" s="1">
        <f>[1]节奏总纲!R30</f>
        <v>3.9492271704214725</v>
      </c>
      <c r="S30" s="1">
        <f>[1]节奏总纲!S30</f>
        <v>2.9205477835554587</v>
      </c>
      <c r="T30" s="1">
        <f>[1]节奏总纲!T30</f>
        <v>1.6290630803228208</v>
      </c>
      <c r="V30" s="1">
        <f>[1]节奏总纲!V30</f>
        <v>27</v>
      </c>
      <c r="W30" s="1">
        <f>[1]节奏总纲!W30</f>
        <v>0.43515290480829272</v>
      </c>
      <c r="X30" s="1">
        <f>[1]节奏总纲!X30</f>
        <v>0.37948095142414662</v>
      </c>
      <c r="Y30" s="1">
        <f>[1]节奏总纲!Y30</f>
        <v>0.31206404489719253</v>
      </c>
      <c r="Z30" s="1">
        <f>[1]节奏总纲!Z30</f>
        <v>0.2291280765277488</v>
      </c>
      <c r="AA30" s="1">
        <f>[1]节奏总纲!AA30</f>
        <v>0.12944209232130111</v>
      </c>
      <c r="AC30" s="1">
        <f>[1]节奏总纲!AC30</f>
        <v>27</v>
      </c>
      <c r="AD30" s="1">
        <f>[1]节奏总纲!AD30</f>
        <v>48.071211008105138</v>
      </c>
      <c r="AE30" s="1">
        <f>[1]节奏总纲!AE30</f>
        <v>49.981218513907905</v>
      </c>
      <c r="AF30" s="1">
        <f>[1]节奏总纲!AF30</f>
        <v>52.705993248660157</v>
      </c>
      <c r="AG30" s="1">
        <f>[1]节奏总纲!AG30</f>
        <v>57.175765669822162</v>
      </c>
      <c r="AH30" s="1">
        <f>[1]节奏总纲!AH30</f>
        <v>65.541743280100334</v>
      </c>
      <c r="AL30" s="1">
        <f>[1]节奏总纲!AL30</f>
        <v>27</v>
      </c>
      <c r="AM30" s="1">
        <f>[1]节奏总纲!AM30</f>
        <v>17.314186320787698</v>
      </c>
      <c r="AN30" s="1">
        <f>[1]节奏总纲!AN30</f>
        <v>13.851349056630159</v>
      </c>
      <c r="AO30" s="1">
        <f>[1]节奏总纲!AO30</f>
        <v>10.388511792472618</v>
      </c>
      <c r="AP30" s="1">
        <f>[1]节奏总纲!AP30</f>
        <v>6.9256745283150796</v>
      </c>
      <c r="AQ30" s="1">
        <f>[1]节奏总纲!AQ30</f>
        <v>3.4628372641575398</v>
      </c>
      <c r="AS30" s="1">
        <f>[1]节奏总纲!AS30</f>
        <v>27</v>
      </c>
      <c r="AT30" s="1">
        <f>[1]节奏总纲!AT30</f>
        <v>2.6532639032265983</v>
      </c>
      <c r="AU30" s="1">
        <f>[1]节奏总纲!AU30</f>
        <v>2.1226111225812794</v>
      </c>
      <c r="AV30" s="1">
        <f>[1]节奏总纲!AV30</f>
        <v>1.5919583419359586</v>
      </c>
      <c r="AW30" s="1">
        <f>[1]节奏总纲!AW30</f>
        <v>1.0613055612906397</v>
      </c>
      <c r="AX30" s="1">
        <f>[1]节奏总纲!AX30</f>
        <v>0.53065278064531984</v>
      </c>
      <c r="AY30" s="1"/>
      <c r="AZ30" s="1">
        <f>[1]节奏总纲!AZ30</f>
        <v>27</v>
      </c>
      <c r="BA30" s="1">
        <f>[1]节奏总纲!BA30</f>
        <v>29.684232400152801</v>
      </c>
      <c r="BB30" s="1">
        <f>[1]节奏总纲!BB30</f>
        <v>31.066913270913183</v>
      </c>
      <c r="BC30" s="1">
        <f>[1]节奏总纲!BC30</f>
        <v>32.842201900114915</v>
      </c>
      <c r="BD30" s="1">
        <f>[1]节奏总纲!BD30</f>
        <v>35.390363423454687</v>
      </c>
      <c r="BE30" s="1">
        <f>[1]节奏总纲!BE30</f>
        <v>40.052446592012309</v>
      </c>
      <c r="BI30" s="1">
        <f>[1]节奏总纲!BI30</f>
        <v>27</v>
      </c>
      <c r="BJ30" s="1">
        <f>[1]节奏总纲!BJ30</f>
        <v>1.7333333333333356</v>
      </c>
      <c r="BK30" s="1">
        <f>[1]节奏总纲!BK30</f>
        <v>1.7680000000000025</v>
      </c>
      <c r="BL30" s="1">
        <f>[1]节奏总纲!BL30</f>
        <v>1.8373333333333359</v>
      </c>
      <c r="BM30" s="1">
        <f>[1]节奏总纲!BM30</f>
        <v>1.9760000000000024</v>
      </c>
      <c r="BN30" s="1">
        <f>[1]节奏总纲!BN30</f>
        <v>2.4266666666666699</v>
      </c>
      <c r="BP30" s="1">
        <f>[1]节奏总纲!BP30</f>
        <v>27</v>
      </c>
      <c r="BQ30" s="1">
        <f>[1]节奏总纲!BQ30</f>
        <v>41.947199016886806</v>
      </c>
      <c r="BR30" s="1">
        <f>[1]节奏总纲!BR30</f>
        <v>40.787439392565133</v>
      </c>
      <c r="BS30" s="1">
        <f>[1]节奏总纲!BS30</f>
        <v>39.486304880774611</v>
      </c>
      <c r="BT30" s="1">
        <f>[1]节奏总纲!BT30</f>
        <v>38.056251761612167</v>
      </c>
      <c r="BU30" s="1">
        <f>[1]节奏总纲!BU30</f>
        <v>36.474789469426575</v>
      </c>
      <c r="BW30" s="1">
        <f>[1]节奏总纲!BW30</f>
        <v>27</v>
      </c>
      <c r="BX30" s="1">
        <f>[1]节奏总纲!BX30</f>
        <v>20.246416839245761</v>
      </c>
      <c r="BY30" s="1">
        <f>[1]节奏总纲!BY30</f>
        <v>20.730530825071739</v>
      </c>
      <c r="BZ30" s="1">
        <f>[1]节奏总纲!BZ30</f>
        <v>21.274723266233853</v>
      </c>
      <c r="CA30" s="1">
        <f>[1]节奏总纲!CA30</f>
        <v>21.881755925323187</v>
      </c>
      <c r="CB30" s="1">
        <f>[1]节奏总纲!CB30</f>
        <v>22.50487323022379</v>
      </c>
      <c r="CC30" s="1">
        <f>[1]节奏总纲!CC30</f>
        <v>22.50487323022379</v>
      </c>
      <c r="CE30" s="1">
        <f>[1]节奏总纲!CE30</f>
        <v>133</v>
      </c>
      <c r="CF30" s="1">
        <f>[1]节奏总纲!CF30</f>
        <v>72</v>
      </c>
    </row>
    <row r="31" spans="2:84" x14ac:dyDescent="0.15">
      <c r="B31" s="1">
        <f>[1]节奏总纲!B31</f>
        <v>40</v>
      </c>
      <c r="C31" s="1">
        <f>[1]节奏总纲!C31</f>
        <v>127.5</v>
      </c>
      <c r="D31" s="1">
        <f>[1]节奏总纲!D31</f>
        <v>64</v>
      </c>
      <c r="F31" s="1">
        <f>[1]节奏总纲!F31</f>
        <v>29</v>
      </c>
      <c r="G31" s="1">
        <f>[1]节奏总纲!G31</f>
        <v>6.4642639322944575</v>
      </c>
      <c r="I31" s="1">
        <f>[1]节奏总纲!I31</f>
        <v>29</v>
      </c>
      <c r="J31" s="1">
        <f>[1]节奏总纲!J31</f>
        <v>24.074703862418847</v>
      </c>
      <c r="K31" s="13">
        <f>[1]节奏总纲!K31</f>
        <v>0.88</v>
      </c>
      <c r="N31" s="1">
        <f>[1]节奏总纲!N31</f>
        <v>38</v>
      </c>
      <c r="O31" s="1">
        <f>[1]节奏总纲!O31</f>
        <v>28</v>
      </c>
      <c r="P31" s="1">
        <f>[1]节奏总纲!P31</f>
        <v>5.9644045063689921</v>
      </c>
      <c r="Q31" s="1">
        <f>[1]节奏总纲!Q31</f>
        <v>5.1914176823435705</v>
      </c>
      <c r="R31" s="1">
        <f>[1]节奏总纲!R31</f>
        <v>4.2752851501652938</v>
      </c>
      <c r="S31" s="1">
        <f>[1]节奏总纲!S31</f>
        <v>3.1653094715300236</v>
      </c>
      <c r="T31" s="1">
        <f>[1]节奏总纲!T31</f>
        <v>1.7738139001941382</v>
      </c>
      <c r="V31" s="1">
        <f>[1]节奏总纲!V31</f>
        <v>28</v>
      </c>
      <c r="W31" s="1">
        <f>[1]节奏总纲!W31</f>
        <v>0.46638533551910744</v>
      </c>
      <c r="X31" s="1">
        <f>[1]节奏总纲!X31</f>
        <v>0.4031927864504059</v>
      </c>
      <c r="Y31" s="1">
        <f>[1]节奏总纲!Y31</f>
        <v>0.32605797974382122</v>
      </c>
      <c r="Z31" s="1">
        <f>[1]节奏总纲!Z31</f>
        <v>0.24476168797456488</v>
      </c>
      <c r="AA31" s="1">
        <f>[1]节奏总纲!AA31</f>
        <v>0.14475081987131744</v>
      </c>
      <c r="AC31" s="1">
        <f>[1]节奏总纲!AC31</f>
        <v>28</v>
      </c>
      <c r="AD31" s="1">
        <f>[1]节奏总纲!AD31</f>
        <v>48.571351621712928</v>
      </c>
      <c r="AE31" s="1">
        <f>[1]节奏总纲!AE31</f>
        <v>50.509688493127967</v>
      </c>
      <c r="AF31" s="1">
        <f>[1]节奏总纲!AF31</f>
        <v>53.212684955585161</v>
      </c>
      <c r="AG31" s="1">
        <f>[1]节奏总纲!AG31</f>
        <v>57.699988965458331</v>
      </c>
      <c r="AH31" s="1">
        <f>[1]节奏总纲!AH31</f>
        <v>66.076345334947405</v>
      </c>
      <c r="AL31" s="1">
        <f>[1]节奏总纲!AL31</f>
        <v>28</v>
      </c>
      <c r="AM31" s="1">
        <f>[1]节奏总纲!AM31</f>
        <v>20.42625995518307</v>
      </c>
      <c r="AN31" s="1">
        <f>[1]节奏总纲!AN31</f>
        <v>16.341007964146456</v>
      </c>
      <c r="AO31" s="1">
        <f>[1]节奏总纲!AO31</f>
        <v>12.255755973109842</v>
      </c>
      <c r="AP31" s="1">
        <f>[1]节奏总纲!AP31</f>
        <v>8.1705039820732281</v>
      </c>
      <c r="AQ31" s="1">
        <f>[1]节奏总纲!AQ31</f>
        <v>4.0852519910366141</v>
      </c>
      <c r="AS31" s="1">
        <f>[1]节奏总纲!AS31</f>
        <v>28</v>
      </c>
      <c r="AT31" s="1">
        <f>[1]节奏总纲!AT31</f>
        <v>3.1120736343953723</v>
      </c>
      <c r="AU31" s="1">
        <f>[1]节奏总纲!AU31</f>
        <v>2.4896589075162971</v>
      </c>
      <c r="AV31" s="1">
        <f>[1]节奏总纲!AV31</f>
        <v>1.8672441806372237</v>
      </c>
      <c r="AW31" s="1">
        <f>[1]节奏总纲!AW31</f>
        <v>1.2448294537581486</v>
      </c>
      <c r="AX31" s="1">
        <f>[1]节奏总纲!AX31</f>
        <v>0.62241472687907429</v>
      </c>
      <c r="AY31" s="1"/>
      <c r="AZ31" s="1">
        <f>[1]节奏总纲!AZ31</f>
        <v>28</v>
      </c>
      <c r="BA31" s="1">
        <f>[1]节奏总纲!BA31</f>
        <v>29.918134325965539</v>
      </c>
      <c r="BB31" s="1">
        <f>[1]节奏总纲!BB31</f>
        <v>31.280110398778046</v>
      </c>
      <c r="BC31" s="1">
        <f>[1]节奏总纲!BC31</f>
        <v>33.072726100175295</v>
      </c>
      <c r="BD31" s="1">
        <f>[1]节奏总纲!BD31</f>
        <v>35.634340563113874</v>
      </c>
      <c r="BE31" s="1">
        <f>[1]节奏总纲!BE31</f>
        <v>40.28554255651148</v>
      </c>
      <c r="BI31" s="1">
        <f>[1]节奏总纲!BI31</f>
        <v>28</v>
      </c>
      <c r="BJ31" s="1">
        <f>[1]节奏总纲!BJ31</f>
        <v>1.766666666666669</v>
      </c>
      <c r="BK31" s="1">
        <f>[1]节奏总纲!BK31</f>
        <v>1.8020000000000025</v>
      </c>
      <c r="BL31" s="1">
        <f>[1]节奏总纲!BL31</f>
        <v>1.8726666666666694</v>
      </c>
      <c r="BM31" s="1">
        <f>[1]节奏总纲!BM31</f>
        <v>2.0140000000000025</v>
      </c>
      <c r="BN31" s="1">
        <f>[1]节奏总纲!BN31</f>
        <v>2.4733333333333367</v>
      </c>
      <c r="BP31" s="1">
        <f>[1]节奏总纲!BP31</f>
        <v>28</v>
      </c>
      <c r="BQ31" s="1">
        <f>[1]节奏总纲!BQ31</f>
        <v>44.207309026381338</v>
      </c>
      <c r="BR31" s="1">
        <f>[1]节奏总纲!BR31</f>
        <v>43.001962251090099</v>
      </c>
      <c r="BS31" s="1">
        <f>[1]节奏总纲!BS31</f>
        <v>41.684581461949612</v>
      </c>
      <c r="BT31" s="1">
        <f>[1]节奏总纲!BT31</f>
        <v>40.269613788949812</v>
      </c>
      <c r="BU31" s="1">
        <f>[1]节奏总纲!BU31</f>
        <v>38.716188571600512</v>
      </c>
      <c r="BW31" s="1">
        <f>[1]节奏总纲!BW31</f>
        <v>28</v>
      </c>
      <c r="BX31" s="1">
        <f>[1]节奏总纲!BX31</f>
        <v>20.709789085251497</v>
      </c>
      <c r="BY31" s="1">
        <f>[1]节奏总纲!BY31</f>
        <v>21.196432625118295</v>
      </c>
      <c r="BZ31" s="1">
        <f>[1]节奏总纲!BZ31</f>
        <v>21.73332002826092</v>
      </c>
      <c r="CA31" s="1">
        <f>[1]节奏总纲!CA31</f>
        <v>22.338424098785335</v>
      </c>
      <c r="CB31" s="1">
        <f>[1]节奏总纲!CB31</f>
        <v>23.020448156730307</v>
      </c>
      <c r="CC31" s="1">
        <f>[1]节奏总纲!CC31</f>
        <v>23.020448156730307</v>
      </c>
      <c r="CE31" s="1">
        <f>[1]节奏总纲!CE31</f>
        <v>138</v>
      </c>
      <c r="CF31" s="1">
        <f>[1]节奏总纲!CF31</f>
        <v>74</v>
      </c>
    </row>
    <row r="32" spans="2:84" x14ac:dyDescent="0.15">
      <c r="B32" s="1">
        <f>[1]节奏总纲!B32</f>
        <v>45</v>
      </c>
      <c r="C32" s="1">
        <f>[1]节奏总纲!C32</f>
        <v>255.5</v>
      </c>
      <c r="D32" s="1">
        <f>[1]节奏总纲!D32</f>
        <v>128</v>
      </c>
      <c r="F32" s="1">
        <f>[1]节奏总纲!F32</f>
        <v>30</v>
      </c>
      <c r="G32" s="1">
        <f>[1]节奏总纲!G32</f>
        <v>7</v>
      </c>
      <c r="I32" s="1">
        <f>[1]节奏总纲!I32</f>
        <v>30</v>
      </c>
      <c r="J32" s="1">
        <f>[1]节奏总纲!J32</f>
        <v>28.35</v>
      </c>
      <c r="K32" s="13">
        <f>[1]节奏总纲!K32</f>
        <v>0.9</v>
      </c>
      <c r="N32" s="1">
        <f>[1]节奏总纲!N32</f>
        <v>39</v>
      </c>
      <c r="O32" s="1">
        <f>[1]节奏总纲!O32</f>
        <v>29</v>
      </c>
      <c r="P32" s="1">
        <f>[1]节奏总纲!P32</f>
        <v>6.4642639322944575</v>
      </c>
      <c r="Q32" s="1">
        <f>[1]节奏总纲!Q32</f>
        <v>5.6323131642081607</v>
      </c>
      <c r="R32" s="1">
        <f>[1]节奏总纲!R32</f>
        <v>4.6510378992858623</v>
      </c>
      <c r="S32" s="1">
        <f>[1]节奏总纲!S32</f>
        <v>3.4532097926316991</v>
      </c>
      <c r="T32" s="1">
        <f>[1]节奏总纲!T32</f>
        <v>1.9366934741154194</v>
      </c>
      <c r="V32" s="1">
        <f>[1]节奏总纲!V32</f>
        <v>29</v>
      </c>
      <c r="W32" s="1">
        <f>[1]节奏总纲!W32</f>
        <v>0.49985942592546539</v>
      </c>
      <c r="X32" s="1">
        <f>[1]节奏总纲!X32</f>
        <v>0.44089548186459027</v>
      </c>
      <c r="Y32" s="1">
        <f>[1]节奏总纲!Y32</f>
        <v>0.37575274912056855</v>
      </c>
      <c r="Z32" s="1">
        <f>[1]节奏总纲!Z32</f>
        <v>0.28790032110167552</v>
      </c>
      <c r="AA32" s="1">
        <f>[1]节奏总纲!AA32</f>
        <v>0.16287957392128116</v>
      </c>
      <c r="AC32" s="1">
        <f>[1]节奏总纲!AC32</f>
        <v>29</v>
      </c>
      <c r="AD32" s="1">
        <f>[1]节奏总纲!AD32</f>
        <v>49.066704614192936</v>
      </c>
      <c r="AE32" s="1">
        <f>[1]节奏总纲!AE32</f>
        <v>51.033341828534468</v>
      </c>
      <c r="AF32" s="1">
        <f>[1]节奏总纲!AF32</f>
        <v>53.719431255885922</v>
      </c>
      <c r="AG32" s="1">
        <f>[1]节奏总纲!AG32</f>
        <v>58.210135614815364</v>
      </c>
      <c r="AH32" s="1">
        <f>[1]节奏总纲!AH32</f>
        <v>66.589764070576265</v>
      </c>
      <c r="AL32" s="1">
        <f>[1]节奏总纲!AL32</f>
        <v>29</v>
      </c>
      <c r="AM32" s="1">
        <f>[1]节奏总纲!AM32</f>
        <v>24.074703862418847</v>
      </c>
      <c r="AN32" s="1">
        <f>[1]节奏总纲!AN32</f>
        <v>19.259763089935078</v>
      </c>
      <c r="AO32" s="1">
        <f>[1]节奏总纲!AO32</f>
        <v>14.444822317451308</v>
      </c>
      <c r="AP32" s="1">
        <f>[1]节奏总纲!AP32</f>
        <v>9.6298815449675388</v>
      </c>
      <c r="AQ32" s="1">
        <f>[1]节奏总纲!AQ32</f>
        <v>4.8149407724837694</v>
      </c>
      <c r="AS32" s="1">
        <f>[1]节奏总纲!AS32</f>
        <v>29</v>
      </c>
      <c r="AT32" s="1">
        <f>[1]节奏总纲!AT32</f>
        <v>3.6484439072357766</v>
      </c>
      <c r="AU32" s="1">
        <f>[1]节奏总纲!AU32</f>
        <v>2.9187551257886213</v>
      </c>
      <c r="AV32" s="1">
        <f>[1]节奏总纲!AV32</f>
        <v>2.189066344341466</v>
      </c>
      <c r="AW32" s="1">
        <f>[1]节奏总纲!AW32</f>
        <v>1.4593775628943106</v>
      </c>
      <c r="AX32" s="1">
        <f>[1]节奏总纲!AX32</f>
        <v>0.72968878144715532</v>
      </c>
      <c r="AY32" s="1"/>
      <c r="AZ32" s="1">
        <f>[1]节奏总纲!AZ32</f>
        <v>29</v>
      </c>
      <c r="BA32" s="1">
        <f>[1]节奏总纲!BA32</f>
        <v>30.12980063735499</v>
      </c>
      <c r="BB32" s="1">
        <f>[1]节奏总纲!BB32</f>
        <v>31.493307526642905</v>
      </c>
      <c r="BC32" s="1">
        <f>[1]节奏总纲!BC32</f>
        <v>33.280329748032408</v>
      </c>
      <c r="BD32" s="1">
        <f>[1]节奏总纲!BD32</f>
        <v>35.878317702773053</v>
      </c>
      <c r="BE32" s="1">
        <f>[1]节奏总纲!BE32</f>
        <v>40.518638521010644</v>
      </c>
      <c r="BI32" s="1">
        <f>[1]节奏总纲!BI32</f>
        <v>29</v>
      </c>
      <c r="BJ32" s="1">
        <f>[1]节奏总纲!BJ32</f>
        <v>1.8000000000000025</v>
      </c>
      <c r="BK32" s="1">
        <f>[1]节奏总纲!BK32</f>
        <v>1.8360000000000025</v>
      </c>
      <c r="BL32" s="1">
        <f>[1]节奏总纲!BL32</f>
        <v>1.9080000000000028</v>
      </c>
      <c r="BM32" s="1">
        <f>[1]节奏总纲!BM32</f>
        <v>2.0520000000000027</v>
      </c>
      <c r="BN32" s="1">
        <f>[1]节奏总纲!BN32</f>
        <v>2.5200000000000031</v>
      </c>
      <c r="BP32" s="1">
        <f>[1]节奏总纲!BP32</f>
        <v>29</v>
      </c>
      <c r="BQ32" s="1">
        <f>[1]节奏总纲!BQ32</f>
        <v>46.472959498348729</v>
      </c>
      <c r="BR32" s="1">
        <f>[1]节奏总纲!BR32</f>
        <v>45.255017621525596</v>
      </c>
      <c r="BS32" s="1">
        <f>[1]节奏总纲!BS32</f>
        <v>43.924726999026539</v>
      </c>
      <c r="BT32" s="1">
        <f>[1]节奏总纲!BT32</f>
        <v>42.440671676816109</v>
      </c>
      <c r="BU32" s="1">
        <f>[1]节奏总纲!BU32</f>
        <v>40.873232138623273</v>
      </c>
      <c r="BW32" s="1">
        <f>[1]节奏总纲!BW32</f>
        <v>29</v>
      </c>
      <c r="BX32" s="1">
        <f>[1]节奏总纲!BX32</f>
        <v>21.175328404170024</v>
      </c>
      <c r="BY32" s="1">
        <f>[1]节奏总纲!BY32</f>
        <v>21.66151840648989</v>
      </c>
      <c r="BZ32" s="1">
        <f>[1]节奏总纲!BZ32</f>
        <v>22.222544796364009</v>
      </c>
      <c r="CA32" s="1">
        <f>[1]节奏总纲!CA32</f>
        <v>22.854718731192797</v>
      </c>
      <c r="CB32" s="1">
        <f>[1]节奏总纲!CB32</f>
        <v>23.517361184365331</v>
      </c>
      <c r="CC32" s="1">
        <f>[1]节奏总纲!CC32</f>
        <v>23.517361184365331</v>
      </c>
      <c r="CE32" s="1">
        <f>[1]节奏总纲!CE32</f>
        <v>143</v>
      </c>
      <c r="CF32" s="1">
        <f>[1]节奏总纲!CF32</f>
        <v>76</v>
      </c>
    </row>
    <row r="33" spans="2:84" x14ac:dyDescent="0.15">
      <c r="B33" s="1">
        <f>[1]节奏总纲!B33</f>
        <v>50</v>
      </c>
      <c r="C33" s="1">
        <f>[1]节奏总纲!C33</f>
        <v>511.5</v>
      </c>
      <c r="D33" s="1">
        <f>[1]节奏总纲!D33</f>
        <v>256</v>
      </c>
      <c r="F33" s="1">
        <f>[1]节奏总纲!F33</f>
        <v>31</v>
      </c>
      <c r="G33" s="1">
        <f>[1]节奏总纲!G33</f>
        <v>7.5741877002903433</v>
      </c>
      <c r="I33" s="1">
        <f>[1]节奏总纲!I33</f>
        <v>31</v>
      </c>
      <c r="J33" s="1">
        <f>[1]节奏总纲!J33</f>
        <v>33.357679571112705</v>
      </c>
      <c r="K33" s="13">
        <f>[1]节奏总纲!K33</f>
        <v>0.92</v>
      </c>
      <c r="N33" s="1">
        <f>[1]节奏总纲!N33</f>
        <v>40</v>
      </c>
      <c r="O33" s="1">
        <f>[1]节奏总纲!O33</f>
        <v>30</v>
      </c>
      <c r="P33" s="1">
        <f>[1]节奏总纲!P33</f>
        <v>7</v>
      </c>
      <c r="Q33" s="1">
        <f>[1]节奏总纲!Q33</f>
        <v>6.1025999999999998</v>
      </c>
      <c r="R33" s="1">
        <f>[1]节奏总纲!R33</f>
        <v>5.0421000000000005</v>
      </c>
      <c r="S33" s="1">
        <f>[1]节奏总纲!S33</f>
        <v>3.7428999999999997</v>
      </c>
      <c r="T33" s="1">
        <f>[1]节奏总纲!T33</f>
        <v>2.1006999999999998</v>
      </c>
      <c r="V33" s="1">
        <f>[1]节奏总纲!V33</f>
        <v>30</v>
      </c>
      <c r="W33" s="1">
        <f>[1]节奏总纲!W33</f>
        <v>0.5357360677055425</v>
      </c>
      <c r="X33" s="1">
        <f>[1]节奏总纲!X33</f>
        <v>0.47028683579183905</v>
      </c>
      <c r="Y33" s="1">
        <f>[1]节奏总纲!Y33</f>
        <v>0.39106210071413816</v>
      </c>
      <c r="Z33" s="1">
        <f>[1]节奏总纲!Z33</f>
        <v>0.28969020736830053</v>
      </c>
      <c r="AA33" s="1">
        <f>[1]节奏总纲!AA33</f>
        <v>0.16400652588458042</v>
      </c>
      <c r="AC33" s="1">
        <f>[1]节奏总纲!AC33</f>
        <v>30</v>
      </c>
      <c r="AD33" s="1">
        <f>[1]节奏总纲!AD33</f>
        <v>49.533352307096472</v>
      </c>
      <c r="AE33" s="1">
        <f>[1]节奏总纲!AE33</f>
        <v>51.497823295559343</v>
      </c>
      <c r="AF33" s="1">
        <f>[1]节奏总纲!AF33</f>
        <v>54.213705787583436</v>
      </c>
      <c r="AG33" s="1">
        <f>[1]节奏总纲!AG33</f>
        <v>58.701446767877648</v>
      </c>
      <c r="AH33" s="1">
        <f>[1]节奏总纲!AH33</f>
        <v>67.097551508592701</v>
      </c>
      <c r="AL33" s="1">
        <f>[1]节奏总纲!AL33</f>
        <v>30</v>
      </c>
      <c r="AM33" s="1">
        <f>[1]节奏总纲!AM33</f>
        <v>28.35</v>
      </c>
      <c r="AN33" s="1">
        <f>[1]节奏总纲!AN33</f>
        <v>22.680000000000003</v>
      </c>
      <c r="AO33" s="1">
        <f>[1]节奏总纲!AO33</f>
        <v>17.010000000000002</v>
      </c>
      <c r="AP33" s="1">
        <f>[1]节奏总纲!AP33</f>
        <v>11.340000000000002</v>
      </c>
      <c r="AQ33" s="1">
        <f>[1]节奏总纲!AQ33</f>
        <v>5.6700000000000008</v>
      </c>
      <c r="AS33" s="1">
        <f>[1]节奏总纲!AS33</f>
        <v>30</v>
      </c>
      <c r="AT33" s="1">
        <f>[1]节奏总纲!AT33</f>
        <v>4.2752961375811545</v>
      </c>
      <c r="AU33" s="1">
        <f>[1]节奏总纲!AU33</f>
        <v>3.4202369100649257</v>
      </c>
      <c r="AV33" s="1">
        <f>[1]节奏总纲!AV33</f>
        <v>2.5651776825486934</v>
      </c>
      <c r="AW33" s="1">
        <f>[1]节奏总纲!AW33</f>
        <v>1.7101184550324628</v>
      </c>
      <c r="AX33" s="1">
        <f>[1]节奏总纲!AX33</f>
        <v>0.85505922751623142</v>
      </c>
      <c r="AY33" s="1"/>
      <c r="AZ33" s="1">
        <f>[1]节奏总纲!AZ33</f>
        <v>30</v>
      </c>
      <c r="BA33" s="1">
        <f>[1]节奏总纲!BA33</f>
        <v>30.329493925593439</v>
      </c>
      <c r="BB33" s="1">
        <f>[1]节奏总纲!BB33</f>
        <v>31.706504654507764</v>
      </c>
      <c r="BC33" s="1">
        <f>[1]节奏总纲!BC33</f>
        <v>33.487933395889513</v>
      </c>
      <c r="BD33" s="1">
        <f>[1]节奏总纲!BD33</f>
        <v>36.105477566569242</v>
      </c>
      <c r="BE33" s="1">
        <f>[1]节奏总纲!BE33</f>
        <v>40.751734485509814</v>
      </c>
      <c r="BI33" s="1">
        <f>[1]节奏总纲!BI33</f>
        <v>30</v>
      </c>
      <c r="BJ33" s="1">
        <f>[1]节奏总纲!BJ33</f>
        <v>1.8333333333333359</v>
      </c>
      <c r="BK33" s="1">
        <f>[1]节奏总纲!BK33</f>
        <v>1.8700000000000028</v>
      </c>
      <c r="BL33" s="1">
        <f>[1]节奏总纲!BL33</f>
        <v>1.9433333333333362</v>
      </c>
      <c r="BM33" s="1">
        <f>[1]节奏总纲!BM33</f>
        <v>2.090000000000003</v>
      </c>
      <c r="BN33" s="1">
        <f>[1]节奏总纲!BN33</f>
        <v>2.56666666666667</v>
      </c>
      <c r="BP33" s="1">
        <f>[1]节奏总纲!BP33</f>
        <v>30</v>
      </c>
      <c r="BQ33" s="1">
        <f>[1]节奏总纲!BQ33</f>
        <v>48.746400836475651</v>
      </c>
      <c r="BR33" s="1">
        <f>[1]节奏总纲!BR33</f>
        <v>47.534861085979394</v>
      </c>
      <c r="BS33" s="1">
        <f>[1]节奏总纲!BS33</f>
        <v>46.203853617695223</v>
      </c>
      <c r="BT33" s="1">
        <f>[1]节奏总纲!BT33</f>
        <v>44.710696649522191</v>
      </c>
      <c r="BU33" s="1">
        <f>[1]节奏总纲!BU33</f>
        <v>43.073827164214144</v>
      </c>
      <c r="BW33" s="1">
        <f>[1]节奏总纲!BW33</f>
        <v>30</v>
      </c>
      <c r="BX33" s="1">
        <f>[1]节奏总纲!BX33</f>
        <v>21.627432338833255</v>
      </c>
      <c r="BY33" s="1">
        <f>[1]节奏总纲!BY33</f>
        <v>22.133969730796721</v>
      </c>
      <c r="BZ33" s="1">
        <f>[1]节奏总纲!BZ33</f>
        <v>22.690075277664143</v>
      </c>
      <c r="CA33" s="1">
        <f>[1]节奏总纲!CA33</f>
        <v>23.318316384114386</v>
      </c>
      <c r="CB33" s="1">
        <f>[1]节奏总纲!CB33</f>
        <v>24.015075841763835</v>
      </c>
      <c r="CC33" s="1">
        <f>[1]节奏总纲!CC33</f>
        <v>24.015075841763835</v>
      </c>
      <c r="CE33" s="1">
        <f>[1]节奏总纲!CE33</f>
        <v>148</v>
      </c>
      <c r="CF33" s="1">
        <f>[1]节奏总纲!CF33</f>
        <v>79</v>
      </c>
    </row>
    <row r="34" spans="2:84" x14ac:dyDescent="0.15">
      <c r="B34" s="1">
        <f>[1]节奏总纲!B34</f>
        <v>55</v>
      </c>
      <c r="C34" s="1">
        <f>[1]节奏总纲!C34</f>
        <v>1023.5</v>
      </c>
      <c r="D34" s="1">
        <f>[1]节奏总纲!D34</f>
        <v>512</v>
      </c>
      <c r="F34" s="1">
        <f>[1]节奏总纲!F34</f>
        <v>32</v>
      </c>
      <c r="G34" s="1">
        <f>[1]节奏总纲!G34</f>
        <v>8.189586839976279</v>
      </c>
      <c r="I34" s="1">
        <f>[1]节奏总纲!I34</f>
        <v>32</v>
      </c>
      <c r="J34" s="1">
        <f>[1]节奏总纲!J34</f>
        <v>39.220797956048642</v>
      </c>
      <c r="K34" s="13">
        <f>[1]节奏总纲!K34</f>
        <v>0.94</v>
      </c>
      <c r="N34" s="1">
        <f>[1]节奏总纲!N34</f>
        <v>41</v>
      </c>
      <c r="O34" s="1">
        <f>[1]节奏总纲!O34</f>
        <v>31</v>
      </c>
      <c r="P34" s="1">
        <f>[1]节奏总纲!P34</f>
        <v>7.5741877002903433</v>
      </c>
      <c r="Q34" s="1">
        <f>[1]节奏总纲!Q34</f>
        <v>6.6115084435834408</v>
      </c>
      <c r="R34" s="1">
        <f>[1]节奏总纲!R34</f>
        <v>5.4632615882194253</v>
      </c>
      <c r="S34" s="1">
        <f>[1]节奏总纲!S34</f>
        <v>4.052190419655334</v>
      </c>
      <c r="T34" s="1">
        <f>[1]节奏总纲!T34</f>
        <v>2.2783156602473356</v>
      </c>
      <c r="V34" s="1">
        <f>[1]节奏总纲!V34</f>
        <v>31</v>
      </c>
      <c r="W34" s="1">
        <f>[1]节奏总纲!W34</f>
        <v>0.57418770029034327</v>
      </c>
      <c r="X34" s="1">
        <f>[1]节奏总纲!X34</f>
        <v>0.50890844358344101</v>
      </c>
      <c r="Y34" s="1">
        <f>[1]节奏总纲!Y34</f>
        <v>0.42116158821942484</v>
      </c>
      <c r="Z34" s="1">
        <f>[1]节奏总纲!Z34</f>
        <v>0.30929041965533433</v>
      </c>
      <c r="AA34" s="1">
        <f>[1]节奏总纲!AA34</f>
        <v>0.17761566024733577</v>
      </c>
      <c r="AC34" s="1">
        <f>[1]节奏总纲!AC34</f>
        <v>31</v>
      </c>
      <c r="AD34" s="1">
        <f>[1]节奏总纲!AD34</f>
        <v>50</v>
      </c>
      <c r="AE34" s="1">
        <f>[1]节奏总纲!AE34</f>
        <v>51.96230476258421</v>
      </c>
      <c r="AF34" s="1">
        <f>[1]节奏总纲!AF34</f>
        <v>54.692509339255828</v>
      </c>
      <c r="AG34" s="1">
        <f>[1]节奏总纲!AG34</f>
        <v>59.178112178215827</v>
      </c>
      <c r="AH34" s="1">
        <f>[1]节奏总纲!AH34</f>
        <v>67.582949939226467</v>
      </c>
      <c r="AL34" s="1">
        <f>[1]节奏总纲!AL34</f>
        <v>31</v>
      </c>
      <c r="AM34" s="1">
        <f>[1]节奏总纲!AM34</f>
        <v>33.357679571112705</v>
      </c>
      <c r="AN34" s="1">
        <f>[1]节奏总纲!AN34</f>
        <v>26.686143656890167</v>
      </c>
      <c r="AO34" s="1">
        <f>[1]节奏总纲!AO34</f>
        <v>20.014607742667621</v>
      </c>
      <c r="AP34" s="1">
        <f>[1]节奏总纲!AP34</f>
        <v>13.343071828445083</v>
      </c>
      <c r="AQ34" s="1">
        <f>[1]节奏总纲!AQ34</f>
        <v>6.6715359142225417</v>
      </c>
      <c r="AS34" s="1">
        <f>[1]节奏总纲!AS34</f>
        <v>31</v>
      </c>
      <c r="AT34" s="1">
        <f>[1]节奏总纲!AT34</f>
        <v>5.0076795711127033</v>
      </c>
      <c r="AU34" s="1">
        <f>[1]节奏总纲!AU34</f>
        <v>4.0061436568901634</v>
      </c>
      <c r="AV34" s="1">
        <f>[1]节奏总纲!AV34</f>
        <v>3.0046077426676199</v>
      </c>
      <c r="AW34" s="1">
        <f>[1]节奏总纲!AW34</f>
        <v>2.0030718284450817</v>
      </c>
      <c r="AX34" s="1">
        <f>[1]节奏总纲!AX34</f>
        <v>1.0015359142225408</v>
      </c>
      <c r="AY34" s="1"/>
      <c r="AZ34" s="1">
        <f>[1]节奏总纲!AZ34</f>
        <v>31</v>
      </c>
      <c r="BA34" s="1">
        <f>[1]节奏总纲!BA34</f>
        <v>30.529187213831889</v>
      </c>
      <c r="BB34" s="1">
        <f>[1]节奏总纲!BB34</f>
        <v>31.919701782372627</v>
      </c>
      <c r="BC34" s="1">
        <f>[1]节奏总纲!BC34</f>
        <v>33.695537043746626</v>
      </c>
      <c r="BD34" s="1">
        <f>[1]节奏总纲!BD34</f>
        <v>36.315904388158508</v>
      </c>
      <c r="BE34" s="1">
        <f>[1]节奏总纲!BE34</f>
        <v>40.984830450008978</v>
      </c>
      <c r="BI34" s="1">
        <f>[1]节奏总纲!BI34</f>
        <v>31</v>
      </c>
      <c r="BJ34" s="1">
        <f>[1]节奏总纲!BJ34</f>
        <v>1.8666666666666694</v>
      </c>
      <c r="BK34" s="1">
        <f>[1]节奏总纲!BK34</f>
        <v>1.9040000000000028</v>
      </c>
      <c r="BL34" s="1">
        <f>[1]节奏总纲!BL34</f>
        <v>1.9786666666666697</v>
      </c>
      <c r="BM34" s="1">
        <f>[1]节奏总纲!BM34</f>
        <v>2.1280000000000028</v>
      </c>
      <c r="BN34" s="1">
        <f>[1]节奏总纲!BN34</f>
        <v>2.6133333333333368</v>
      </c>
      <c r="BP34" s="1">
        <f>[1]节奏总纲!BP34</f>
        <v>31</v>
      </c>
      <c r="BQ34" s="1">
        <f>[1]节奏总纲!BQ34</f>
        <v>51.024751728602688</v>
      </c>
      <c r="BR34" s="1">
        <f>[1]节奏总纲!BR34</f>
        <v>49.81327866937707</v>
      </c>
      <c r="BS34" s="1">
        <f>[1]节奏总纲!BS34</f>
        <v>48.49295716189016</v>
      </c>
      <c r="BT34" s="1">
        <f>[1]节奏总纲!BT34</f>
        <v>47.007818211309306</v>
      </c>
      <c r="BU34" s="1">
        <f>[1]节奏总纲!BU34</f>
        <v>45.378719658137989</v>
      </c>
      <c r="BW34" s="1">
        <f>[1]节奏总纲!BW34</f>
        <v>31</v>
      </c>
      <c r="BX34" s="1">
        <f>[1]节奏总纲!BX34</f>
        <v>22.095189537639744</v>
      </c>
      <c r="BY34" s="1">
        <f>[1]节奏总纲!BY34</f>
        <v>22.590285126353667</v>
      </c>
      <c r="BZ34" s="1">
        <f>[1]节奏总纲!BZ34</f>
        <v>23.164669534623123</v>
      </c>
      <c r="CA34" s="1">
        <f>[1]节奏总纲!CA34</f>
        <v>23.790108012583765</v>
      </c>
      <c r="CB34" s="1">
        <f>[1]节奏总纲!CB34</f>
        <v>24.476288482572343</v>
      </c>
      <c r="CC34" s="1">
        <f>[1]节奏总纲!CC34</f>
        <v>24.476288482572343</v>
      </c>
      <c r="CE34" s="1">
        <f>[1]节奏总纲!CE34</f>
        <v>153</v>
      </c>
      <c r="CF34" s="1">
        <f>[1]节奏总纲!CF34</f>
        <v>80</v>
      </c>
    </row>
    <row r="35" spans="2:84" x14ac:dyDescent="0.15">
      <c r="B35" s="1">
        <f>[1]节奏总纲!B35</f>
        <v>60</v>
      </c>
      <c r="C35" s="1">
        <f>[1]节奏总纲!C35</f>
        <v>2047.5</v>
      </c>
      <c r="D35" s="1">
        <f>[1]节奏总纲!D35</f>
        <v>1024</v>
      </c>
      <c r="F35" s="1">
        <f>[1]节奏总纲!F35</f>
        <v>33</v>
      </c>
      <c r="G35" s="1">
        <f>[1]节奏总纲!G35</f>
        <v>8.8491553067593287</v>
      </c>
      <c r="I35" s="1">
        <f>[1]节奏总纲!I35</f>
        <v>33</v>
      </c>
      <c r="J35" s="1">
        <f>[1]节奏总纲!J35</f>
        <v>46.082812923199413</v>
      </c>
      <c r="K35" s="13">
        <f>[1]节奏总纲!K35</f>
        <v>0.96</v>
      </c>
      <c r="N35" s="1">
        <f>[1]节奏总纲!N35</f>
        <v>42</v>
      </c>
      <c r="O35" s="1">
        <f>[1]节奏总纲!O35</f>
        <v>32</v>
      </c>
      <c r="P35" s="1">
        <f>[1]节奏总纲!P35</f>
        <v>8.189586839976279</v>
      </c>
      <c r="Q35" s="1">
        <f>[1]节奏总纲!Q35</f>
        <v>7.1519661873512845</v>
      </c>
      <c r="R35" s="1">
        <f>[1]节奏总纲!R35</f>
        <v>5.906330028990892</v>
      </c>
      <c r="S35" s="1">
        <f>[1]节奏总纲!S35</f>
        <v>4.3855237528072974</v>
      </c>
      <c r="T35" s="1">
        <f>[1]节奏总纲!T35</f>
        <v>2.46506563883286</v>
      </c>
      <c r="V35" s="1">
        <f>[1]节奏总纲!V35</f>
        <v>32</v>
      </c>
      <c r="W35" s="1">
        <f>[1]节奏总纲!W35</f>
        <v>0.61539913968593574</v>
      </c>
      <c r="X35" s="1">
        <f>[1]节奏总纲!X35</f>
        <v>0.54045774376784372</v>
      </c>
      <c r="Y35" s="1">
        <f>[1]节奏总纲!Y35</f>
        <v>0.44306844077146668</v>
      </c>
      <c r="Z35" s="1">
        <f>[1]节奏总纲!Z35</f>
        <v>0.33333333315196345</v>
      </c>
      <c r="AA35" s="1">
        <f>[1]节奏总纲!AA35</f>
        <v>0.18674997858552445</v>
      </c>
      <c r="AC35" s="1">
        <f>[1]节奏总纲!AC35</f>
        <v>32</v>
      </c>
      <c r="AD35" s="1">
        <f>[1]节奏总纲!AD35</f>
        <v>50.435397692903535</v>
      </c>
      <c r="AE35" s="1">
        <f>[1]节奏总纲!AE35</f>
        <v>52.391506955233744</v>
      </c>
      <c r="AF35" s="1">
        <f>[1]节奏总纲!AF35</f>
        <v>55.159275389027101</v>
      </c>
      <c r="AG35" s="1">
        <f>[1]节奏总纲!AG35</f>
        <v>59.632093520341421</v>
      </c>
      <c r="AH35" s="1">
        <f>[1]节奏总纲!AH35</f>
        <v>68.063981730538742</v>
      </c>
      <c r="AL35" s="1">
        <f>[1]节奏总纲!AL35</f>
        <v>32</v>
      </c>
      <c r="AM35" s="1">
        <f>[1]节奏总纲!AM35</f>
        <v>39.220797956048642</v>
      </c>
      <c r="AN35" s="1">
        <f>[1]节奏总纲!AN35</f>
        <v>31.376638364838914</v>
      </c>
      <c r="AO35" s="1">
        <f>[1]节奏总纲!AO35</f>
        <v>23.532478773629183</v>
      </c>
      <c r="AP35" s="1">
        <f>[1]节奏总纲!AP35</f>
        <v>15.688319182419457</v>
      </c>
      <c r="AQ35" s="1">
        <f>[1]节奏总纲!AQ35</f>
        <v>7.8441595912097286</v>
      </c>
      <c r="AS35" s="1">
        <f>[1]节奏总纲!AS35</f>
        <v>32</v>
      </c>
      <c r="AT35" s="1">
        <f>[1]节奏总纲!AT35</f>
        <v>5.8631183849359374</v>
      </c>
      <c r="AU35" s="1">
        <f>[1]节奏总纲!AU35</f>
        <v>4.6904947079487478</v>
      </c>
      <c r="AV35" s="1">
        <f>[1]节奏总纲!AV35</f>
        <v>3.5178710309615617</v>
      </c>
      <c r="AW35" s="1">
        <f>[1]节奏总纲!AW35</f>
        <v>2.3452473539743739</v>
      </c>
      <c r="AX35" s="1">
        <f>[1]节奏总纲!AX35</f>
        <v>1.1726236769871869</v>
      </c>
      <c r="AY35" s="1"/>
      <c r="AZ35" s="1">
        <f>[1]节奏总纲!AZ35</f>
        <v>32</v>
      </c>
      <c r="BA35" s="1">
        <f>[1]节奏总纲!BA35</f>
        <v>30.728880502070336</v>
      </c>
      <c r="BB35" s="1">
        <f>[1]节奏总纲!BB35</f>
        <v>32.113552950216736</v>
      </c>
      <c r="BC35" s="1">
        <f>[1]节奏总纲!BC35</f>
        <v>33.903140691603731</v>
      </c>
      <c r="BD35" s="1">
        <f>[1]节奏总纲!BD35</f>
        <v>36.526331209747774</v>
      </c>
      <c r="BE35" s="1">
        <f>[1]节奏总纲!BE35</f>
        <v>41.188041754455355</v>
      </c>
      <c r="BI35" s="1">
        <f>[1]节奏总纲!BI35</f>
        <v>32</v>
      </c>
      <c r="BJ35" s="1">
        <f>[1]节奏总纲!BJ35</f>
        <v>1.9000000000000028</v>
      </c>
      <c r="BK35" s="1">
        <f>[1]节奏总纲!BK35</f>
        <v>1.9380000000000028</v>
      </c>
      <c r="BL35" s="1">
        <f>[1]节奏总纲!BL35</f>
        <v>2.0140000000000029</v>
      </c>
      <c r="BM35" s="1">
        <f>[1]节奏总纲!BM35</f>
        <v>2.166000000000003</v>
      </c>
      <c r="BN35" s="1">
        <f>[1]节奏总纲!BN35</f>
        <v>2.6600000000000037</v>
      </c>
      <c r="BP35" s="1">
        <f>[1]节奏总纲!BP35</f>
        <v>32</v>
      </c>
      <c r="BQ35" s="1">
        <f>[1]节奏总纲!BQ35</f>
        <v>53.291472423922521</v>
      </c>
      <c r="BR35" s="1">
        <f>[1]节奏总纲!BR35</f>
        <v>52.125901161769718</v>
      </c>
      <c r="BS35" s="1">
        <f>[1]节奏总纲!BS35</f>
        <v>50.840747976078326</v>
      </c>
      <c r="BT35" s="1">
        <f>[1]节奏总纲!BT35</f>
        <v>49.375604977850649</v>
      </c>
      <c r="BU35" s="1">
        <f>[1]节奏总纲!BU35</f>
        <v>47.775197036238126</v>
      </c>
      <c r="BW35" s="1">
        <f>[1]节奏总纲!BW35</f>
        <v>32</v>
      </c>
      <c r="BX35" s="1">
        <f>[1]节奏总纲!BX35</f>
        <v>22.536630202092223</v>
      </c>
      <c r="BY35" s="1">
        <f>[1]节奏总纲!BY35</f>
        <v>23.063701323157773</v>
      </c>
      <c r="BZ35" s="1">
        <f>[1]节奏总纲!BZ35</f>
        <v>23.615240622314541</v>
      </c>
      <c r="CA35" s="1">
        <f>[1]节奏总纲!CA35</f>
        <v>24.25413190852499</v>
      </c>
      <c r="CB35" s="1">
        <f>[1]节奏总纲!CB35</f>
        <v>24.96122010782668</v>
      </c>
      <c r="CC35" s="1">
        <f>[1]节奏总纲!CC35</f>
        <v>24.96122010782668</v>
      </c>
      <c r="CE35" s="1">
        <f>[1]节奏总纲!CE35</f>
        <v>158</v>
      </c>
      <c r="CF35" s="1">
        <f>[1]节奏总纲!CF35</f>
        <v>80</v>
      </c>
    </row>
    <row r="36" spans="2:84" x14ac:dyDescent="0.15">
      <c r="F36" s="1">
        <f>[1]节奏总纲!F36</f>
        <v>34</v>
      </c>
      <c r="G36" s="1">
        <f>[1]节奏总纲!G36</f>
        <v>9.5560632861831518</v>
      </c>
      <c r="I36" s="1">
        <f>[1]节奏总纲!I36</f>
        <v>34</v>
      </c>
      <c r="J36" s="1">
        <f>[1]节奏总纲!J36</f>
        <v>54.110931329932889</v>
      </c>
      <c r="K36" s="13">
        <f>[1]节奏总纲!K36</f>
        <v>0.98</v>
      </c>
      <c r="N36" s="1">
        <f>[1]节奏总纲!N36</f>
        <v>43</v>
      </c>
      <c r="O36" s="1">
        <f>[1]节奏总纲!O36</f>
        <v>33</v>
      </c>
      <c r="P36" s="1">
        <f>[1]节奏总纲!P36</f>
        <v>8.8491553067593287</v>
      </c>
      <c r="Q36" s="1">
        <f>[1]节奏总纲!Q36</f>
        <v>7.7120388498407557</v>
      </c>
      <c r="R36" s="1">
        <f>[1]节奏总纲!R36</f>
        <v>6.3696219898053652</v>
      </c>
      <c r="S36" s="1">
        <f>[1]节奏总纲!S36</f>
        <v>4.736067920177593</v>
      </c>
      <c r="T36" s="1">
        <f>[1]节奏总纲!T36</f>
        <v>2.6627108318038819</v>
      </c>
      <c r="V36" s="1">
        <f>[1]节奏总纲!V36</f>
        <v>33</v>
      </c>
      <c r="W36" s="1">
        <f>[1]节奏总纲!W36</f>
        <v>0.6595684667830497</v>
      </c>
      <c r="X36" s="1">
        <f>[1]节奏总纲!X36</f>
        <v>0.56007266248947118</v>
      </c>
      <c r="Y36" s="1">
        <f>[1]节奏总纲!Y36</f>
        <v>0.46329196081447321</v>
      </c>
      <c r="Z36" s="1">
        <f>[1]节奏总纲!Z36</f>
        <v>0.35054416737029559</v>
      </c>
      <c r="AA36" s="1">
        <f>[1]节奏总纲!AA36</f>
        <v>0.1976451929710219</v>
      </c>
      <c r="AC36" s="1">
        <f>[1]节奏总纲!AC36</f>
        <v>33</v>
      </c>
      <c r="AD36" s="1">
        <f>[1]节奏总纲!AD36</f>
        <v>50.870795385807064</v>
      </c>
      <c r="AE36" s="1">
        <f>[1]节奏总纲!AE36</f>
        <v>52.81759316022675</v>
      </c>
      <c r="AF36" s="1">
        <f>[1]节奏总纲!AF36</f>
        <v>55.604435245632025</v>
      </c>
      <c r="AG36" s="1">
        <f>[1]节奏总纲!AG36</f>
        <v>60.078368706270226</v>
      </c>
      <c r="AH36" s="1">
        <f>[1]节奏总纲!AH36</f>
        <v>68.518369035696878</v>
      </c>
      <c r="AL36" s="1">
        <f>[1]节奏总纲!AL36</f>
        <v>33</v>
      </c>
      <c r="AM36" s="1">
        <f>[1]节奏总纲!AM36</f>
        <v>46.082812923199413</v>
      </c>
      <c r="AN36" s="1">
        <f>[1]节奏总纲!AN36</f>
        <v>36.866250338559531</v>
      </c>
      <c r="AO36" s="1">
        <f>[1]节奏总纲!AO36</f>
        <v>27.649687753919647</v>
      </c>
      <c r="AP36" s="1">
        <f>[1]节奏总纲!AP36</f>
        <v>18.433125169279766</v>
      </c>
      <c r="AQ36" s="1">
        <f>[1]节奏总纲!AQ36</f>
        <v>9.2165625846398829</v>
      </c>
      <c r="AS36" s="1">
        <f>[1]节奏总纲!AS36</f>
        <v>33</v>
      </c>
      <c r="AT36" s="1">
        <f>[1]节奏总纲!AT36</f>
        <v>6.8620149671507704</v>
      </c>
      <c r="AU36" s="1">
        <f>[1]节奏总纲!AU36</f>
        <v>5.489611973720617</v>
      </c>
      <c r="AV36" s="1">
        <f>[1]节奏总纲!AV36</f>
        <v>4.1172089802904637</v>
      </c>
      <c r="AW36" s="1">
        <f>[1]节奏总纲!AW36</f>
        <v>2.7448059868603085</v>
      </c>
      <c r="AX36" s="1">
        <f>[1]节奏总纲!AX36</f>
        <v>1.3724029934301543</v>
      </c>
      <c r="AY36" s="1"/>
      <c r="AZ36" s="1">
        <f>[1]节奏总纲!AZ36</f>
        <v>33</v>
      </c>
      <c r="BA36" s="1">
        <f>[1]节奏总纲!BA36</f>
        <v>30.928573790308786</v>
      </c>
      <c r="BB36" s="1">
        <f>[1]节奏总纲!BB36</f>
        <v>32.295715187691279</v>
      </c>
      <c r="BC36" s="1">
        <f>[1]节奏总纲!BC36</f>
        <v>34.09469189131628</v>
      </c>
      <c r="BD36" s="1">
        <f>[1]节奏总纲!BD36</f>
        <v>36.73675803133704</v>
      </c>
      <c r="BE36" s="1">
        <f>[1]节奏总纲!BE36</f>
        <v>41.389172829914081</v>
      </c>
      <c r="BI36" s="1">
        <f>[1]节奏总纲!BI36</f>
        <v>33</v>
      </c>
      <c r="BJ36" s="1">
        <f>[1]节奏总纲!BJ36</f>
        <v>1.9333333333333362</v>
      </c>
      <c r="BK36" s="1">
        <f>[1]节奏总纲!BK36</f>
        <v>1.9720000000000031</v>
      </c>
      <c r="BL36" s="1">
        <f>[1]节奏总纲!BL36</f>
        <v>2.0493333333333363</v>
      </c>
      <c r="BM36" s="1">
        <f>[1]节奏总纲!BM36</f>
        <v>2.2040000000000033</v>
      </c>
      <c r="BN36" s="1">
        <f>[1]节奏总纲!BN36</f>
        <v>2.7066666666666706</v>
      </c>
      <c r="BP36" s="1">
        <f>[1]节奏总纲!BP36</f>
        <v>33</v>
      </c>
      <c r="BQ36" s="1">
        <f>[1]节奏总纲!BQ36</f>
        <v>55.562784736889313</v>
      </c>
      <c r="BR36" s="1">
        <f>[1]节奏总纲!BR36</f>
        <v>54.355378546520704</v>
      </c>
      <c r="BS36" s="1">
        <f>[1]节奏总纲!BS36</f>
        <v>53.035165520933894</v>
      </c>
      <c r="BT36" s="1">
        <f>[1]节奏总纲!BT36</f>
        <v>51.629711452863589</v>
      </c>
      <c r="BU36" s="1">
        <f>[1]节奏总纲!BU36</f>
        <v>50.042836137195067</v>
      </c>
      <c r="BW36" s="1">
        <f>[1]节奏总纲!BW36</f>
        <v>33</v>
      </c>
      <c r="BX36" s="1">
        <f>[1]节奏总纲!BX36</f>
        <v>23.008297311415273</v>
      </c>
      <c r="BY36" s="1">
        <f>[1]节奏总纲!BY36</f>
        <v>23.490868763053822</v>
      </c>
      <c r="BZ36" s="1">
        <f>[1]节奏总纲!BZ36</f>
        <v>24.073520379044336</v>
      </c>
      <c r="CA36" s="1">
        <f>[1]节奏总纲!CA36</f>
        <v>24.709259009726921</v>
      </c>
      <c r="CB36" s="1">
        <f>[1]节奏总纲!CB36</f>
        <v>25.404062586103631</v>
      </c>
      <c r="CC36" s="1">
        <f>[1]节奏总纲!CC36</f>
        <v>25.404062586103631</v>
      </c>
    </row>
    <row r="37" spans="2:84" x14ac:dyDescent="0.15">
      <c r="F37" s="1">
        <f>[1]节奏总纲!F37</f>
        <v>35</v>
      </c>
      <c r="G37" s="1">
        <f>[1]节奏总纲!G37</f>
        <v>10.313708498984759</v>
      </c>
      <c r="I37" s="1">
        <f>[1]节奏总纲!I37</f>
        <v>35</v>
      </c>
      <c r="J37" s="1">
        <f>[1]节奏总纲!J37</f>
        <v>63.5</v>
      </c>
      <c r="K37" s="13">
        <f>[1]节奏总纲!K37</f>
        <v>1</v>
      </c>
      <c r="N37" s="1">
        <f>[1]节奏总纲!N37</f>
        <v>44</v>
      </c>
      <c r="O37" s="1">
        <f>[1]节奏总纲!O37</f>
        <v>34</v>
      </c>
      <c r="P37" s="1">
        <f>[1]节奏总纲!P37</f>
        <v>9.5560632861831518</v>
      </c>
      <c r="Q37" s="1">
        <f>[1]节奏总纲!Q37</f>
        <v>8.3309759728944712</v>
      </c>
      <c r="R37" s="1">
        <f>[1]节奏总纲!R37</f>
        <v>6.8918328419952886</v>
      </c>
      <c r="S37" s="1">
        <f>[1]节奏总纲!S37</f>
        <v>5.1287391656944967</v>
      </c>
      <c r="T37" s="1">
        <f>[1]节奏总纲!T37</f>
        <v>2.8811530807842201</v>
      </c>
      <c r="V37" s="1">
        <f>[1]节奏总纲!V37</f>
        <v>34</v>
      </c>
      <c r="W37" s="1">
        <f>[1]节奏总纲!W37</f>
        <v>0.70690797942382311</v>
      </c>
      <c r="X37" s="1">
        <f>[1]节奏总纲!X37</f>
        <v>0.61893712305371551</v>
      </c>
      <c r="Y37" s="1">
        <f>[1]节奏总纲!Y37</f>
        <v>0.52221085218992336</v>
      </c>
      <c r="Z37" s="1">
        <f>[1]节奏总纲!Z37</f>
        <v>0.39267124551690369</v>
      </c>
      <c r="AA37" s="1">
        <f>[1]节奏总纲!AA37</f>
        <v>0.21844224898033815</v>
      </c>
      <c r="AC37" s="1">
        <f>[1]节奏总纲!AC37</f>
        <v>34</v>
      </c>
      <c r="AD37" s="1">
        <f>[1]节奏总纲!AD37</f>
        <v>51.285688244217212</v>
      </c>
      <c r="AE37" s="1">
        <f>[1]节奏总纲!AE37</f>
        <v>53.226994578658328</v>
      </c>
      <c r="AF37" s="1">
        <f>[1]节奏总纲!AF37</f>
        <v>56.045896281048073</v>
      </c>
      <c r="AG37" s="1">
        <f>[1]节奏总纲!AG37</f>
        <v>60.491705764657482</v>
      </c>
      <c r="AH37" s="1">
        <f>[1]节奏总纲!AH37</f>
        <v>68.972756340855</v>
      </c>
      <c r="AL37" s="1">
        <f>[1]节奏总纲!AL37</f>
        <v>34</v>
      </c>
      <c r="AM37" s="1">
        <f>[1]节奏总纲!AM37</f>
        <v>54.110931329932889</v>
      </c>
      <c r="AN37" s="1">
        <f>[1]节奏总纲!AN37</f>
        <v>43.288745063946315</v>
      </c>
      <c r="AO37" s="1">
        <f>[1]节奏总纲!AO37</f>
        <v>32.466558797959735</v>
      </c>
      <c r="AP37" s="1">
        <f>[1]节奏总纲!AP37</f>
        <v>21.644372531973158</v>
      </c>
      <c r="AQ37" s="1">
        <f>[1]节奏总纲!AQ37</f>
        <v>10.822186265986579</v>
      </c>
      <c r="AS37" s="1">
        <f>[1]节奏总纲!AS37</f>
        <v>34</v>
      </c>
      <c r="AT37" s="1">
        <f>[1]节奏总纲!AT37</f>
        <v>8.0281184067334763</v>
      </c>
      <c r="AU37" s="1">
        <f>[1]节奏总纲!AU37</f>
        <v>6.4224947253867839</v>
      </c>
      <c r="AV37" s="1">
        <f>[1]节奏总纲!AV37</f>
        <v>4.8168710440400879</v>
      </c>
      <c r="AW37" s="1">
        <f>[1]节奏总纲!AW37</f>
        <v>3.2112473626933919</v>
      </c>
      <c r="AX37" s="1">
        <f>[1]节奏总纲!AX37</f>
        <v>1.605623681346696</v>
      </c>
      <c r="AY37" s="1"/>
      <c r="AZ37" s="1">
        <f>[1]节奏总纲!AZ37</f>
        <v>34</v>
      </c>
      <c r="BA37" s="1">
        <f>[1]节奏总纲!BA37</f>
        <v>31.109552696486158</v>
      </c>
      <c r="BB37" s="1">
        <f>[1]节奏总纲!BB37</f>
        <v>32.477877425165822</v>
      </c>
      <c r="BC37" s="1">
        <f>[1]节奏总纲!BC37</f>
        <v>34.272203285175834</v>
      </c>
      <c r="BD37" s="1">
        <f>[1]节奏总纲!BD37</f>
        <v>36.947184852926306</v>
      </c>
      <c r="BE37" s="1">
        <f>[1]节奏总纲!BE37</f>
        <v>41.590303905372799</v>
      </c>
      <c r="BI37" s="1">
        <f>[1]节奏总纲!BI37</f>
        <v>34</v>
      </c>
      <c r="BJ37" s="1">
        <f>[1]节奏总纲!BJ37</f>
        <v>1.9666666666666697</v>
      </c>
      <c r="BK37" s="1">
        <f>[1]节奏总纲!BK37</f>
        <v>2.0060000000000029</v>
      </c>
      <c r="BL37" s="1">
        <f>[1]节奏总纲!BL37</f>
        <v>2.0846666666666698</v>
      </c>
      <c r="BM37" s="1">
        <f>[1]节奏总纲!BM37</f>
        <v>2.2420000000000031</v>
      </c>
      <c r="BN37" s="1">
        <f>[1]节奏总纲!BN37</f>
        <v>2.7533333333333374</v>
      </c>
      <c r="BP37" s="1">
        <f>[1]节奏总纲!BP37</f>
        <v>34</v>
      </c>
      <c r="BQ37" s="1">
        <f>[1]节奏总纲!BQ37</f>
        <v>57.838035023028112</v>
      </c>
      <c r="BR37" s="1">
        <f>[1]节奏总纲!BR37</f>
        <v>56.663402979853082</v>
      </c>
      <c r="BS37" s="1">
        <f>[1]节奏总纲!BS37</f>
        <v>55.366968636624627</v>
      </c>
      <c r="BT37" s="1">
        <f>[1]节奏总纲!BT37</f>
        <v>53.918275980301416</v>
      </c>
      <c r="BU37" s="1">
        <f>[1]节奏总纲!BU37</f>
        <v>52.327997946582151</v>
      </c>
      <c r="BW37" s="1">
        <f>[1]节奏总纲!BW37</f>
        <v>34</v>
      </c>
      <c r="BX37" s="1">
        <f>[1]节奏总纲!BX37</f>
        <v>23.439624304552691</v>
      </c>
      <c r="BY37" s="1">
        <f>[1]节奏总纲!BY37</f>
        <v>23.962932129146886</v>
      </c>
      <c r="BZ37" s="1">
        <f>[1]节奏总纲!BZ37</f>
        <v>24.525526780322963</v>
      </c>
      <c r="CA37" s="1">
        <f>[1]节奏总纲!CA37</f>
        <v>25.186582215718527</v>
      </c>
      <c r="CB37" s="1">
        <f>[1]节奏总纲!CB37</f>
        <v>25.887144728338249</v>
      </c>
      <c r="CC37" s="1">
        <f>[1]节奏总纲!CC37</f>
        <v>25.887144728338249</v>
      </c>
    </row>
    <row r="38" spans="2:84" x14ac:dyDescent="0.15">
      <c r="F38" s="1">
        <f>[1]节奏总纲!F38</f>
        <v>36</v>
      </c>
      <c r="G38" s="1">
        <f>[1]节奏总纲!G38</f>
        <v>11.125732532083184</v>
      </c>
      <c r="I38" s="1">
        <f>[1]节奏总纲!I38</f>
        <v>36</v>
      </c>
      <c r="J38" s="1">
        <f>[1]节奏总纲!J38</f>
        <v>73.746861667008318</v>
      </c>
      <c r="K38" s="13">
        <f>[1]节奏总纲!K38</f>
        <v>1.01</v>
      </c>
      <c r="N38" s="1">
        <f>[1]节奏总纲!N38</f>
        <v>45</v>
      </c>
      <c r="O38" s="1">
        <f>[1]节奏总纲!O38</f>
        <v>35</v>
      </c>
      <c r="P38" s="1">
        <f>[1]节奏总纲!P38</f>
        <v>10.313708498984759</v>
      </c>
      <c r="Q38" s="1">
        <f>[1]节奏总纲!Q38</f>
        <v>9.0048988904635934</v>
      </c>
      <c r="R38" s="1">
        <f>[1]节奏总纲!R38</f>
        <v>7.4547485030661838</v>
      </c>
      <c r="S38" s="1">
        <f>[1]节奏总纲!S38</f>
        <v>5.5405242056546129</v>
      </c>
      <c r="T38" s="1">
        <f>[1]节奏总纲!T38</f>
        <v>3.1106144832938032</v>
      </c>
      <c r="V38" s="1">
        <f>[1]节奏总纲!V38</f>
        <v>35</v>
      </c>
      <c r="W38" s="1">
        <f>[1]节奏总纲!W38</f>
        <v>0.75764521280160757</v>
      </c>
      <c r="X38" s="1">
        <f>[1]节奏总纲!X38</f>
        <v>0.67392291756912215</v>
      </c>
      <c r="Y38" s="1">
        <f>[1]节奏总纲!Y38</f>
        <v>0.56291566107089519</v>
      </c>
      <c r="Z38" s="1">
        <f>[1]节奏总纲!Z38</f>
        <v>0.41178503996011617</v>
      </c>
      <c r="AA38" s="1">
        <f>[1]节奏总纲!AA38</f>
        <v>0.22946140250958313</v>
      </c>
      <c r="AC38" s="1">
        <f>[1]节奏总纲!AC38</f>
        <v>35</v>
      </c>
      <c r="AD38" s="1">
        <f>[1]节奏总纲!AD38</f>
        <v>51.691928656135211</v>
      </c>
      <c r="AE38" s="1">
        <f>[1]节奏总纲!AE38</f>
        <v>53.623906555539456</v>
      </c>
      <c r="AF38" s="1">
        <f>[1]节奏总纲!AF38</f>
        <v>56.457855949816349</v>
      </c>
      <c r="AG38" s="1">
        <f>[1]节奏总纲!AG38</f>
        <v>60.905042823044738</v>
      </c>
      <c r="AH38" s="1">
        <f>[1]节奏总纲!AH38</f>
        <v>69.385288338144662</v>
      </c>
      <c r="AL38" s="1">
        <f>[1]节奏总纲!AL38</f>
        <v>35</v>
      </c>
      <c r="AM38" s="1">
        <f>[1]节奏总纲!AM38</f>
        <v>63.5</v>
      </c>
      <c r="AN38" s="1">
        <f>[1]节奏总纲!AN38</f>
        <v>50.800000000000004</v>
      </c>
      <c r="AO38" s="1">
        <f>[1]节奏总纲!AO38</f>
        <v>38.1</v>
      </c>
      <c r="AP38" s="1">
        <f>[1]节奏总纲!AP38</f>
        <v>25.400000000000002</v>
      </c>
      <c r="AQ38" s="1">
        <f>[1]节奏总纲!AQ38</f>
        <v>12.700000000000001</v>
      </c>
      <c r="AS38" s="1">
        <f>[1]节奏总纲!AS38</f>
        <v>35</v>
      </c>
      <c r="AT38" s="1">
        <f>[1]节奏总纲!AT38</f>
        <v>9.3890686700671111</v>
      </c>
      <c r="AU38" s="1">
        <f>[1]节奏总纲!AU38</f>
        <v>7.5112549360536889</v>
      </c>
      <c r="AV38" s="1">
        <f>[1]节奏总纲!AV38</f>
        <v>5.6334412020402667</v>
      </c>
      <c r="AW38" s="1">
        <f>[1]节奏总纲!AW38</f>
        <v>3.7556274680268444</v>
      </c>
      <c r="AX38" s="1">
        <f>[1]节奏总纲!AX38</f>
        <v>1.8778137340134222</v>
      </c>
      <c r="AY38" s="1"/>
      <c r="AZ38" s="1">
        <f>[1]节奏总纲!AZ38</f>
        <v>35</v>
      </c>
      <c r="BA38" s="1">
        <f>[1]节奏总纲!BA38</f>
        <v>31.280110398778046</v>
      </c>
      <c r="BB38" s="1">
        <f>[1]节奏总纲!BB38</f>
        <v>32.660039662640372</v>
      </c>
      <c r="BC38" s="1">
        <f>[1]节奏总纲!BC38</f>
        <v>34.449714679035388</v>
      </c>
      <c r="BD38" s="1">
        <f>[1]节奏总纲!BD38</f>
        <v>37.135950591746003</v>
      </c>
      <c r="BE38" s="1">
        <f>[1]节奏总纲!BE38</f>
        <v>41.791434980831518</v>
      </c>
      <c r="BI38" s="1">
        <f>[1]节奏总纲!BI38</f>
        <v>35</v>
      </c>
      <c r="BJ38" s="1">
        <f>[1]节奏总纲!BJ38</f>
        <v>2.0000000000000031</v>
      </c>
      <c r="BK38" s="1">
        <f>[1]节奏总纲!BK38</f>
        <v>2.0400000000000031</v>
      </c>
      <c r="BL38" s="1">
        <f>[1]节奏总纲!BL38</f>
        <v>2.1200000000000032</v>
      </c>
      <c r="BM38" s="1">
        <f>[1]节奏总纲!BM38</f>
        <v>2.2800000000000034</v>
      </c>
      <c r="BN38" s="1">
        <f>[1]节奏总纲!BN38</f>
        <v>2.8000000000000043</v>
      </c>
      <c r="BP38" s="1">
        <f>[1]节奏总纲!BP38</f>
        <v>35</v>
      </c>
      <c r="BQ38" s="1">
        <f>[1]节奏总纲!BQ38</f>
        <v>60.108849423225884</v>
      </c>
      <c r="BR38" s="1">
        <f>[1]节奏总纲!BR38</f>
        <v>58.959670032750353</v>
      </c>
      <c r="BS38" s="1">
        <f>[1]节奏总纲!BS38</f>
        <v>57.686819122040689</v>
      </c>
      <c r="BT38" s="1">
        <f>[1]节奏总纲!BT38</f>
        <v>56.279027610646125</v>
      </c>
      <c r="BU38" s="1">
        <f>[1]节奏总纲!BU38</f>
        <v>54.706384157580409</v>
      </c>
      <c r="BW38" s="1">
        <f>[1]节奏总纲!BW38</f>
        <v>35</v>
      </c>
      <c r="BX38" s="1">
        <f>[1]节奏总纲!BX38</f>
        <v>23.901909129472951</v>
      </c>
      <c r="BY38" s="1">
        <f>[1]节奏总纲!BY38</f>
        <v>24.40594174135834</v>
      </c>
      <c r="BZ38" s="1">
        <f>[1]节奏总纲!BZ38</f>
        <v>25.010872039771339</v>
      </c>
      <c r="CA38" s="1">
        <f>[1]节奏总纲!CA38</f>
        <v>25.641910798382057</v>
      </c>
      <c r="CB38" s="1">
        <f>[1]节奏总纲!CB38</f>
        <v>26.336246235371831</v>
      </c>
      <c r="CC38" s="1">
        <f>[1]节奏总纲!CC38</f>
        <v>26.336246235371831</v>
      </c>
    </row>
    <row r="39" spans="2:84" x14ac:dyDescent="0.15">
      <c r="F39" s="1">
        <f>[1]节奏总纲!F39</f>
        <v>37</v>
      </c>
      <c r="G39" s="1">
        <f>[1]节奏总纲!G39</f>
        <v>11.996038341699768</v>
      </c>
      <c r="I39" s="1">
        <f>[1]节奏总纲!I39</f>
        <v>37</v>
      </c>
      <c r="J39" s="1">
        <f>[1]节奏总纲!J39</f>
        <v>85.62747641525452</v>
      </c>
      <c r="K39" s="13">
        <f>[1]节奏总纲!K39</f>
        <v>1.02</v>
      </c>
      <c r="N39" s="1">
        <f>[1]节奏总纲!N39</f>
        <v>46</v>
      </c>
      <c r="O39" s="1">
        <f>[1]节奏总纲!O39</f>
        <v>36</v>
      </c>
      <c r="P39" s="1">
        <f>[1]节奏总纲!P39</f>
        <v>11.125732532083184</v>
      </c>
      <c r="Q39" s="1">
        <f>[1]节奏总纲!Q39</f>
        <v>9.7261153795471191</v>
      </c>
      <c r="R39" s="1">
        <f>[1]节奏总纲!R39</f>
        <v>8.0405669009365166</v>
      </c>
      <c r="S39" s="1">
        <f>[1]节奏总纲!S39</f>
        <v>5.9700680767158358</v>
      </c>
      <c r="T39" s="1">
        <f>[1]节奏总纲!T39</f>
        <v>3.3388323328781633</v>
      </c>
      <c r="V39" s="1">
        <f>[1]节奏总纲!V39</f>
        <v>36</v>
      </c>
      <c r="W39" s="1">
        <f>[1]节奏总纲!W39</f>
        <v>0.81202403309842452</v>
      </c>
      <c r="X39" s="1">
        <f>[1]节奏总纲!X39</f>
        <v>0.72121648908352576</v>
      </c>
      <c r="Y39" s="1">
        <f>[1]节奏总纲!Y39</f>
        <v>0.58581839787033285</v>
      </c>
      <c r="Z39" s="1">
        <f>[1]节奏总纲!Z39</f>
        <v>0.42954387106122294</v>
      </c>
      <c r="AA39" s="1">
        <f>[1]节奏总纲!AA39</f>
        <v>0.22821784958436009</v>
      </c>
      <c r="AC39" s="1">
        <f>[1]节奏总纲!AC39</f>
        <v>36</v>
      </c>
      <c r="AD39" s="1">
        <f>[1]节奏总纲!AD39</f>
        <v>52.091594979242075</v>
      </c>
      <c r="AE39" s="1">
        <f>[1]节奏总纲!AE39</f>
        <v>54.020289560649204</v>
      </c>
      <c r="AF39" s="1">
        <f>[1]节奏总纲!AF39</f>
        <v>56.869815618584624</v>
      </c>
      <c r="AG39" s="1">
        <f>[1]节奏总纲!AG39</f>
        <v>61.294362422865476</v>
      </c>
      <c r="AH39" s="1">
        <f>[1]节奏总纲!AH39</f>
        <v>69.795150761037945</v>
      </c>
      <c r="AL39" s="1">
        <f>[1]节奏总纲!AL39</f>
        <v>36</v>
      </c>
      <c r="AM39" s="1">
        <f>[1]节奏总纲!AM39</f>
        <v>73.746861667008318</v>
      </c>
      <c r="AN39" s="1">
        <f>[1]节奏总纲!AN39</f>
        <v>58.997489333606659</v>
      </c>
      <c r="AO39" s="1">
        <f>[1]节奏总纲!AO39</f>
        <v>44.248117000204992</v>
      </c>
      <c r="AP39" s="1">
        <f>[1]节奏总纲!AP39</f>
        <v>29.498744666803329</v>
      </c>
      <c r="AQ39" s="1">
        <f>[1]节奏总纲!AQ39</f>
        <v>14.749372333401665</v>
      </c>
      <c r="AS39" s="1">
        <f>[1]节奏总纲!AS39</f>
        <v>36</v>
      </c>
      <c r="AT39" s="1">
        <f>[1]节奏总纲!AT39</f>
        <v>10.246861667008318</v>
      </c>
      <c r="AU39" s="1">
        <f>[1]节奏总纲!AU39</f>
        <v>8.1974893336066543</v>
      </c>
      <c r="AV39" s="1">
        <f>[1]节奏总纲!AV39</f>
        <v>6.1481170002049907</v>
      </c>
      <c r="AW39" s="1">
        <f>[1]节奏总纲!AW39</f>
        <v>4.0987446668033272</v>
      </c>
      <c r="AX39" s="1">
        <f>[1]节奏总纲!AX39</f>
        <v>2.0493723334016636</v>
      </c>
      <c r="AY39" s="1"/>
      <c r="AZ39" s="1">
        <f>[1]节奏总纲!AZ39</f>
        <v>36</v>
      </c>
      <c r="BA39" s="1">
        <f>[1]节奏总纲!BA39</f>
        <v>31.450668101069933</v>
      </c>
      <c r="BB39" s="1">
        <f>[1]节奏总纲!BB39</f>
        <v>32.842201900114915</v>
      </c>
      <c r="BC39" s="1">
        <f>[1]节奏总纲!BC39</f>
        <v>34.627226072894942</v>
      </c>
      <c r="BD39" s="1">
        <f>[1]节奏总纲!BD39</f>
        <v>37.317457773889828</v>
      </c>
      <c r="BE39" s="1">
        <f>[1]节奏总纲!BE39</f>
        <v>41.992566056290244</v>
      </c>
      <c r="BI39" s="1">
        <f>[1]节奏总纲!BI39</f>
        <v>36</v>
      </c>
      <c r="BJ39" s="1">
        <f>[1]节奏总纲!BJ39</f>
        <v>2.0333333333333363</v>
      </c>
      <c r="BK39" s="1">
        <f>[1]节奏总纲!BK39</f>
        <v>2.074000000000003</v>
      </c>
      <c r="BL39" s="1">
        <f>[1]节奏总纲!BL39</f>
        <v>2.1553333333333367</v>
      </c>
      <c r="BM39" s="1">
        <f>[1]节奏总纲!BM39</f>
        <v>2.3180000000000032</v>
      </c>
      <c r="BN39" s="1">
        <f>[1]节奏总纲!BN39</f>
        <v>2.8466666666666707</v>
      </c>
      <c r="BP39" s="1">
        <f>[1]节奏总纲!BP39</f>
        <v>36</v>
      </c>
      <c r="BQ39" s="1">
        <f>[1]节奏总纲!BQ39</f>
        <v>62.233138599165841</v>
      </c>
      <c r="BR39" s="1">
        <f>[1]节奏总纲!BR39</f>
        <v>61.094363540297287</v>
      </c>
      <c r="BS39" s="1">
        <f>[1]节奏总纲!BS39</f>
        <v>59.843011412474425</v>
      </c>
      <c r="BT39" s="1">
        <f>[1]节奏总纲!BT39</f>
        <v>58.455174432146173</v>
      </c>
      <c r="BU39" s="1">
        <f>[1]节奏总纲!BU39</f>
        <v>56.931905949406854</v>
      </c>
      <c r="BW39" s="1">
        <f>[1]节奏总纲!BW39</f>
        <v>36</v>
      </c>
      <c r="BX39" s="1">
        <f>[1]节奏总纲!BX39</f>
        <v>24.338224722802163</v>
      </c>
      <c r="BY39" s="1">
        <f>[1]节奏总纲!BY39</f>
        <v>24.874135482075868</v>
      </c>
      <c r="BZ39" s="1">
        <f>[1]节奏总纲!BZ39</f>
        <v>25.442715250695745</v>
      </c>
      <c r="CA39" s="1">
        <f>[1]节奏总纲!CA39</f>
        <v>26.0995934757591</v>
      </c>
      <c r="CB39" s="1">
        <f>[1]节奏总纲!CB39</f>
        <v>26.766316250847538</v>
      </c>
      <c r="CC39" s="1">
        <f>[1]节奏总纲!CC39</f>
        <v>26.766316250847538</v>
      </c>
    </row>
    <row r="40" spans="2:84" x14ac:dyDescent="0.15">
      <c r="F40" s="1">
        <f>[1]节奏总纲!F40</f>
        <v>38</v>
      </c>
      <c r="G40" s="1">
        <f>[1]节奏总纲!G40</f>
        <v>12.928809012737984</v>
      </c>
      <c r="I40" s="1">
        <f>[1]节奏总纲!I40</f>
        <v>38</v>
      </c>
      <c r="J40" s="1">
        <f>[1]节奏总纲!J40</f>
        <v>99.401036064365428</v>
      </c>
      <c r="K40" s="13">
        <f>[1]节奏总纲!K40</f>
        <v>1.03</v>
      </c>
      <c r="N40" s="1">
        <f>[1]节奏总纲!N40</f>
        <v>47</v>
      </c>
      <c r="O40" s="1">
        <f>[1]节奏总纲!O40</f>
        <v>37</v>
      </c>
      <c r="P40" s="1">
        <f>[1]节奏总纲!P40</f>
        <v>11.996038341699768</v>
      </c>
      <c r="Q40" s="1">
        <f>[1]节奏总纲!Q40</f>
        <v>10.483337906811427</v>
      </c>
      <c r="R40" s="1">
        <f>[1]节奏总纲!R40</f>
        <v>8.6671377018780831</v>
      </c>
      <c r="S40" s="1">
        <f>[1]节奏总纲!S40</f>
        <v>6.4166809089752066</v>
      </c>
      <c r="T40" s="1">
        <f>[1]节奏总纲!T40</f>
        <v>3.6000111063441</v>
      </c>
      <c r="V40" s="1">
        <f>[1]节奏总纲!V40</f>
        <v>37</v>
      </c>
      <c r="W40" s="1">
        <f>[1]节奏总纲!W40</f>
        <v>0.87030580961658366</v>
      </c>
      <c r="X40" s="1">
        <f>[1]节奏总纲!X40</f>
        <v>0.75722252726430739</v>
      </c>
      <c r="Y40" s="1">
        <f>[1]节奏总纲!Y40</f>
        <v>0.62657080094156647</v>
      </c>
      <c r="Z40" s="1">
        <f>[1]节奏总纲!Z40</f>
        <v>0.44661283225937076</v>
      </c>
      <c r="AA40" s="1">
        <f>[1]节奏总纲!AA40</f>
        <v>0.26117877346593676</v>
      </c>
      <c r="AC40" s="1">
        <f>[1]节奏总纲!AC40</f>
        <v>37</v>
      </c>
      <c r="AD40" s="1">
        <f>[1]节奏总纲!AD40</f>
        <v>52.470630686057078</v>
      </c>
      <c r="AE40" s="1">
        <f>[1]节奏总纲!AE40</f>
        <v>54.407116521581436</v>
      </c>
      <c r="AF40" s="1">
        <f>[1]节奏总纲!AF40</f>
        <v>57.263329041432932</v>
      </c>
      <c r="AG40" s="1">
        <f>[1]节奏总纲!AG40</f>
        <v>61.676518787205197</v>
      </c>
      <c r="AH40" s="1">
        <f>[1]节奏总纲!AH40</f>
        <v>70.190427169053478</v>
      </c>
      <c r="AL40" s="1">
        <f>[1]节奏总纲!AL40</f>
        <v>37</v>
      </c>
      <c r="AM40" s="1">
        <f>[1]节奏总纲!AM40</f>
        <v>85.62747641525452</v>
      </c>
      <c r="AN40" s="1">
        <f>[1]节奏总纲!AN40</f>
        <v>68.501981132203625</v>
      </c>
      <c r="AO40" s="1">
        <f>[1]节奏总纲!AO40</f>
        <v>51.376485849152708</v>
      </c>
      <c r="AP40" s="1">
        <f>[1]节奏总纲!AP40</f>
        <v>34.250990566101812</v>
      </c>
      <c r="AQ40" s="1">
        <f>[1]节奏总纲!AQ40</f>
        <v>17.125495283050906</v>
      </c>
      <c r="AS40" s="1">
        <f>[1]节奏总纲!AS40</f>
        <v>37</v>
      </c>
      <c r="AT40" s="1">
        <f>[1]节奏总纲!AT40</f>
        <v>11.880614748246202</v>
      </c>
      <c r="AU40" s="1">
        <f>[1]节奏总纲!AU40</f>
        <v>9.5044917985969661</v>
      </c>
      <c r="AV40" s="1">
        <f>[1]节奏总纲!AV40</f>
        <v>7.1283688489477157</v>
      </c>
      <c r="AW40" s="1">
        <f>[1]节奏总纲!AW40</f>
        <v>4.7522458992984831</v>
      </c>
      <c r="AX40" s="1">
        <f>[1]节奏总纲!AX40</f>
        <v>2.3761229496492415</v>
      </c>
      <c r="AY40" s="1"/>
      <c r="AZ40" s="1">
        <f>[1]节奏总纲!AZ40</f>
        <v>37</v>
      </c>
      <c r="BA40" s="1">
        <f>[1]节奏总纲!BA40</f>
        <v>31.621225803361821</v>
      </c>
      <c r="BB40" s="1">
        <f>[1]节奏总纲!BB40</f>
        <v>33.02082518821102</v>
      </c>
      <c r="BC40" s="1">
        <f>[1]节奏总纲!BC40</f>
        <v>34.804737466754489</v>
      </c>
      <c r="BD40" s="1">
        <f>[1]节奏总纲!BD40</f>
        <v>37.498964956033646</v>
      </c>
      <c r="BE40" s="1">
        <f>[1]节奏总纲!BE40</f>
        <v>42.167148737437564</v>
      </c>
      <c r="BI40" s="1">
        <f>[1]节奏总纲!BI40</f>
        <v>37</v>
      </c>
      <c r="BJ40" s="1">
        <f>[1]节奏总纲!BJ40</f>
        <v>2.0666666666666695</v>
      </c>
      <c r="BK40" s="1">
        <f>[1]节奏总纲!BK40</f>
        <v>2.1080000000000028</v>
      </c>
      <c r="BL40" s="1">
        <f>[1]节奏总纲!BL40</f>
        <v>2.1906666666666696</v>
      </c>
      <c r="BM40" s="1">
        <f>[1]节奏总纲!BM40</f>
        <v>2.356000000000003</v>
      </c>
      <c r="BN40" s="1">
        <f>[1]节奏总纲!BN40</f>
        <v>2.8933333333333371</v>
      </c>
      <c r="BP40" s="1">
        <f>[1]节奏总纲!BP40</f>
        <v>37</v>
      </c>
      <c r="BQ40" s="1">
        <f>[1]节奏总纲!BQ40</f>
        <v>64.359497111737156</v>
      </c>
      <c r="BR40" s="1">
        <f>[1]节奏总纲!BR40</f>
        <v>63.209317326948991</v>
      </c>
      <c r="BS40" s="1">
        <f>[1]节奏总纲!BS40</f>
        <v>61.962579408406434</v>
      </c>
      <c r="BT40" s="1">
        <f>[1]节奏总纲!BT40</f>
        <v>60.595449466932955</v>
      </c>
      <c r="BU40" s="1">
        <f>[1]节奏总纲!BU40</f>
        <v>59.095772172790291</v>
      </c>
      <c r="BW40" s="1">
        <f>[1]节奏总纲!BW40</f>
        <v>37</v>
      </c>
      <c r="BX40" s="1">
        <f>[1]节奏总纲!BX40</f>
        <v>24.790207436719726</v>
      </c>
      <c r="BY40" s="1">
        <f>[1]节奏总纲!BY40</f>
        <v>25.311453581089211</v>
      </c>
      <c r="BZ40" s="1">
        <f>[1]节奏总纲!BZ40</f>
        <v>25.904599594946017</v>
      </c>
      <c r="CA40" s="1">
        <f>[1]节奏总纲!CA40</f>
        <v>26.520408035249631</v>
      </c>
      <c r="CB40" s="1">
        <f>[1]节奏总纲!CB40</f>
        <v>27.220389775920598</v>
      </c>
      <c r="CC40" s="1">
        <f>[1]节奏总纲!CC40</f>
        <v>27.220389775920598</v>
      </c>
    </row>
    <row r="41" spans="2:84" x14ac:dyDescent="0.15">
      <c r="F41" s="1">
        <f>[1]节奏总纲!F41</f>
        <v>39</v>
      </c>
      <c r="G41" s="1">
        <f>[1]节奏总纲!G41</f>
        <v>13.928527864588917</v>
      </c>
      <c r="I41" s="1">
        <f>[1]节奏总纲!I41</f>
        <v>39</v>
      </c>
      <c r="J41" s="1">
        <f>[1]节奏总纲!J41</f>
        <v>115.36769098598003</v>
      </c>
      <c r="K41" s="13">
        <f>[1]节奏总纲!K41</f>
        <v>1.04</v>
      </c>
      <c r="N41" s="1">
        <f>[1]节奏总纲!N41</f>
        <v>48</v>
      </c>
      <c r="O41" s="1">
        <f>[1]节奏总纲!O41</f>
        <v>38</v>
      </c>
      <c r="P41" s="1">
        <f>[1]节奏总纲!P41</f>
        <v>12.928809012737984</v>
      </c>
      <c r="Q41" s="1">
        <f>[1]节奏总纲!Q41</f>
        <v>11.292021791725356</v>
      </c>
      <c r="R41" s="1">
        <f>[1]节奏总纲!R41</f>
        <v>9.3190855363815395</v>
      </c>
      <c r="S41" s="1">
        <f>[1]节奏总纲!S41</f>
        <v>6.8962267273944402</v>
      </c>
      <c r="T41" s="1">
        <f>[1]节奏总纲!T41</f>
        <v>3.8708854184137524</v>
      </c>
      <c r="V41" s="1">
        <f>[1]节奏总纲!V41</f>
        <v>38</v>
      </c>
      <c r="W41" s="1">
        <f>[1]节奏总纲!W41</f>
        <v>0.93277067103821665</v>
      </c>
      <c r="X41" s="1">
        <f>[1]节奏总纲!X41</f>
        <v>0.80868388491392906</v>
      </c>
      <c r="Y41" s="1">
        <f>[1]节奏总纲!Y41</f>
        <v>0.65194783450345639</v>
      </c>
      <c r="Z41" s="1">
        <f>[1]节奏总纲!Z41</f>
        <v>0.4795458184192336</v>
      </c>
      <c r="AA41" s="1">
        <f>[1]节奏总纲!AA41</f>
        <v>0.2708743120696524</v>
      </c>
      <c r="AC41" s="1">
        <f>[1]节奏总纲!AC41</f>
        <v>38</v>
      </c>
      <c r="AD41" s="1">
        <f>[1]节奏总纲!AD41</f>
        <v>52.849666392872081</v>
      </c>
      <c r="AE41" s="1">
        <f>[1]节奏总纲!AE41</f>
        <v>54.793943482513676</v>
      </c>
      <c r="AF41" s="1">
        <f>[1]节奏总纲!AF41</f>
        <v>57.64832002380362</v>
      </c>
      <c r="AG41" s="1">
        <f>[1]节奏总纲!AG41</f>
        <v>62.054222259937362</v>
      </c>
      <c r="AH41" s="1">
        <f>[1]节奏总纲!AH41</f>
        <v>70.571129226337533</v>
      </c>
      <c r="AL41" s="1">
        <f>[1]节奏总纲!AL41</f>
        <v>38</v>
      </c>
      <c r="AM41" s="1">
        <f>[1]节奏总纲!AM41</f>
        <v>99.401036064365428</v>
      </c>
      <c r="AN41" s="1">
        <f>[1]节奏总纲!AN41</f>
        <v>79.520828851492354</v>
      </c>
      <c r="AO41" s="1">
        <f>[1]节奏总纲!AO41</f>
        <v>59.640621638619251</v>
      </c>
      <c r="AP41" s="1">
        <f>[1]节奏总纲!AP41</f>
        <v>39.760414425746177</v>
      </c>
      <c r="AQ41" s="1">
        <f>[1]节奏总纲!AQ41</f>
        <v>19.880207212873088</v>
      </c>
      <c r="AS41" s="1">
        <f>[1]节奏总纲!AS41</f>
        <v>38</v>
      </c>
      <c r="AT41" s="1">
        <f>[1]节奏总纲!AT41</f>
        <v>13.773559649110908</v>
      </c>
      <c r="AU41" s="1">
        <f>[1]节奏总纲!AU41</f>
        <v>11.018847719288729</v>
      </c>
      <c r="AV41" s="1">
        <f>[1]节奏总纲!AV41</f>
        <v>8.2641357894665433</v>
      </c>
      <c r="AW41" s="1">
        <f>[1]节奏总纲!AW41</f>
        <v>5.5094238596443645</v>
      </c>
      <c r="AX41" s="1">
        <f>[1]节奏总纲!AX41</f>
        <v>2.7547119298221823</v>
      </c>
      <c r="AY41" s="1"/>
      <c r="AZ41" s="1">
        <f>[1]节奏总纲!AZ41</f>
        <v>38</v>
      </c>
      <c r="BA41" s="1">
        <f>[1]节奏总纲!BA41</f>
        <v>31.791783505653711</v>
      </c>
      <c r="BB41" s="1">
        <f>[1]节奏总纲!BB41</f>
        <v>33.176527924103851</v>
      </c>
      <c r="BC41" s="1">
        <f>[1]节奏总纲!BC41</f>
        <v>34.982248860614042</v>
      </c>
      <c r="BD41" s="1">
        <f>[1]节奏总纲!BD41</f>
        <v>37.680472138177471</v>
      </c>
      <c r="BE41" s="1">
        <f>[1]节奏总纲!BE41</f>
        <v>42.340712512072891</v>
      </c>
      <c r="BI41" s="1">
        <f>[1]节奏总纲!BI41</f>
        <v>38</v>
      </c>
      <c r="BJ41" s="1">
        <f>[1]节奏总纲!BJ41</f>
        <v>2.1000000000000028</v>
      </c>
      <c r="BK41" s="1">
        <f>[1]节奏总纲!BK41</f>
        <v>2.142000000000003</v>
      </c>
      <c r="BL41" s="1">
        <f>[1]节奏总纲!BL41</f>
        <v>2.2260000000000031</v>
      </c>
      <c r="BM41" s="1">
        <f>[1]节奏总纲!BM41</f>
        <v>2.3940000000000028</v>
      </c>
      <c r="BN41" s="1">
        <f>[1]节奏总纲!BN41</f>
        <v>2.9400000000000035</v>
      </c>
      <c r="BP41" s="1">
        <f>[1]节奏总纲!BP41</f>
        <v>38</v>
      </c>
      <c r="BQ41" s="1">
        <f>[1]节奏总纲!BQ41</f>
        <v>66.487641207576758</v>
      </c>
      <c r="BR41" s="1">
        <f>[1]节奏总纲!BR41</f>
        <v>65.328126673719694</v>
      </c>
      <c r="BS41" s="1">
        <f>[1]节奏总纲!BS41</f>
        <v>64.062055525287363</v>
      </c>
      <c r="BT41" s="1">
        <f>[1]节奏总纲!BT41</f>
        <v>62.675920173751969</v>
      </c>
      <c r="BU41" s="1">
        <f>[1]节奏总纲!BU41</f>
        <v>61.182714958690575</v>
      </c>
      <c r="BW41" s="1">
        <f>[1]节奏总纲!BW41</f>
        <v>38</v>
      </c>
      <c r="BX41" s="1">
        <f>[1]节奏总纲!BX41</f>
        <v>25.233890826430223</v>
      </c>
      <c r="BY41" s="1">
        <f>[1]节奏总纲!BY41</f>
        <v>25.758552007948477</v>
      </c>
      <c r="BZ41" s="1">
        <f>[1]节奏总纲!BZ41</f>
        <v>26.328232260907932</v>
      </c>
      <c r="CA41" s="1">
        <f>[1]节奏总纲!CA41</f>
        <v>26.972253230365787</v>
      </c>
      <c r="CB41" s="1">
        <f>[1]节奏总纲!CB41</f>
        <v>27.655588848776532</v>
      </c>
      <c r="CC41" s="1">
        <f>[1]节奏总纲!CC41</f>
        <v>27.655588848776532</v>
      </c>
    </row>
    <row r="42" spans="2:84" x14ac:dyDescent="0.15">
      <c r="F42" s="1">
        <f>[1]节奏总纲!F42</f>
        <v>40</v>
      </c>
      <c r="G42" s="1">
        <f>[1]节奏总纲!G42</f>
        <v>15</v>
      </c>
      <c r="I42" s="1">
        <f>[1]节奏总纲!I42</f>
        <v>40</v>
      </c>
      <c r="J42" s="1">
        <f>[1]节奏总纲!J42</f>
        <v>133.875</v>
      </c>
      <c r="K42" s="13">
        <f>[1]节奏总纲!K42</f>
        <v>1.05</v>
      </c>
      <c r="N42" s="1">
        <f>[1]节奏总纲!N42</f>
        <v>49</v>
      </c>
      <c r="O42" s="1">
        <f>[1]节奏总纲!O42</f>
        <v>39</v>
      </c>
      <c r="P42" s="1">
        <f>[1]节奏总纲!P42</f>
        <v>13.928527864588917</v>
      </c>
      <c r="Q42" s="1">
        <f>[1]节奏总纲!Q42</f>
        <v>12.147069150707994</v>
      </c>
      <c r="R42" s="1">
        <f>[1]节奏总纲!R42</f>
        <v>10.016004387425889</v>
      </c>
      <c r="S42" s="1">
        <f>[1]节奏总纲!S42</f>
        <v>7.4197267934665154</v>
      </c>
      <c r="T42" s="1">
        <f>[1]节奏总纲!T42</f>
        <v>4.1702012426579218</v>
      </c>
      <c r="V42" s="1">
        <f>[1]节奏总纲!V42</f>
        <v>39</v>
      </c>
      <c r="W42" s="1">
        <f>[1]节奏总纲!W42</f>
        <v>0.99971885185093257</v>
      </c>
      <c r="X42" s="1">
        <f>[1]节奏总纲!X42</f>
        <v>0.85504735898263817</v>
      </c>
      <c r="Y42" s="1">
        <f>[1]节奏总纲!Y42</f>
        <v>0.69691885104434981</v>
      </c>
      <c r="Z42" s="1">
        <f>[1]节奏总纲!Z42</f>
        <v>0.52350006607207522</v>
      </c>
      <c r="AA42" s="1">
        <f>[1]节奏总纲!AA42</f>
        <v>0.29931582424416936</v>
      </c>
      <c r="AC42" s="1">
        <f>[1]节奏总纲!AC42</f>
        <v>39</v>
      </c>
      <c r="AD42" s="1">
        <f>[1]节奏总纲!AD42</f>
        <v>53.213386604241784</v>
      </c>
      <c r="AE42" s="1">
        <f>[1]节奏总纲!AE42</f>
        <v>55.170390866416149</v>
      </c>
      <c r="AF42" s="1">
        <f>[1]节奏总纲!AF42</f>
        <v>58.030740707238266</v>
      </c>
      <c r="AG42" s="1">
        <f>[1]节奏总纲!AG42</f>
        <v>62.407376554018477</v>
      </c>
      <c r="AH42" s="1">
        <f>[1]节奏总纲!AH42</f>
        <v>70.951831283621587</v>
      </c>
      <c r="AL42" s="1">
        <f>[1]节奏总纲!AL42</f>
        <v>39</v>
      </c>
      <c r="AM42" s="1">
        <f>[1]节奏总纲!AM42</f>
        <v>115.36769098598003</v>
      </c>
      <c r="AN42" s="1">
        <f>[1]节奏总纲!AN42</f>
        <v>92.294152788784032</v>
      </c>
      <c r="AO42" s="1">
        <f>[1]节奏总纲!AO42</f>
        <v>69.220614591588017</v>
      </c>
      <c r="AP42" s="1">
        <f>[1]节奏总纲!AP42</f>
        <v>46.147076394392016</v>
      </c>
      <c r="AQ42" s="1">
        <f>[1]节奏总纲!AQ42</f>
        <v>23.073538197196008</v>
      </c>
      <c r="AS42" s="1">
        <f>[1]节奏总纲!AS42</f>
        <v>39</v>
      </c>
      <c r="AT42" s="1">
        <f>[1]节奏总纲!AT42</f>
        <v>15.966654921614605</v>
      </c>
      <c r="AU42" s="1">
        <f>[1]节奏总纲!AU42</f>
        <v>12.773323937291678</v>
      </c>
      <c r="AV42" s="1">
        <f>[1]节奏总纲!AV42</f>
        <v>9.579992952968766</v>
      </c>
      <c r="AW42" s="1">
        <f>[1]节奏总纲!AW42</f>
        <v>6.3866619686458392</v>
      </c>
      <c r="AX42" s="1">
        <f>[1]节奏总纲!AX42</f>
        <v>3.1933309843229196</v>
      </c>
      <c r="AY42" s="1"/>
      <c r="AZ42" s="1">
        <f>[1]节奏总纲!AZ42</f>
        <v>39</v>
      </c>
      <c r="BA42" s="1">
        <f>[1]节奏总纲!BA42</f>
        <v>31.962341207945599</v>
      </c>
      <c r="BB42" s="1">
        <f>[1]节奏总纲!BB42</f>
        <v>33.332230659996682</v>
      </c>
      <c r="BC42" s="1">
        <f>[1]节奏总纲!BC42</f>
        <v>35.146386283795508</v>
      </c>
      <c r="BD42" s="1">
        <f>[1]节奏总纲!BD42</f>
        <v>37.861979320321296</v>
      </c>
      <c r="BE42" s="1">
        <f>[1]节奏总纲!BE42</f>
        <v>42.51427628670821</v>
      </c>
      <c r="BI42" s="1">
        <f>[1]节奏总纲!BI42</f>
        <v>39</v>
      </c>
      <c r="BJ42" s="1">
        <f>[1]节奏总纲!BJ42</f>
        <v>2.133333333333336</v>
      </c>
      <c r="BK42" s="1">
        <f>[1]节奏总纲!BK42</f>
        <v>2.1760000000000028</v>
      </c>
      <c r="BL42" s="1">
        <f>[1]节奏总纲!BL42</f>
        <v>2.2613333333333361</v>
      </c>
      <c r="BM42" s="1">
        <f>[1]节奏总纲!BM42</f>
        <v>2.4320000000000026</v>
      </c>
      <c r="BN42" s="1">
        <f>[1]节奏总纲!BN42</f>
        <v>2.9866666666666704</v>
      </c>
      <c r="BP42" s="1">
        <f>[1]节奏总纲!BP42</f>
        <v>39</v>
      </c>
      <c r="BQ42" s="1">
        <f>[1]节奏总纲!BQ42</f>
        <v>68.617325920549462</v>
      </c>
      <c r="BR42" s="1">
        <f>[1]节奏总纲!BR42</f>
        <v>67.444013295864096</v>
      </c>
      <c r="BS42" s="1">
        <f>[1]节奏总纲!BS42</f>
        <v>66.152018816255293</v>
      </c>
      <c r="BT42" s="1">
        <f>[1]节奏总纲!BT42</f>
        <v>64.756218484668864</v>
      </c>
      <c r="BU42" s="1">
        <f>[1]节奏总纲!BU42</f>
        <v>63.227467500622204</v>
      </c>
      <c r="BW42" s="1">
        <f>[1]节奏总纲!BW42</f>
        <v>39</v>
      </c>
      <c r="BX42" s="1">
        <f>[1]节奏总纲!BX42</f>
        <v>25.676063828071452</v>
      </c>
      <c r="BY42" s="1">
        <f>[1]节奏总纲!BY42</f>
        <v>26.19708330565534</v>
      </c>
      <c r="BZ42" s="1">
        <f>[1]节奏总纲!BZ42</f>
        <v>26.766006813599326</v>
      </c>
      <c r="CA42" s="1">
        <f>[1]节奏总纲!CA42</f>
        <v>27.396883495694844</v>
      </c>
      <c r="CB42" s="1">
        <f>[1]节奏总纲!CB42</f>
        <v>28.116418470149469</v>
      </c>
      <c r="CC42" s="1">
        <f>[1]节奏总纲!CC42</f>
        <v>28.116418470149469</v>
      </c>
    </row>
    <row r="43" spans="2:84" x14ac:dyDescent="0.15">
      <c r="F43" s="1">
        <f>[1]节奏总纲!F43</f>
        <v>41</v>
      </c>
      <c r="G43" s="1">
        <f>[1]节奏总纲!G43</f>
        <v>16.148375400580683</v>
      </c>
      <c r="I43" s="1">
        <f>[1]节奏总纲!I43</f>
        <v>41</v>
      </c>
      <c r="J43" s="1">
        <f>[1]节奏总纲!J43</f>
        <v>155.32539280599755</v>
      </c>
      <c r="K43" s="13">
        <f>[1]节奏总纲!K43</f>
        <v>1.06</v>
      </c>
      <c r="N43" s="1">
        <f>[1]节奏总纲!N43</f>
        <v>50</v>
      </c>
      <c r="O43" s="1">
        <f>[1]节奏总纲!O43</f>
        <v>40</v>
      </c>
      <c r="P43" s="1">
        <f>[1]节奏总纲!P43</f>
        <v>15</v>
      </c>
      <c r="Q43" s="1">
        <f>[1]节奏总纲!Q43</f>
        <v>13.059000000000001</v>
      </c>
      <c r="R43" s="1">
        <f>[1]节奏总纲!R43</f>
        <v>10.782</v>
      </c>
      <c r="S43" s="1">
        <f>[1]节奏总纲!S43</f>
        <v>8.0009999999999994</v>
      </c>
      <c r="T43" s="1">
        <f>[1]节奏总纲!T43</f>
        <v>4.5</v>
      </c>
      <c r="V43" s="1">
        <f>[1]节奏总纲!V43</f>
        <v>40</v>
      </c>
      <c r="W43" s="1">
        <f>[1]节奏总纲!W43</f>
        <v>1.0714721354110832</v>
      </c>
      <c r="X43" s="1">
        <f>[1]节奏总纲!X43</f>
        <v>0.9119308492920073</v>
      </c>
      <c r="Y43" s="1">
        <f>[1]节奏总纲!Y43</f>
        <v>0.76599561257411075</v>
      </c>
      <c r="Z43" s="1">
        <f>[1]节奏总纲!Z43</f>
        <v>0.58127320653348402</v>
      </c>
      <c r="AA43" s="1">
        <f>[1]节奏总纲!AA43</f>
        <v>0.3297987573420782</v>
      </c>
      <c r="AC43" s="1">
        <f>[1]节奏总纲!AC43</f>
        <v>40</v>
      </c>
      <c r="AD43" s="1">
        <f>[1]节奏总纲!AD43</f>
        <v>53.567039423670657</v>
      </c>
      <c r="AE43" s="1">
        <f>[1]节奏总纲!AE43</f>
        <v>55.535006783542492</v>
      </c>
      <c r="AF43" s="1">
        <f>[1]节奏总纲!AF43</f>
        <v>58.38602553461638</v>
      </c>
      <c r="AG43" s="1">
        <f>[1]节奏总纲!AG43</f>
        <v>62.760530848099599</v>
      </c>
      <c r="AH43" s="1">
        <f>[1]节奏总纲!AH43</f>
        <v>71.315281959371688</v>
      </c>
      <c r="AL43" s="1">
        <f>[1]节奏总纲!AL43</f>
        <v>40</v>
      </c>
      <c r="AM43" s="1">
        <f>[1]节奏总纲!AM43</f>
        <v>133.875</v>
      </c>
      <c r="AN43" s="1">
        <f>[1]节奏总纲!AN43</f>
        <v>107.10000000000001</v>
      </c>
      <c r="AO43" s="1">
        <f>[1]节奏总纲!AO43</f>
        <v>80.325000000000003</v>
      </c>
      <c r="AP43" s="1">
        <f>[1]节奏总纲!AP43</f>
        <v>53.550000000000004</v>
      </c>
      <c r="AQ43" s="1">
        <f>[1]节奏总纲!AQ43</f>
        <v>26.775000000000002</v>
      </c>
      <c r="AS43" s="1">
        <f>[1]节奏总纲!AS43</f>
        <v>40</v>
      </c>
      <c r="AT43" s="1">
        <f>[1]节奏总纲!AT43</f>
        <v>18.507309014019967</v>
      </c>
      <c r="AU43" s="1">
        <f>[1]节奏总纲!AU43</f>
        <v>14.805847211215976</v>
      </c>
      <c r="AV43" s="1">
        <f>[1]节奏总纲!AV43</f>
        <v>11.104385408411986</v>
      </c>
      <c r="AW43" s="1">
        <f>[1]节奏总纲!AW43</f>
        <v>7.4029236056079881</v>
      </c>
      <c r="AX43" s="1">
        <f>[1]节奏总纲!AX43</f>
        <v>3.7014618028039941</v>
      </c>
      <c r="AY43" s="1"/>
      <c r="AZ43" s="1">
        <f>[1]节奏总纲!AZ43</f>
        <v>40</v>
      </c>
      <c r="BA43" s="1">
        <f>[1]节奏总纲!BA43</f>
        <v>32.113552950216736</v>
      </c>
      <c r="BB43" s="1">
        <f>[1]节奏总纲!BB43</f>
        <v>33.487933395889513</v>
      </c>
      <c r="BC43" s="1">
        <f>[1]节奏总纲!BC43</f>
        <v>35.309037710234961</v>
      </c>
      <c r="BD43" s="1">
        <f>[1]节奏总纲!BD43</f>
        <v>38.037513426486328</v>
      </c>
      <c r="BE43" s="1">
        <f>[1]节奏总纲!BE43</f>
        <v>42.687840061343536</v>
      </c>
      <c r="BI43" s="1">
        <f>[1]节奏总纲!BI43</f>
        <v>40</v>
      </c>
      <c r="BJ43" s="1">
        <f>[1]节奏总纲!BJ43</f>
        <v>2.1666666666666692</v>
      </c>
      <c r="BK43" s="1">
        <f>[1]节奏总纲!BK43</f>
        <v>2.2100000000000026</v>
      </c>
      <c r="BL43" s="1">
        <f>[1]节奏总纲!BL43</f>
        <v>2.2966666666666695</v>
      </c>
      <c r="BM43" s="1">
        <f>[1]节奏总纲!BM43</f>
        <v>2.4700000000000029</v>
      </c>
      <c r="BN43" s="1">
        <f>[1]节奏总纲!BN43</f>
        <v>3.0333333333333368</v>
      </c>
      <c r="BP43" s="1">
        <f>[1]节奏总纲!BP43</f>
        <v>40</v>
      </c>
      <c r="BQ43" s="1">
        <f>[1]节奏总纲!BQ43</f>
        <v>70.748339784677938</v>
      </c>
      <c r="BR43" s="1">
        <f>[1]节奏总纲!BR43</f>
        <v>69.615263433680354</v>
      </c>
      <c r="BS43" s="1">
        <f>[1]节奏总纲!BS43</f>
        <v>68.367495331711169</v>
      </c>
      <c r="BT43" s="1">
        <f>[1]节奏总纲!BT43</f>
        <v>66.978083215330415</v>
      </c>
      <c r="BU43" s="1">
        <f>[1]节奏总纲!BU43</f>
        <v>65.42062527862636</v>
      </c>
      <c r="BW43" s="1">
        <f>[1]节奏总纲!BW43</f>
        <v>40</v>
      </c>
      <c r="BX43" s="1">
        <f>[1]节奏总纲!BX43</f>
        <v>26.127796402772656</v>
      </c>
      <c r="BY43" s="1">
        <f>[1]节奏总纲!BY43</f>
        <v>26.626710211681832</v>
      </c>
      <c r="BZ43" s="1">
        <f>[1]节奏总纲!BZ43</f>
        <v>27.210732057225155</v>
      </c>
      <c r="CA43" s="1">
        <f>[1]节奏总纲!CA43</f>
        <v>27.863833570485102</v>
      </c>
      <c r="CB43" s="1">
        <f>[1]节奏总纲!CB43</f>
        <v>28.568390277483555</v>
      </c>
      <c r="CC43" s="1">
        <f>[1]节奏总纲!CC43</f>
        <v>28.568390277483555</v>
      </c>
    </row>
    <row r="44" spans="2:84" x14ac:dyDescent="0.15">
      <c r="F44" s="1">
        <f>[1]节奏总纲!F44</f>
        <v>42</v>
      </c>
      <c r="G44" s="1">
        <f>[1]节奏总纲!G44</f>
        <v>17.379173679952558</v>
      </c>
      <c r="I44" s="1">
        <f>[1]节奏总纲!I44</f>
        <v>42</v>
      </c>
      <c r="J44" s="1">
        <f>[1]节奏总纲!J44</f>
        <v>180.18480345945557</v>
      </c>
      <c r="K44" s="13">
        <f>[1]节奏总纲!K44</f>
        <v>1.07</v>
      </c>
      <c r="N44" s="1">
        <f>[1]节奏总纲!N44</f>
        <v>51</v>
      </c>
      <c r="O44" s="1">
        <f>[1]节奏总纲!O44</f>
        <v>41</v>
      </c>
      <c r="P44" s="1">
        <f>[1]节奏总纲!P44</f>
        <v>16.148375400580683</v>
      </c>
      <c r="Q44" s="1">
        <f>[1]节奏总纲!Q44</f>
        <v>14.065234973905774</v>
      </c>
      <c r="R44" s="1">
        <f>[1]节奏总纲!R44</f>
        <v>11.621985775797917</v>
      </c>
      <c r="S44" s="1">
        <f>[1]节奏总纲!S44</f>
        <v>8.6296918140703163</v>
      </c>
      <c r="T44" s="1">
        <f>[1]节奏总纲!T44</f>
        <v>4.8606609955747855</v>
      </c>
      <c r="V44" s="1">
        <f>[1]节奏总纲!V44</f>
        <v>41</v>
      </c>
      <c r="W44" s="1">
        <f>[1]节奏总纲!W44</f>
        <v>1.148375400580683</v>
      </c>
      <c r="X44" s="1">
        <f>[1]节奏总纲!X44</f>
        <v>1.006234973905773</v>
      </c>
      <c r="Y44" s="1">
        <f>[1]节奏总纲!Y44</f>
        <v>0.839985775797917</v>
      </c>
      <c r="Z44" s="1">
        <f>[1]节奏总纲!Z44</f>
        <v>0.62869181407031682</v>
      </c>
      <c r="AA44" s="1">
        <f>[1]节奏总纲!AA44</f>
        <v>0.36066099557478548</v>
      </c>
      <c r="AC44" s="1">
        <f>[1]节奏总纲!AC44</f>
        <v>41</v>
      </c>
      <c r="AD44" s="1">
        <f>[1]节奏总纲!AD44</f>
        <v>53.920692243099523</v>
      </c>
      <c r="AE44" s="1">
        <f>[1]节奏总纲!AE44</f>
        <v>55.899622700668843</v>
      </c>
      <c r="AF44" s="1">
        <f>[1]节奏总纲!AF44</f>
        <v>58.741310361994486</v>
      </c>
      <c r="AG44" s="1">
        <f>[1]节奏总纲!AG44</f>
        <v>63.10587219844583</v>
      </c>
      <c r="AH44" s="1">
        <f>[1]节奏总纲!AH44</f>
        <v>71.676233707038421</v>
      </c>
      <c r="AL44" s="1">
        <f>[1]节奏总纲!AL44</f>
        <v>41</v>
      </c>
      <c r="AM44" s="1">
        <f>[1]节奏总纲!AM44</f>
        <v>155.32539280599755</v>
      </c>
      <c r="AN44" s="1">
        <f>[1]节奏总纲!AN44</f>
        <v>124.26031424479805</v>
      </c>
      <c r="AO44" s="1">
        <f>[1]节奏总纲!AO44</f>
        <v>93.195235683598526</v>
      </c>
      <c r="AP44" s="1">
        <f>[1]节奏总纲!AP44</f>
        <v>62.130157122399027</v>
      </c>
      <c r="AQ44" s="1">
        <f>[1]节奏总纲!AQ44</f>
        <v>31.065078561199513</v>
      </c>
      <c r="AS44" s="1">
        <f>[1]节奏总纲!AS44</f>
        <v>41</v>
      </c>
      <c r="AT44" s="1">
        <f>[1]节奏总纲!AT44</f>
        <v>21.450392805997552</v>
      </c>
      <c r="AU44" s="1">
        <f>[1]节奏总纲!AU44</f>
        <v>17.160314244798045</v>
      </c>
      <c r="AV44" s="1">
        <f>[1]节奏总纲!AV44</f>
        <v>12.870235683598523</v>
      </c>
      <c r="AW44" s="1">
        <f>[1]节奏总纲!AW44</f>
        <v>8.5801571223990223</v>
      </c>
      <c r="AX44" s="1">
        <f>[1]节奏总纲!AX44</f>
        <v>4.2900785611995111</v>
      </c>
      <c r="AY44" s="1"/>
      <c r="AZ44" s="1">
        <f>[1]节奏总纲!AZ44</f>
        <v>41</v>
      </c>
      <c r="BA44" s="1">
        <f>[1]节奏总纲!BA44</f>
        <v>32.259282740196369</v>
      </c>
      <c r="BB44" s="1">
        <f>[1]节奏总纲!BB44</f>
        <v>33.643636131782344</v>
      </c>
      <c r="BC44" s="1">
        <f>[1]节奏总纲!BC44</f>
        <v>35.471689136674414</v>
      </c>
      <c r="BD44" s="1">
        <f>[1]节奏总纲!BD44</f>
        <v>38.194089742081125</v>
      </c>
      <c r="BE44" s="1">
        <f>[1]节奏总纲!BE44</f>
        <v>42.861403835978855</v>
      </c>
      <c r="BI44" s="1">
        <f>[1]节奏总纲!BI44</f>
        <v>41</v>
      </c>
      <c r="BJ44" s="1">
        <f>[1]节奏总纲!BJ44</f>
        <v>2.2000000000000024</v>
      </c>
      <c r="BK44" s="1">
        <f>[1]节奏总纲!BK44</f>
        <v>2.2440000000000024</v>
      </c>
      <c r="BL44" s="1">
        <f>[1]节奏总纲!BL44</f>
        <v>2.3320000000000025</v>
      </c>
      <c r="BM44" s="1">
        <f>[1]节奏总纲!BM44</f>
        <v>2.5080000000000027</v>
      </c>
      <c r="BN44" s="1">
        <f>[1]节奏总纲!BN44</f>
        <v>3.0800000000000032</v>
      </c>
      <c r="BP44" s="1">
        <f>[1]节奏总纲!BP44</f>
        <v>41</v>
      </c>
      <c r="BQ44" s="1">
        <f>[1]节奏总纲!BQ44</f>
        <v>72.880500265925534</v>
      </c>
      <c r="BR44" s="1">
        <f>[1]节奏总纲!BR44</f>
        <v>71.728439272842749</v>
      </c>
      <c r="BS44" s="1">
        <f>[1]节奏总纲!BS44</f>
        <v>70.476853761910021</v>
      </c>
      <c r="BT44" s="1">
        <f>[1]节奏总纲!BT44</f>
        <v>69.13548950479607</v>
      </c>
      <c r="BU44" s="1">
        <f>[1]节奏总纲!BU44</f>
        <v>67.614538970700607</v>
      </c>
      <c r="BW44" s="1">
        <f>[1]节奏总纲!BW44</f>
        <v>41</v>
      </c>
      <c r="BX44" s="1">
        <f>[1]节奏总纲!BX44</f>
        <v>26.560612527540403</v>
      </c>
      <c r="BY44" s="1">
        <f>[1]节奏总纲!BY44</f>
        <v>27.085909727083454</v>
      </c>
      <c r="BZ44" s="1">
        <f>[1]节奏总纲!BZ44</f>
        <v>27.660585260415356</v>
      </c>
      <c r="CA44" s="1">
        <f>[1]节奏总纲!CA44</f>
        <v>28.314646355865854</v>
      </c>
      <c r="CB44" s="1">
        <f>[1]节奏总纲!CB44</f>
        <v>29.053470241147885</v>
      </c>
      <c r="CC44" s="1">
        <f>[1]节奏总纲!CC44</f>
        <v>29.053470241147885</v>
      </c>
    </row>
    <row r="45" spans="2:84" x14ac:dyDescent="0.15">
      <c r="F45" s="1">
        <f>[1]节奏总纲!F45</f>
        <v>43</v>
      </c>
      <c r="G45" s="1">
        <f>[1]节奏总纲!G45</f>
        <v>18.698310613518661</v>
      </c>
      <c r="I45" s="1">
        <f>[1]节奏总纲!I45</f>
        <v>43</v>
      </c>
      <c r="J45" s="1">
        <f>[1]节奏总纲!J45</f>
        <v>208.99265815439742</v>
      </c>
      <c r="K45" s="13">
        <f>[1]节奏总纲!K45</f>
        <v>1.08</v>
      </c>
      <c r="N45" s="1">
        <f>[1]节奏总纲!N45</f>
        <v>52</v>
      </c>
      <c r="O45" s="1">
        <f>[1]节奏总纲!O45</f>
        <v>42</v>
      </c>
      <c r="P45" s="1">
        <f>[1]节奏总纲!P45</f>
        <v>17.379173679952558</v>
      </c>
      <c r="Q45" s="1">
        <f>[1]节奏总纲!Q45</f>
        <v>15.182446126806555</v>
      </c>
      <c r="R45" s="1">
        <f>[1]节奏总纲!R45</f>
        <v>12.547763396925747</v>
      </c>
      <c r="S45" s="1">
        <f>[1]节奏总纲!S45</f>
        <v>9.3221887619265527</v>
      </c>
      <c r="T45" s="1">
        <f>[1]节奏总纲!T45</f>
        <v>5.2485104513456724</v>
      </c>
      <c r="V45" s="1">
        <f>[1]节奏总纲!V45</f>
        <v>42</v>
      </c>
      <c r="W45" s="1">
        <f>[1]节奏总纲!W45</f>
        <v>1.230798279371875</v>
      </c>
      <c r="X45" s="1">
        <f>[1]节奏总纲!X45</f>
        <v>1.1172111529007811</v>
      </c>
      <c r="Y45" s="1">
        <f>[1]节奏总纲!Y45</f>
        <v>0.92577762112783013</v>
      </c>
      <c r="Z45" s="1">
        <f>[1]节奏总纲!Z45</f>
        <v>0.69249694785623639</v>
      </c>
      <c r="AA45" s="1">
        <f>[1]节奏总纲!AA45</f>
        <v>0.38784945577088692</v>
      </c>
      <c r="AC45" s="1">
        <f>[1]节奏总纲!AC45</f>
        <v>42</v>
      </c>
      <c r="AD45" s="1">
        <f>[1]节奏总纲!AD45</f>
        <v>54.255972994404218</v>
      </c>
      <c r="AE45" s="1">
        <f>[1]节奏总纲!AE45</f>
        <v>56.238779717153008</v>
      </c>
      <c r="AF45" s="1">
        <f>[1]节奏总纲!AF45</f>
        <v>59.09095196730258</v>
      </c>
      <c r="AG45" s="1">
        <f>[1]节奏总纲!AG45</f>
        <v>63.434756173851497</v>
      </c>
      <c r="AH45" s="1">
        <f>[1]节奏总纲!AH45</f>
        <v>72.034562459436771</v>
      </c>
      <c r="AL45" s="1">
        <f>[1]节奏总纲!AL45</f>
        <v>42</v>
      </c>
      <c r="AM45" s="1">
        <f>[1]节奏总纲!AM45</f>
        <v>180.18480345945557</v>
      </c>
      <c r="AN45" s="1">
        <f>[1]节奏总纲!AN45</f>
        <v>144.14784276756447</v>
      </c>
      <c r="AO45" s="1">
        <f>[1]节奏总纲!AO45</f>
        <v>108.11088207567333</v>
      </c>
      <c r="AP45" s="1">
        <f>[1]节奏总纲!AP45</f>
        <v>72.073921383782235</v>
      </c>
      <c r="AQ45" s="1">
        <f>[1]节奏总纲!AQ45</f>
        <v>36.036960691891117</v>
      </c>
      <c r="AS45" s="1">
        <f>[1]节奏总纲!AS45</f>
        <v>42</v>
      </c>
      <c r="AT45" s="1">
        <f>[1]节奏总纲!AT45</f>
        <v>24.859410653458013</v>
      </c>
      <c r="AU45" s="1">
        <f>[1]节奏总纲!AU45</f>
        <v>19.887528522766416</v>
      </c>
      <c r="AV45" s="1">
        <f>[1]节奏总纲!AV45</f>
        <v>14.915646392074805</v>
      </c>
      <c r="AW45" s="1">
        <f>[1]节奏总纲!AW45</f>
        <v>9.9437642613832082</v>
      </c>
      <c r="AX45" s="1">
        <f>[1]节奏总纲!AX45</f>
        <v>4.9718821306916041</v>
      </c>
      <c r="AY45" s="1"/>
      <c r="AZ45" s="1">
        <f>[1]节奏总纲!AZ45</f>
        <v>42</v>
      </c>
      <c r="BA45" s="1">
        <f>[1]节奏总纲!BA45</f>
        <v>32.405012530176009</v>
      </c>
      <c r="BB45" s="1">
        <f>[1]节奏总纲!BB45</f>
        <v>33.799338867675175</v>
      </c>
      <c r="BC45" s="1">
        <f>[1]节奏总纲!BC45</f>
        <v>35.634340563113874</v>
      </c>
      <c r="BD45" s="1">
        <f>[1]节奏总纲!BD45</f>
        <v>38.35066605767593</v>
      </c>
      <c r="BE45" s="1">
        <f>[1]节奏总纲!BE45</f>
        <v>43.030177309109042</v>
      </c>
      <c r="BI45" s="1">
        <f>[1]节奏总纲!BI45</f>
        <v>42</v>
      </c>
      <c r="BJ45" s="1">
        <f>[1]节奏总纲!BJ45</f>
        <v>2.2333333333333356</v>
      </c>
      <c r="BK45" s="1">
        <f>[1]节奏总纲!BK45</f>
        <v>2.2780000000000022</v>
      </c>
      <c r="BL45" s="1">
        <f>[1]节奏总纲!BL45</f>
        <v>2.367333333333336</v>
      </c>
      <c r="BM45" s="1">
        <f>[1]节奏总纲!BM45</f>
        <v>2.5460000000000025</v>
      </c>
      <c r="BN45" s="1">
        <f>[1]节奏总纲!BN45</f>
        <v>3.1266666666666696</v>
      </c>
      <c r="BP45" s="1">
        <f>[1]节奏总纲!BP45</f>
        <v>42</v>
      </c>
      <c r="BQ45" s="1">
        <f>[1]节奏总纲!BQ45</f>
        <v>75.012735728019962</v>
      </c>
      <c r="BR45" s="1">
        <f>[1]节奏总纲!BR45</f>
        <v>73.895779769437553</v>
      </c>
      <c r="BS45" s="1">
        <f>[1]节奏总纲!BS45</f>
        <v>72.65984060067882</v>
      </c>
      <c r="BT45" s="1">
        <f>[1]节奏总纲!BT45</f>
        <v>71.293724037797247</v>
      </c>
      <c r="BU45" s="1">
        <f>[1]节奏总纲!BU45</f>
        <v>69.810299559768239</v>
      </c>
      <c r="BW45" s="1">
        <f>[1]节奏总纲!BW45</f>
        <v>42</v>
      </c>
      <c r="BX45" s="1">
        <f>[1]节奏总纲!BX45</f>
        <v>27.020882333389096</v>
      </c>
      <c r="BY45" s="1">
        <f>[1]节奏总纲!BY45</f>
        <v>27.534650375663031</v>
      </c>
      <c r="BZ45" s="1">
        <f>[1]节奏总纲!BZ45</f>
        <v>28.133393592464987</v>
      </c>
      <c r="CA45" s="1">
        <f>[1]节奏总纲!CA45</f>
        <v>28.789161632421735</v>
      </c>
      <c r="CB45" s="1">
        <f>[1]节奏总纲!CB45</f>
        <v>29.507063914299049</v>
      </c>
      <c r="CC45" s="1">
        <f>[1]节奏总纲!CC45</f>
        <v>29.507063914299049</v>
      </c>
    </row>
    <row r="46" spans="2:84" x14ac:dyDescent="0.15">
      <c r="F46" s="1">
        <f>[1]节奏总纲!F46</f>
        <v>44</v>
      </c>
      <c r="G46" s="1">
        <f>[1]节奏总纲!G46</f>
        <v>20.112126572366307</v>
      </c>
      <c r="I46" s="1">
        <f>[1]节奏总纲!I46</f>
        <v>44</v>
      </c>
      <c r="J46" s="1">
        <f>[1]节奏总纲!J46</f>
        <v>242.37342918215046</v>
      </c>
      <c r="K46" s="13">
        <f>[1]节奏总纲!K46</f>
        <v>1.0900000000000001</v>
      </c>
      <c r="N46" s="1">
        <f>[1]节奏总纲!N46</f>
        <v>53</v>
      </c>
      <c r="O46" s="1">
        <f>[1]节奏总纲!O46</f>
        <v>43</v>
      </c>
      <c r="P46" s="1">
        <f>[1]节奏总纲!P46</f>
        <v>18.698310613518661</v>
      </c>
      <c r="Q46" s="1">
        <f>[1]节奏总纲!Q46</f>
        <v>16.338583814092605</v>
      </c>
      <c r="R46" s="1">
        <f>[1]节奏总纲!R46</f>
        <v>13.509529418267233</v>
      </c>
      <c r="S46" s="1">
        <f>[1]节奏总纲!S46</f>
        <v>10.020424657784652</v>
      </c>
      <c r="T46" s="1">
        <f>[1]节奏总纲!T46</f>
        <v>5.6394104810372276</v>
      </c>
      <c r="V46" s="1">
        <f>[1]节奏总纲!V46</f>
        <v>43</v>
      </c>
      <c r="W46" s="1">
        <f>[1]节奏总纲!W46</f>
        <v>1.319136933566103</v>
      </c>
      <c r="X46" s="1">
        <f>[1]节奏总纲!X46</f>
        <v>1.1561376872860496</v>
      </c>
      <c r="Y46" s="1">
        <f>[1]节奏总纲!Y46</f>
        <v>0.96176602134148581</v>
      </c>
      <c r="Z46" s="1">
        <f>[1]节奏总纲!Z46</f>
        <v>0.6982358958580992</v>
      </c>
      <c r="AA46" s="1">
        <f>[1]节奏总纲!AA46</f>
        <v>0.39090002969155524</v>
      </c>
      <c r="AC46" s="1">
        <f>[1]节奏总纲!AC46</f>
        <v>43</v>
      </c>
      <c r="AD46" s="1">
        <f>[1]节奏总纲!AD46</f>
        <v>54.585942742481357</v>
      </c>
      <c r="AE46" s="1">
        <f>[1]节奏总纲!AE46</f>
        <v>56.568265567054013</v>
      </c>
      <c r="AF46" s="1">
        <f>[1]节奏总纲!AF46</f>
        <v>59.425480572843689</v>
      </c>
      <c r="AG46" s="1">
        <f>[1]节奏总纲!AG46</f>
        <v>63.763640149257171</v>
      </c>
      <c r="AH46" s="1">
        <f>[1]节奏总纲!AH46</f>
        <v>72.370053318329937</v>
      </c>
      <c r="AL46" s="1">
        <f>[1]节奏总纲!AL46</f>
        <v>43</v>
      </c>
      <c r="AM46" s="1">
        <f>[1]节奏总纲!AM46</f>
        <v>208.99265815439742</v>
      </c>
      <c r="AN46" s="1">
        <f>[1]节奏总纲!AN46</f>
        <v>167.19412652351795</v>
      </c>
      <c r="AO46" s="1">
        <f>[1]节奏总纲!AO46</f>
        <v>125.39559489263844</v>
      </c>
      <c r="AP46" s="1">
        <f>[1]节奏总纲!AP46</f>
        <v>83.597063261758976</v>
      </c>
      <c r="AQ46" s="1">
        <f>[1]节奏总纲!AQ46</f>
        <v>41.798531630879488</v>
      </c>
      <c r="AS46" s="1">
        <f>[1]节奏总纲!AS46</f>
        <v>43</v>
      </c>
      <c r="AT46" s="1">
        <f>[1]节奏总纲!AT46</f>
        <v>28.807854694941852</v>
      </c>
      <c r="AU46" s="1">
        <f>[1]节奏总纲!AU46</f>
        <v>23.046283755953482</v>
      </c>
      <c r="AV46" s="1">
        <f>[1]节奏总纲!AV46</f>
        <v>17.284712816965111</v>
      </c>
      <c r="AW46" s="1">
        <f>[1]节奏总纲!AW46</f>
        <v>11.523141877976741</v>
      </c>
      <c r="AX46" s="1">
        <f>[1]节奏总纲!AX46</f>
        <v>5.7615709389883705</v>
      </c>
      <c r="AY46" s="1"/>
      <c r="AZ46" s="1">
        <f>[1]节奏总纲!AZ46</f>
        <v>43</v>
      </c>
      <c r="BA46" s="1">
        <f>[1]节奏总纲!BA46</f>
        <v>32.550742320155642</v>
      </c>
      <c r="BB46" s="1">
        <f>[1]节奏总纲!BB46</f>
        <v>33.955041603568006</v>
      </c>
      <c r="BC46" s="1">
        <f>[1]节奏总纲!BC46</f>
        <v>35.796991989553327</v>
      </c>
      <c r="BD46" s="1">
        <f>[1]节奏总纲!BD46</f>
        <v>38.507242373270728</v>
      </c>
      <c r="BE46" s="1">
        <f>[1]节奏总纲!BE46</f>
        <v>43.179964142847631</v>
      </c>
      <c r="BI46" s="1">
        <f>[1]节奏总纲!BI46</f>
        <v>43</v>
      </c>
      <c r="BJ46" s="1">
        <f>[1]节奏总纲!BJ46</f>
        <v>2.2666666666666688</v>
      </c>
      <c r="BK46" s="1">
        <f>[1]节奏总纲!BK46</f>
        <v>2.3120000000000021</v>
      </c>
      <c r="BL46" s="1">
        <f>[1]节奏总纲!BL46</f>
        <v>2.4026666666666689</v>
      </c>
      <c r="BM46" s="1">
        <f>[1]节奏总纲!BM46</f>
        <v>2.5840000000000023</v>
      </c>
      <c r="BN46" s="1">
        <f>[1]节奏总纲!BN46</f>
        <v>3.173333333333336</v>
      </c>
      <c r="BP46" s="1">
        <f>[1]节奏总纲!BP46</f>
        <v>43</v>
      </c>
      <c r="BQ46" s="1">
        <f>[1]节奏总纲!BQ46</f>
        <v>77.137764615612369</v>
      </c>
      <c r="BR46" s="1">
        <f>[1]节奏总纲!BR46</f>
        <v>76.018081402346411</v>
      </c>
      <c r="BS46" s="1">
        <f>[1]节奏总纲!BS46</f>
        <v>74.771148405180824</v>
      </c>
      <c r="BT46" s="1">
        <f>[1]节奏总纲!BT46</f>
        <v>73.446658299619131</v>
      </c>
      <c r="BU46" s="1">
        <f>[1]节奏总纲!BU46</f>
        <v>71.964465094771541</v>
      </c>
      <c r="BW46" s="1">
        <f>[1]节奏总纲!BW46</f>
        <v>43</v>
      </c>
      <c r="BX46" s="1">
        <f>[1]节奏总纲!BX46</f>
        <v>27.444759493295177</v>
      </c>
      <c r="BY46" s="1">
        <f>[1]节奏总纲!BY46</f>
        <v>27.999026312380973</v>
      </c>
      <c r="BZ46" s="1">
        <f>[1]节奏总纲!BZ46</f>
        <v>28.572743465906495</v>
      </c>
      <c r="CA46" s="1">
        <f>[1]节奏总纲!CA46</f>
        <v>29.228371965502063</v>
      </c>
      <c r="CB46" s="1">
        <f>[1]节奏总纲!CB46</f>
        <v>29.964225263024609</v>
      </c>
      <c r="CC46" s="1">
        <f>[1]节奏总纲!CC46</f>
        <v>29.964225263024609</v>
      </c>
    </row>
    <row r="47" spans="2:84" x14ac:dyDescent="0.15">
      <c r="F47" s="1">
        <f>[1]节奏总纲!F47</f>
        <v>45</v>
      </c>
      <c r="G47" s="1">
        <f>[1]节奏总纲!G47</f>
        <v>21.627416997969519</v>
      </c>
      <c r="I47" s="1">
        <f>[1]节奏总纲!I47</f>
        <v>45</v>
      </c>
      <c r="J47" s="1">
        <f>[1]节奏总纲!J47</f>
        <v>281.05</v>
      </c>
      <c r="K47" s="13">
        <f>[1]节奏总纲!K47</f>
        <v>1.1000000000000001</v>
      </c>
      <c r="N47" s="1">
        <f>[1]节奏总纲!N47</f>
        <v>54</v>
      </c>
      <c r="O47" s="1">
        <f>[1]节奏总纲!O47</f>
        <v>44</v>
      </c>
      <c r="P47" s="1">
        <f>[1]节奏总纲!P47</f>
        <v>20.112126572366307</v>
      </c>
      <c r="Q47" s="1">
        <f>[1]节奏总纲!Q47</f>
        <v>17.573976198933678</v>
      </c>
      <c r="R47" s="1">
        <f>[1]节奏总纲!R47</f>
        <v>14.520955385248474</v>
      </c>
      <c r="S47" s="1">
        <f>[1]节奏总纲!S47</f>
        <v>10.768032566844921</v>
      </c>
      <c r="T47" s="1">
        <f>[1]节奏总纲!T47</f>
        <v>6.0537500982822579</v>
      </c>
      <c r="V47" s="1">
        <f>[1]节奏总纲!V47</f>
        <v>44</v>
      </c>
      <c r="W47" s="1">
        <f>[1]节奏总纲!W47</f>
        <v>1.4138159588476462</v>
      </c>
      <c r="X47" s="1">
        <f>[1]节奏总纲!X47</f>
        <v>1.2353923848410737</v>
      </c>
      <c r="Y47" s="1">
        <f>[1]节奏总纲!Y47</f>
        <v>1.0114259669812409</v>
      </c>
      <c r="Z47" s="1">
        <f>[1]节奏总纲!Z47</f>
        <v>0.74760790906026919</v>
      </c>
      <c r="AA47" s="1">
        <f>[1]节奏总纲!AA47</f>
        <v>0.41433961724503021</v>
      </c>
      <c r="AC47" s="1">
        <f>[1]节奏总纲!AC47</f>
        <v>44</v>
      </c>
      <c r="AD47" s="1">
        <f>[1]节奏总纲!AD47</f>
        <v>54.915912490558505</v>
      </c>
      <c r="AE47" s="1">
        <f>[1]节奏总纲!AE47</f>
        <v>56.897751416955018</v>
      </c>
      <c r="AF47" s="1">
        <f>[1]节奏总纲!AF47</f>
        <v>59.760009178384806</v>
      </c>
      <c r="AG47" s="1">
        <f>[1]节奏总纲!AG47</f>
        <v>64.08760696397195</v>
      </c>
      <c r="AH47" s="1">
        <f>[1]节奏总纲!AH47</f>
        <v>72.705544177223089</v>
      </c>
      <c r="AL47" s="1">
        <f>[1]节奏总纲!AL47</f>
        <v>44</v>
      </c>
      <c r="AM47" s="1">
        <f>[1]节奏总纲!AM47</f>
        <v>242.37342918215046</v>
      </c>
      <c r="AN47" s="1">
        <f>[1]节奏总纲!AN47</f>
        <v>193.89874334572039</v>
      </c>
      <c r="AO47" s="1">
        <f>[1]节奏总纲!AO47</f>
        <v>145.42405750929026</v>
      </c>
      <c r="AP47" s="1">
        <f>[1]节奏总纲!AP47</f>
        <v>96.949371672860195</v>
      </c>
      <c r="AQ47" s="1">
        <f>[1]节奏总纲!AQ47</f>
        <v>48.474685836430098</v>
      </c>
      <c r="AS47" s="1">
        <f>[1]节奏总纲!AS47</f>
        <v>44</v>
      </c>
      <c r="AT47" s="1">
        <f>[1]节奏总纲!AT47</f>
        <v>33.380771027753042</v>
      </c>
      <c r="AU47" s="1">
        <f>[1]节奏总纲!AU47</f>
        <v>26.704616822202439</v>
      </c>
      <c r="AV47" s="1">
        <f>[1]节奏总纲!AV47</f>
        <v>20.028462616651822</v>
      </c>
      <c r="AW47" s="1">
        <f>[1]节奏总纲!AW47</f>
        <v>13.35230841110122</v>
      </c>
      <c r="AX47" s="1">
        <f>[1]节奏总纲!AX47</f>
        <v>6.6761542055506098</v>
      </c>
      <c r="AY47" s="1"/>
      <c r="AZ47" s="1">
        <f>[1]节奏总纲!AZ47</f>
        <v>44</v>
      </c>
      <c r="BA47" s="1">
        <f>[1]节奏总纲!BA47</f>
        <v>32.696472110135275</v>
      </c>
      <c r="BB47" s="1">
        <f>[1]节奏总纲!BB47</f>
        <v>34.09469189131628</v>
      </c>
      <c r="BC47" s="1">
        <f>[1]节奏总纲!BC47</f>
        <v>35.95964341599278</v>
      </c>
      <c r="BD47" s="1">
        <f>[1]节奏总纲!BD47</f>
        <v>38.663818688865533</v>
      </c>
      <c r="BE47" s="1">
        <f>[1]节奏总纲!BE47</f>
        <v>43.329750976586219</v>
      </c>
      <c r="BI47" s="1">
        <f>[1]节奏总纲!BI47</f>
        <v>44</v>
      </c>
      <c r="BJ47" s="1">
        <f>[1]节奏总纲!BJ47</f>
        <v>2.300000000000002</v>
      </c>
      <c r="BK47" s="1">
        <f>[1]节奏总纲!BK47</f>
        <v>2.3460000000000023</v>
      </c>
      <c r="BL47" s="1">
        <f>[1]节奏总纲!BL47</f>
        <v>2.4380000000000024</v>
      </c>
      <c r="BM47" s="1">
        <f>[1]节奏总纲!BM47</f>
        <v>2.6220000000000021</v>
      </c>
      <c r="BN47" s="1">
        <f>[1]节奏总纲!BN47</f>
        <v>3.2200000000000029</v>
      </c>
      <c r="BP47" s="1">
        <f>[1]节奏总纲!BP47</f>
        <v>44</v>
      </c>
      <c r="BQ47" s="1">
        <f>[1]节奏总纲!BQ47</f>
        <v>79.263479982320931</v>
      </c>
      <c r="BR47" s="1">
        <f>[1]节奏总纲!BR47</f>
        <v>78.132225077256265</v>
      </c>
      <c r="BS47" s="1">
        <f>[1]节奏总纲!BS47</f>
        <v>76.889385936298638</v>
      </c>
      <c r="BT47" s="1">
        <f>[1]节奏总纲!BT47</f>
        <v>75.547388626818275</v>
      </c>
      <c r="BU47" s="1">
        <f>[1]节奏总纲!BU47</f>
        <v>74.085064391446963</v>
      </c>
      <c r="BW47" s="1">
        <f>[1]节奏总纲!BW47</f>
        <v>44</v>
      </c>
      <c r="BX47" s="1">
        <f>[1]节奏总纲!BX47</f>
        <v>27.899059784657766</v>
      </c>
      <c r="BY47" s="1">
        <f>[1]节奏总纲!BY47</f>
        <v>28.42242948848067</v>
      </c>
      <c r="BZ47" s="1">
        <f>[1]节奏总纲!BZ47</f>
        <v>29.029679451959648</v>
      </c>
      <c r="CA47" s="1">
        <f>[1]节奏总纲!CA47</f>
        <v>29.665539289707144</v>
      </c>
      <c r="CB47" s="1">
        <f>[1]节奏总纲!CB47</f>
        <v>30.383161594939057</v>
      </c>
      <c r="CC47" s="1">
        <f>[1]节奏总纲!CC47</f>
        <v>30.383161594939057</v>
      </c>
    </row>
    <row r="48" spans="2:84" x14ac:dyDescent="0.15">
      <c r="F48" s="1">
        <f>[1]节奏总纲!F48</f>
        <v>46</v>
      </c>
      <c r="G48" s="1">
        <f>[1]节奏总纲!G48</f>
        <v>23.251465064166357</v>
      </c>
      <c r="I48" s="1">
        <f>[1]节奏总纲!I48</f>
        <v>46</v>
      </c>
      <c r="J48" s="1">
        <f>[1]节奏总纲!J48</f>
        <v>325.85912455595718</v>
      </c>
      <c r="K48" s="13">
        <f>[1]节奏总纲!K48</f>
        <v>1.1100000000000001</v>
      </c>
      <c r="N48" s="1">
        <f>[1]节奏总纲!N48</f>
        <v>55</v>
      </c>
      <c r="O48" s="1">
        <f>[1]节奏总纲!O48</f>
        <v>45</v>
      </c>
      <c r="P48" s="1">
        <f>[1]节奏总纲!P48</f>
        <v>21.627416997969519</v>
      </c>
      <c r="Q48" s="1">
        <f>[1]节奏总纲!Q48</f>
        <v>18.900199714525563</v>
      </c>
      <c r="R48" s="1">
        <f>[1]节奏总纲!R48</f>
        <v>15.604181364035009</v>
      </c>
      <c r="S48" s="1">
        <f>[1]节奏总纲!S48</f>
        <v>11.572830835613489</v>
      </c>
      <c r="T48" s="1">
        <f>[1]节奏总纲!T48</f>
        <v>6.49903880788984</v>
      </c>
      <c r="V48" s="1">
        <f>[1]节奏总纲!V48</f>
        <v>45</v>
      </c>
      <c r="W48" s="1">
        <f>[1]节奏总纲!W48</f>
        <v>1.5152904256032116</v>
      </c>
      <c r="X48" s="1">
        <f>[1]节奏总纲!X48</f>
        <v>1.3262235155918844</v>
      </c>
      <c r="Y48" s="1">
        <f>[1]节奏总纲!Y48</f>
        <v>1.083225978786535</v>
      </c>
      <c r="Z48" s="1">
        <f>[1]节奏总纲!Z48</f>
        <v>0.80479826876856819</v>
      </c>
      <c r="AA48" s="1">
        <f>[1]节奏总纲!AA48</f>
        <v>0.44528870960758216</v>
      </c>
      <c r="AC48" s="1">
        <f>[1]节奏总纲!AC48</f>
        <v>45</v>
      </c>
      <c r="AD48" s="1">
        <f>[1]节奏总纲!AD48</f>
        <v>55.229416240679981</v>
      </c>
      <c r="AE48" s="1">
        <f>[1]节奏总纲!AE48</f>
        <v>57.218966664386244</v>
      </c>
      <c r="AF48" s="1">
        <f>[1]节奏总纲!AF48</f>
        <v>60.086674688654931</v>
      </c>
      <c r="AG48" s="1">
        <f>[1]节奏总纲!AG48</f>
        <v>64.399012521055653</v>
      </c>
      <c r="AH48" s="1">
        <f>[1]节奏总纲!AH48</f>
        <v>73.037155126421851</v>
      </c>
      <c r="AL48" s="1">
        <f>[1]节奏总纲!AL48</f>
        <v>45</v>
      </c>
      <c r="AM48" s="1">
        <f>[1]节奏总纲!AM48</f>
        <v>281.05</v>
      </c>
      <c r="AN48" s="1">
        <f>[1]节奏总纲!AN48</f>
        <v>224.84000000000003</v>
      </c>
      <c r="AO48" s="1">
        <f>[1]节奏总纲!AO48</f>
        <v>168.63</v>
      </c>
      <c r="AP48" s="1">
        <f>[1]节奏总纲!AP48</f>
        <v>112.42000000000002</v>
      </c>
      <c r="AQ48" s="1">
        <f>[1]节奏总纲!AQ48</f>
        <v>56.210000000000008</v>
      </c>
      <c r="AS48" s="1">
        <f>[1]节奏总纲!AS48</f>
        <v>45</v>
      </c>
      <c r="AT48" s="1">
        <f>[1]节奏总纲!AT48</f>
        <v>38.676570817849552</v>
      </c>
      <c r="AU48" s="1">
        <f>[1]节奏总纲!AU48</f>
        <v>30.941256654279641</v>
      </c>
      <c r="AV48" s="1">
        <f>[1]节奏总纲!AV48</f>
        <v>23.205942490709731</v>
      </c>
      <c r="AW48" s="1">
        <f>[1]节奏总纲!AW48</f>
        <v>15.470628327139821</v>
      </c>
      <c r="AX48" s="1">
        <f>[1]节奏总纲!AX48</f>
        <v>7.7353141635699103</v>
      </c>
      <c r="AY48" s="1"/>
      <c r="AZ48" s="1">
        <f>[1]节奏总纲!AZ48</f>
        <v>45</v>
      </c>
      <c r="BA48" s="1">
        <f>[1]节奏总纲!BA48</f>
        <v>32.842201900114915</v>
      </c>
      <c r="BB48" s="1">
        <f>[1]节奏总纲!BB48</f>
        <v>34.227825436710944</v>
      </c>
      <c r="BC48" s="1">
        <f>[1]节奏总纲!BC48</f>
        <v>36.105477566569242</v>
      </c>
      <c r="BD48" s="1">
        <f>[1]节奏总纲!BD48</f>
        <v>38.82039500446033</v>
      </c>
      <c r="BE48" s="1">
        <f>[1]节奏总纲!BE48</f>
        <v>43.479537810324807</v>
      </c>
      <c r="BI48" s="1">
        <f>[1]节奏总纲!BI48</f>
        <v>45</v>
      </c>
      <c r="BJ48" s="1">
        <f>[1]节奏总纲!BJ48</f>
        <v>2.3333333333333353</v>
      </c>
      <c r="BK48" s="1">
        <f>[1]节奏总纲!BK48</f>
        <v>2.3800000000000021</v>
      </c>
      <c r="BL48" s="1">
        <f>[1]节奏总纲!BL48</f>
        <v>2.4733333333333354</v>
      </c>
      <c r="BM48" s="1">
        <f>[1]节奏总纲!BM48</f>
        <v>2.6600000000000019</v>
      </c>
      <c r="BN48" s="1">
        <f>[1]节奏总纲!BN48</f>
        <v>3.2666666666666693</v>
      </c>
      <c r="BP48" s="1">
        <f>[1]节奏总纲!BP48</f>
        <v>45</v>
      </c>
      <c r="BQ48" s="1">
        <f>[1]节奏总纲!BQ48</f>
        <v>81.389787349771211</v>
      </c>
      <c r="BR48" s="1">
        <f>[1]节奏总纲!BR48</f>
        <v>80.245839937472738</v>
      </c>
      <c r="BS48" s="1">
        <f>[1]节奏总纲!BS48</f>
        <v>78.990840028799411</v>
      </c>
      <c r="BT48" s="1">
        <f>[1]节奏总纲!BT48</f>
        <v>77.645290038760592</v>
      </c>
      <c r="BU48" s="1">
        <f>[1]节奏总纲!BU48</f>
        <v>76.140895902703022</v>
      </c>
      <c r="BW48" s="1">
        <f>[1]节奏总纲!BW48</f>
        <v>45</v>
      </c>
      <c r="BX48" s="1">
        <f>[1]节奏总纲!BX48</f>
        <v>28.329224478524736</v>
      </c>
      <c r="BY48" s="1">
        <f>[1]节奏总纲!BY48</f>
        <v>28.87680933825774</v>
      </c>
      <c r="BZ48" s="1">
        <f>[1]节奏总纲!BZ48</f>
        <v>29.451960522840583</v>
      </c>
      <c r="CA48" s="1">
        <f>[1]节奏总纲!CA48</f>
        <v>30.116236887917406</v>
      </c>
      <c r="CB48" s="1">
        <f>[1]节奏总纲!CB48</f>
        <v>30.827767428124027</v>
      </c>
      <c r="CC48" s="1">
        <f>[1]节奏总纲!CC48</f>
        <v>30.827767428124027</v>
      </c>
    </row>
    <row r="49" spans="6:81" x14ac:dyDescent="0.15">
      <c r="F49" s="1">
        <f>[1]节奏总纲!F49</f>
        <v>47</v>
      </c>
      <c r="G49" s="1">
        <f>[1]节奏总纲!G49</f>
        <v>24.992076683399535</v>
      </c>
      <c r="I49" s="1">
        <f>[1]节奏总纲!I49</f>
        <v>47</v>
      </c>
      <c r="J49" s="1">
        <f>[1]节奏总纲!J49</f>
        <v>377.76930817680426</v>
      </c>
      <c r="K49" s="13">
        <f>[1]节奏总纲!K49</f>
        <v>1.1200000000000001</v>
      </c>
      <c r="N49" s="1">
        <f>[1]节奏总纲!N49</f>
        <v>56</v>
      </c>
      <c r="O49" s="1">
        <f>[1]节奏总纲!O49</f>
        <v>46</v>
      </c>
      <c r="P49" s="1">
        <f>[1]节奏总纲!P49</f>
        <v>23.251465064166357</v>
      </c>
      <c r="Q49" s="1">
        <f>[1]节奏总纲!Q49</f>
        <v>20.310154733549314</v>
      </c>
      <c r="R49" s="1">
        <f>[1]节奏总纲!R49</f>
        <v>16.757330871744692</v>
      </c>
      <c r="S49" s="1">
        <f>[1]节奏总纲!S49</f>
        <v>12.425582930290501</v>
      </c>
      <c r="T49" s="1">
        <f>[1]节奏总纲!T49</f>
        <v>6.9545132006921566</v>
      </c>
      <c r="V49" s="1">
        <f>[1]节奏总纲!V49</f>
        <v>46</v>
      </c>
      <c r="W49" s="1">
        <f>[1]节奏总纲!W49</f>
        <v>1.6240480661968384</v>
      </c>
      <c r="X49" s="1">
        <f>[1]节奏总纲!X49</f>
        <v>1.4099550190237515</v>
      </c>
      <c r="Y49" s="1">
        <f>[1]节奏总纲!Y49</f>
        <v>1.1531495077096832</v>
      </c>
      <c r="Z49" s="1">
        <f>[1]节奏总纲!Z49</f>
        <v>0.85275209467701174</v>
      </c>
      <c r="AA49" s="1">
        <f>[1]节奏总纲!AA49</f>
        <v>0.45547439280231661</v>
      </c>
      <c r="AC49" s="1">
        <f>[1]节奏总纲!AC49</f>
        <v>46</v>
      </c>
      <c r="AD49" s="1">
        <f>[1]节奏总纲!AD49</f>
        <v>55.537288901845052</v>
      </c>
      <c r="AE49" s="1">
        <f>[1]节奏总纲!AE49</f>
        <v>57.53646043868428</v>
      </c>
      <c r="AF49" s="1">
        <f>[1]节奏总纲!AF49</f>
        <v>60.393379177879737</v>
      </c>
      <c r="AG49" s="1">
        <f>[1]节奏总纲!AG49</f>
        <v>64.710418078139355</v>
      </c>
      <c r="AH49" s="1">
        <f>[1]节奏总纲!AH49</f>
        <v>73.340924940105893</v>
      </c>
      <c r="AL49" s="1">
        <f>[1]节奏总纲!AL49</f>
        <v>46</v>
      </c>
      <c r="AM49" s="1">
        <f>[1]节奏总纲!AM49</f>
        <v>325.85912455595718</v>
      </c>
      <c r="AN49" s="1">
        <f>[1]节奏总纲!AN49</f>
        <v>260.68729964476574</v>
      </c>
      <c r="AO49" s="1">
        <f>[1]节奏总纲!AO49</f>
        <v>195.51547473357431</v>
      </c>
      <c r="AP49" s="1">
        <f>[1]节奏总纲!AP49</f>
        <v>130.34364982238287</v>
      </c>
      <c r="AQ49" s="1">
        <f>[1]节奏总纲!AQ49</f>
        <v>65.171824911191436</v>
      </c>
      <c r="AS49" s="1">
        <f>[1]节奏总纲!AS49</f>
        <v>46</v>
      </c>
      <c r="AT49" s="1">
        <f>[1]节奏总纲!AT49</f>
        <v>44.809124555957169</v>
      </c>
      <c r="AU49" s="1">
        <f>[1]节奏总纲!AU49</f>
        <v>35.847299644765712</v>
      </c>
      <c r="AV49" s="1">
        <f>[1]节奏总纲!AV49</f>
        <v>26.885474733574313</v>
      </c>
      <c r="AW49" s="1">
        <f>[1]节奏总纲!AW49</f>
        <v>17.923649822382856</v>
      </c>
      <c r="AX49" s="1">
        <f>[1]节奏总纲!AX49</f>
        <v>8.9618249111914281</v>
      </c>
      <c r="AY49" s="1"/>
      <c r="AZ49" s="1">
        <f>[1]节奏总纲!AZ49</f>
        <v>46</v>
      </c>
      <c r="BA49" s="1">
        <f>[1]节奏总纲!BA49</f>
        <v>32.987931690094548</v>
      </c>
      <c r="BB49" s="1">
        <f>[1]节奏总纲!BB49</f>
        <v>34.360958982105608</v>
      </c>
      <c r="BC49" s="1">
        <f>[1]节奏总纲!BC49</f>
        <v>36.245762114295424</v>
      </c>
      <c r="BD49" s="1">
        <f>[1]节奏总纲!BD49</f>
        <v>38.976971320055128</v>
      </c>
      <c r="BE49" s="1">
        <f>[1]节奏总纲!BE49</f>
        <v>43.629324644063402</v>
      </c>
      <c r="BI49" s="1">
        <f>[1]节奏总纲!BI49</f>
        <v>46</v>
      </c>
      <c r="BJ49" s="1">
        <f>[1]节奏总纲!BJ49</f>
        <v>2.3666666666666685</v>
      </c>
      <c r="BK49" s="1">
        <f>[1]节奏总纲!BK49</f>
        <v>2.4140000000000019</v>
      </c>
      <c r="BL49" s="1">
        <f>[1]节奏总纲!BL49</f>
        <v>2.5086666666666688</v>
      </c>
      <c r="BM49" s="1">
        <f>[1]节奏总纲!BM49</f>
        <v>2.6980000000000017</v>
      </c>
      <c r="BN49" s="1">
        <f>[1]节奏总纲!BN49</f>
        <v>3.3133333333333357</v>
      </c>
      <c r="BP49" s="1">
        <f>[1]节奏总纲!BP49</f>
        <v>46</v>
      </c>
      <c r="BQ49" s="1">
        <f>[1]节奏总纲!BQ49</f>
        <v>83.516605196495291</v>
      </c>
      <c r="BR49" s="1">
        <f>[1]节奏总纲!BR49</f>
        <v>82.409830559291493</v>
      </c>
      <c r="BS49" s="1">
        <f>[1]节奏总纲!BS49</f>
        <v>81.207352055772077</v>
      </c>
      <c r="BT49" s="1">
        <f>[1]节奏总纲!BT49</f>
        <v>79.853954326796469</v>
      </c>
      <c r="BU49" s="1">
        <f>[1]节奏总纲!BU49</f>
        <v>78.340013067243973</v>
      </c>
      <c r="BW49" s="1">
        <f>[1]节奏总纲!BW49</f>
        <v>46</v>
      </c>
      <c r="BX49" s="1">
        <f>[1]节奏总纲!BX49</f>
        <v>28.77435892693326</v>
      </c>
      <c r="BY49" s="1">
        <f>[1]节奏总纲!BY49</f>
        <v>29.307110785373723</v>
      </c>
      <c r="BZ49" s="1">
        <f>[1]节奏总纲!BZ49</f>
        <v>29.901500340512762</v>
      </c>
      <c r="CA49" s="1">
        <f>[1]节奏总纲!CA49</f>
        <v>30.541959062513101</v>
      </c>
      <c r="CB49" s="1">
        <f>[1]节奏总纲!CB49</f>
        <v>31.241319778905254</v>
      </c>
      <c r="CC49" s="1">
        <f>[1]节奏总纲!CC49</f>
        <v>31.241319778905254</v>
      </c>
    </row>
    <row r="50" spans="6:81" x14ac:dyDescent="0.15">
      <c r="F50" s="1">
        <f>[1]节奏总纲!F50</f>
        <v>48</v>
      </c>
      <c r="G50" s="1">
        <f>[1]节奏总纲!G50</f>
        <v>26.857618025475972</v>
      </c>
      <c r="I50" s="1">
        <f>[1]节奏总纲!I50</f>
        <v>48</v>
      </c>
      <c r="J50" s="1">
        <f>[1]节奏总纲!J50</f>
        <v>437.90148836012787</v>
      </c>
      <c r="K50" s="13">
        <f>[1]节奏总纲!K50</f>
        <v>1.1299999999999999</v>
      </c>
      <c r="N50" s="1">
        <f>[1]节奏总纲!N50</f>
        <v>57</v>
      </c>
      <c r="O50" s="1">
        <f>[1]节奏总纲!O50</f>
        <v>47</v>
      </c>
      <c r="P50" s="1">
        <f>[1]节奏总纲!P50</f>
        <v>24.992076683399535</v>
      </c>
      <c r="Q50" s="1">
        <f>[1]节奏总纲!Q50</f>
        <v>21.823081359944474</v>
      </c>
      <c r="R50" s="1">
        <f>[1]节奏总纲!R50</f>
        <v>17.996794419716004</v>
      </c>
      <c r="S50" s="1">
        <f>[1]节奏总纲!S50</f>
        <v>13.335772118261991</v>
      </c>
      <c r="T50" s="1">
        <f>[1]节奏总纲!T50</f>
        <v>7.4426404363163821</v>
      </c>
      <c r="V50" s="1">
        <f>[1]节奏总纲!V50</f>
        <v>47</v>
      </c>
      <c r="W50" s="1">
        <f>[1]节奏总纲!W50</f>
        <v>1.740611619233178</v>
      </c>
      <c r="X50" s="1">
        <f>[1]节奏总纲!X50</f>
        <v>1.51292662639516</v>
      </c>
      <c r="Y50" s="1">
        <f>[1]节奏总纲!Y50</f>
        <v>1.2394635479713116</v>
      </c>
      <c r="Z50" s="1">
        <f>[1]节奏总纲!Z50</f>
        <v>0.91018918797148984</v>
      </c>
      <c r="AA50" s="1">
        <f>[1]节奏总纲!AA50</f>
        <v>0.48812723562422544</v>
      </c>
      <c r="AC50" s="1">
        <f>[1]节奏总纲!AC50</f>
        <v>47</v>
      </c>
      <c r="AD50" s="1">
        <f>[1]节奏总纲!AD50</f>
        <v>55.845161563010116</v>
      </c>
      <c r="AE50" s="1">
        <f>[1]节奏总纲!AE50</f>
        <v>57.853954212982316</v>
      </c>
      <c r="AF50" s="1">
        <f>[1]节奏总纲!AF50</f>
        <v>60.700083667104536</v>
      </c>
      <c r="AG50" s="1">
        <f>[1]节奏总纲!AG50</f>
        <v>65.021675833900701</v>
      </c>
      <c r="AH50" s="1">
        <f>[1]节奏总纲!AH50</f>
        <v>73.644694753789935</v>
      </c>
      <c r="AL50" s="1">
        <f>[1]节奏总纲!AL50</f>
        <v>47</v>
      </c>
      <c r="AM50" s="1">
        <f>[1]节奏总纲!AM50</f>
        <v>377.76930817680426</v>
      </c>
      <c r="AN50" s="1">
        <f>[1]节奏总纲!AN50</f>
        <v>302.21544654144344</v>
      </c>
      <c r="AO50" s="1">
        <f>[1]节奏总纲!AO50</f>
        <v>226.66158490608254</v>
      </c>
      <c r="AP50" s="1">
        <f>[1]节奏总纲!AP50</f>
        <v>151.10772327072172</v>
      </c>
      <c r="AQ50" s="1">
        <f>[1]节奏总纲!AQ50</f>
        <v>75.55386163536086</v>
      </c>
      <c r="AS50" s="1">
        <f>[1]节奏总纲!AS50</f>
        <v>47</v>
      </c>
      <c r="AT50" s="1">
        <f>[1]节奏总纲!AT50</f>
        <v>51.910183620847079</v>
      </c>
      <c r="AU50" s="1">
        <f>[1]节奏总纲!AU50</f>
        <v>41.528146896677697</v>
      </c>
      <c r="AV50" s="1">
        <f>[1]节奏总纲!AV50</f>
        <v>31.14611017250823</v>
      </c>
      <c r="AW50" s="1">
        <f>[1]节奏总纲!AW50</f>
        <v>20.764073448338848</v>
      </c>
      <c r="AX50" s="1">
        <f>[1]节奏总纲!AX50</f>
        <v>10.382036724169424</v>
      </c>
      <c r="AY50" s="1"/>
      <c r="AZ50" s="1">
        <f>[1]节奏总纲!AZ50</f>
        <v>47</v>
      </c>
      <c r="BA50" s="1">
        <f>[1]节奏总纲!BA50</f>
        <v>33.114246829746719</v>
      </c>
      <c r="BB50" s="1">
        <f>[1]节奏总纲!BB50</f>
        <v>34.494092527500278</v>
      </c>
      <c r="BC50" s="1">
        <f>[1]节奏总纲!BC50</f>
        <v>36.386046662021599</v>
      </c>
      <c r="BD50" s="1">
        <f>[1]节奏总纲!BD50</f>
        <v>39.115214427575864</v>
      </c>
      <c r="BE50" s="1">
        <f>[1]节奏总纲!BE50</f>
        <v>43.77911147780199</v>
      </c>
      <c r="BI50" s="1">
        <f>[1]节奏总纲!BI50</f>
        <v>47</v>
      </c>
      <c r="BJ50" s="1">
        <f>[1]节奏总纲!BJ50</f>
        <v>2.4000000000000017</v>
      </c>
      <c r="BK50" s="1">
        <f>[1]节奏总纲!BK50</f>
        <v>2.4480000000000017</v>
      </c>
      <c r="BL50" s="1">
        <f>[1]节奏总纲!BL50</f>
        <v>2.5440000000000018</v>
      </c>
      <c r="BM50" s="1">
        <f>[1]节奏总纲!BM50</f>
        <v>2.7360000000000015</v>
      </c>
      <c r="BN50" s="1">
        <f>[1]节奏总纲!BN50</f>
        <v>3.3600000000000021</v>
      </c>
      <c r="BP50" s="1">
        <f>[1]节奏总纲!BP50</f>
        <v>47</v>
      </c>
      <c r="BQ50" s="1">
        <f>[1]节奏总纲!BQ50</f>
        <v>85.643863186592412</v>
      </c>
      <c r="BR50" s="1">
        <f>[1]节奏总纲!BR50</f>
        <v>84.53544812855209</v>
      </c>
      <c r="BS50" s="1">
        <f>[1]节奏总纲!BS50</f>
        <v>83.32493049129468</v>
      </c>
      <c r="BT50" s="1">
        <f>[1]节奏总纲!BT50</f>
        <v>82.027450452783569</v>
      </c>
      <c r="BU50" s="1">
        <f>[1]节奏总纲!BU50</f>
        <v>80.54663523468885</v>
      </c>
      <c r="BW50" s="1">
        <f>[1]节奏总纲!BW50</f>
        <v>47</v>
      </c>
      <c r="BX50" s="1">
        <f>[1]节奏总纲!BX50</f>
        <v>29.214575269515649</v>
      </c>
      <c r="BY50" s="1">
        <f>[1]节奏总纲!BY50</f>
        <v>29.749456349782722</v>
      </c>
      <c r="BZ50" s="1">
        <f>[1]节奏总纲!BZ50</f>
        <v>30.328427037480733</v>
      </c>
      <c r="CA50" s="1">
        <f>[1]节奏总纲!CA50</f>
        <v>30.996355742175876</v>
      </c>
      <c r="CB50" s="1">
        <f>[1]节奏总纲!CB50</f>
        <v>31.657589077576048</v>
      </c>
      <c r="CC50" s="1">
        <f>[1]节奏总纲!CC50</f>
        <v>31.657589077576048</v>
      </c>
    </row>
    <row r="51" spans="6:81" x14ac:dyDescent="0.15">
      <c r="F51" s="1">
        <f>[1]节奏总纲!F51</f>
        <v>49</v>
      </c>
      <c r="G51" s="1">
        <f>[1]节奏总纲!G51</f>
        <v>28.857055729177837</v>
      </c>
      <c r="I51" s="1">
        <f>[1]节奏总纲!I51</f>
        <v>49</v>
      </c>
      <c r="J51" s="1">
        <f>[1]节奏总纲!J51</f>
        <v>507.55295278468168</v>
      </c>
      <c r="K51" s="13">
        <f>[1]节奏总纲!K51</f>
        <v>1.1399999999999999</v>
      </c>
      <c r="N51" s="1">
        <f>[1]节奏总纲!N51</f>
        <v>58</v>
      </c>
      <c r="O51" s="1">
        <f>[1]节奏总纲!O51</f>
        <v>48</v>
      </c>
      <c r="P51" s="1">
        <f>[1]节奏总纲!P51</f>
        <v>26.857618025475972</v>
      </c>
      <c r="Q51" s="1">
        <f>[1]节奏总纲!Q51</f>
        <v>23.425214441820142</v>
      </c>
      <c r="R51" s="1">
        <f>[1]节奏总纲!R51</f>
        <v>19.329427692935056</v>
      </c>
      <c r="S51" s="1">
        <f>[1]节奏总纲!S51</f>
        <v>14.269452456935383</v>
      </c>
      <c r="T51" s="1">
        <f>[1]节奏总纲!T51</f>
        <v>7.9605979827510778</v>
      </c>
      <c r="V51" s="1">
        <f>[1]节奏总纲!V51</f>
        <v>48</v>
      </c>
      <c r="W51" s="1">
        <f>[1]节奏总纲!W51</f>
        <v>1.8655413420764368</v>
      </c>
      <c r="X51" s="1">
        <f>[1]节奏总纲!X51</f>
        <v>1.6021330818756674</v>
      </c>
      <c r="Y51" s="1">
        <f>[1]节奏总纲!Y51</f>
        <v>1.3326332732190522</v>
      </c>
      <c r="Z51" s="1">
        <f>[1]节奏总纲!Z51</f>
        <v>0.93368033867339228</v>
      </c>
      <c r="AA51" s="1">
        <f>[1]节奏总纲!AA51</f>
        <v>0.51795754643469571</v>
      </c>
      <c r="AC51" s="1">
        <f>[1]节奏总纲!AC51</f>
        <v>48</v>
      </c>
      <c r="AD51" s="1">
        <f>[1]节奏总纲!AD51</f>
        <v>56.142785979989682</v>
      </c>
      <c r="AE51" s="1">
        <f>[1]节奏总纲!AE51</f>
        <v>58.155157256402767</v>
      </c>
      <c r="AF51" s="1">
        <f>[1]节奏总纲!AF51</f>
        <v>61.006268532239034</v>
      </c>
      <c r="AG51" s="1">
        <f>[1]节奏总纲!AG51</f>
        <v>65.330972386106993</v>
      </c>
      <c r="AH51" s="1">
        <f>[1]节奏总纲!AH51</f>
        <v>73.948464567473962</v>
      </c>
      <c r="AL51" s="1">
        <f>[1]节奏总纲!AL51</f>
        <v>48</v>
      </c>
      <c r="AM51" s="1">
        <f>[1]节奏总纲!AM51</f>
        <v>437.90148836012787</v>
      </c>
      <c r="AN51" s="1">
        <f>[1]节奏总纲!AN51</f>
        <v>350.32119068810232</v>
      </c>
      <c r="AO51" s="1">
        <f>[1]节奏总纲!AO51</f>
        <v>262.74089301607671</v>
      </c>
      <c r="AP51" s="1">
        <f>[1]节奏总纲!AP51</f>
        <v>175.16059534405116</v>
      </c>
      <c r="AQ51" s="1">
        <f>[1]节奏总纲!AQ51</f>
        <v>87.58029767202558</v>
      </c>
      <c r="AS51" s="1">
        <f>[1]节奏总纲!AS51</f>
        <v>48</v>
      </c>
      <c r="AT51" s="1">
        <f>[1]节奏总纲!AT51</f>
        <v>60.132180183323612</v>
      </c>
      <c r="AU51" s="1">
        <f>[1]节奏总纲!AU51</f>
        <v>48.105744146658878</v>
      </c>
      <c r="AV51" s="1">
        <f>[1]节奏总纲!AV51</f>
        <v>36.079308109994173</v>
      </c>
      <c r="AW51" s="1">
        <f>[1]节奏总纲!AW51</f>
        <v>24.052872073329439</v>
      </c>
      <c r="AX51" s="1">
        <f>[1]节奏总纲!AX51</f>
        <v>12.02643603666472</v>
      </c>
      <c r="AY51" s="1"/>
      <c r="AZ51" s="1">
        <f>[1]节奏总纲!AZ51</f>
        <v>48</v>
      </c>
      <c r="BA51" s="1">
        <f>[1]节奏总纲!BA51</f>
        <v>33.238809018460984</v>
      </c>
      <c r="BB51" s="1">
        <f>[1]节奏总纲!BB51</f>
        <v>34.627226072894942</v>
      </c>
      <c r="BC51" s="1">
        <f>[1]节奏总纲!BC51</f>
        <v>36.526331209747774</v>
      </c>
      <c r="BD51" s="1">
        <f>[1]节奏总纲!BD51</f>
        <v>39.250296194358178</v>
      </c>
      <c r="BE51" s="1">
        <f>[1]节奏总纲!BE51</f>
        <v>43.928898311540578</v>
      </c>
      <c r="BI51" s="1">
        <f>[1]节奏总纲!BI51</f>
        <v>48</v>
      </c>
      <c r="BJ51" s="1">
        <f>[1]节奏总纲!BJ51</f>
        <v>2.4333333333333349</v>
      </c>
      <c r="BK51" s="1">
        <f>[1]节奏总纲!BK51</f>
        <v>2.4820000000000015</v>
      </c>
      <c r="BL51" s="1">
        <f>[1]节奏总纲!BL51</f>
        <v>2.5793333333333353</v>
      </c>
      <c r="BM51" s="1">
        <f>[1]节奏总纲!BM51</f>
        <v>2.7740000000000014</v>
      </c>
      <c r="BN51" s="1">
        <f>[1]节奏总纲!BN51</f>
        <v>3.4066666666666685</v>
      </c>
      <c r="BP51" s="1">
        <f>[1]节奏总纲!BP51</f>
        <v>48</v>
      </c>
      <c r="BQ51" s="1">
        <f>[1]节奏总纲!BQ51</f>
        <v>87.771500639866005</v>
      </c>
      <c r="BR51" s="1">
        <f>[1]节奏总纲!BR51</f>
        <v>86.672065508292405</v>
      </c>
      <c r="BS51" s="1">
        <f>[1]节奏总纲!BS51</f>
        <v>85.481735065071589</v>
      </c>
      <c r="BT51" s="1">
        <f>[1]节奏总纲!BT51</f>
        <v>84.173317183629351</v>
      </c>
      <c r="BU51" s="1">
        <f>[1]节奏总纲!BU51</f>
        <v>82.729418319864251</v>
      </c>
      <c r="BW51" s="1">
        <f>[1]节奏总纲!BW51</f>
        <v>48</v>
      </c>
      <c r="BX51" s="1">
        <f>[1]节奏总纲!BX51</f>
        <v>29.65092898211061</v>
      </c>
      <c r="BY51" s="1">
        <f>[1]节奏总纲!BY51</f>
        <v>30.186017902912305</v>
      </c>
      <c r="BZ51" s="1">
        <f>[1]节奏总纲!BZ51</f>
        <v>30.771956904722533</v>
      </c>
      <c r="CA51" s="1">
        <f>[1]节奏总纲!CA51</f>
        <v>31.395003378607552</v>
      </c>
      <c r="CB51" s="1">
        <f>[1]节奏总纲!CB51</f>
        <v>32.084842711724434</v>
      </c>
      <c r="CC51" s="1">
        <f>[1]节奏总纲!CC51</f>
        <v>32.084842711724434</v>
      </c>
    </row>
    <row r="52" spans="6:81" x14ac:dyDescent="0.15">
      <c r="F52" s="1">
        <f>[1]节奏总纲!F52</f>
        <v>50</v>
      </c>
      <c r="G52" s="1">
        <f>[1]节奏总纲!G52</f>
        <v>31</v>
      </c>
      <c r="I52" s="1">
        <f>[1]节奏总纲!I52</f>
        <v>50</v>
      </c>
      <c r="J52" s="1">
        <f>[1]节奏总纲!J52</f>
        <v>588.22499999999991</v>
      </c>
      <c r="K52" s="13">
        <f>[1]节奏总纲!K52</f>
        <v>1.1499999999999999</v>
      </c>
      <c r="N52" s="1">
        <f>[1]节奏总纲!N52</f>
        <v>59</v>
      </c>
      <c r="O52" s="1">
        <f>[1]节奏总纲!O52</f>
        <v>49</v>
      </c>
      <c r="P52" s="1">
        <f>[1]节奏总纲!P52</f>
        <v>28.857055729177837</v>
      </c>
      <c r="Q52" s="1">
        <f>[1]节奏总纲!Q52</f>
        <v>25.166238301415991</v>
      </c>
      <c r="R52" s="1">
        <f>[1]节奏总纲!R52</f>
        <v>20.719366013549685</v>
      </c>
      <c r="S52" s="1">
        <f>[1]节奏总纲!S52</f>
        <v>15.268268186307994</v>
      </c>
      <c r="T52" s="1">
        <f>[1]节奏总纲!T52</f>
        <v>8.5474599069824766</v>
      </c>
      <c r="V52" s="1">
        <f>[1]节奏总纲!V52</f>
        <v>49</v>
      </c>
      <c r="W52" s="1">
        <f>[1]节奏总纲!W52</f>
        <v>1.9994377037018651</v>
      </c>
      <c r="X52" s="1">
        <f>[1]节奏总纲!X52</f>
        <v>1.7410238595958489</v>
      </c>
      <c r="Y52" s="1">
        <f>[1]节奏总纲!Y52</f>
        <v>1.389938320614629</v>
      </c>
      <c r="Z52" s="1">
        <f>[1]节奏总纲!Z52</f>
        <v>0.99881572937261076</v>
      </c>
      <c r="AA52" s="1">
        <f>[1]节奏总纲!AA52</f>
        <v>0.58686192423139882</v>
      </c>
      <c r="AC52" s="1">
        <f>[1]节奏总纲!AC52</f>
        <v>49</v>
      </c>
      <c r="AD52" s="1">
        <f>[1]节奏总纲!AD52</f>
        <v>56.430041330048923</v>
      </c>
      <c r="AE52" s="1">
        <f>[1]节奏总纲!AE52</f>
        <v>58.442483247955479</v>
      </c>
      <c r="AF52" s="1">
        <f>[1]节奏总纲!AF52</f>
        <v>61.289495211956165</v>
      </c>
      <c r="AG52" s="1">
        <f>[1]节奏总纲!AG52</f>
        <v>65.640268938313284</v>
      </c>
      <c r="AH52" s="1">
        <f>[1]节奏总纲!AH52</f>
        <v>74.231558509323534</v>
      </c>
      <c r="AL52" s="1">
        <f>[1]节奏总纲!AL52</f>
        <v>49</v>
      </c>
      <c r="AM52" s="1">
        <f>[1]节奏总纲!AM52</f>
        <v>507.55295278468168</v>
      </c>
      <c r="AN52" s="1">
        <f>[1]节奏总纲!AN52</f>
        <v>406.04236222774534</v>
      </c>
      <c r="AO52" s="1">
        <f>[1]节奏总纲!AO52</f>
        <v>304.53177167080901</v>
      </c>
      <c r="AP52" s="1">
        <f>[1]节奏总纲!AP52</f>
        <v>203.02118111387267</v>
      </c>
      <c r="AQ52" s="1">
        <f>[1]节奏总纲!AQ52</f>
        <v>101.51059055693634</v>
      </c>
      <c r="AS52" s="1">
        <f>[1]节奏总纲!AS52</f>
        <v>49</v>
      </c>
      <c r="AT52" s="1">
        <f>[1]节奏总纲!AT52</f>
        <v>69.651464424553808</v>
      </c>
      <c r="AU52" s="1">
        <f>[1]节奏总纲!AU52</f>
        <v>55.721171539643024</v>
      </c>
      <c r="AV52" s="1">
        <f>[1]节奏总纲!AV52</f>
        <v>41.790878654732296</v>
      </c>
      <c r="AW52" s="1">
        <f>[1]节奏总纲!AW52</f>
        <v>27.860585769821512</v>
      </c>
      <c r="AX52" s="1">
        <f>[1]节奏总纲!AX52</f>
        <v>13.930292884910756</v>
      </c>
      <c r="AY52" s="1"/>
      <c r="AZ52" s="1">
        <f>[1]节奏总纲!AZ52</f>
        <v>49</v>
      </c>
      <c r="BA52" s="1">
        <f>[1]节奏总纲!BA52</f>
        <v>33.363371207175248</v>
      </c>
      <c r="BB52" s="1">
        <f>[1]节奏总纲!BB52</f>
        <v>34.760359618289606</v>
      </c>
      <c r="BC52" s="1">
        <f>[1]节奏总纲!BC52</f>
        <v>36.666615757473956</v>
      </c>
      <c r="BD52" s="1">
        <f>[1]节奏总纲!BD52</f>
        <v>39.385377961140485</v>
      </c>
      <c r="BE52" s="1">
        <f>[1]节奏总纲!BE52</f>
        <v>44.067911160744309</v>
      </c>
      <c r="BI52" s="1">
        <f>[1]节奏总纲!BI52</f>
        <v>49</v>
      </c>
      <c r="BJ52" s="1">
        <f>[1]节奏总纲!BJ52</f>
        <v>2.4666666666666681</v>
      </c>
      <c r="BK52" s="1">
        <f>[1]节奏总纲!BK52</f>
        <v>2.5160000000000013</v>
      </c>
      <c r="BL52" s="1">
        <f>[1]节奏总纲!BL52</f>
        <v>2.6146666666666682</v>
      </c>
      <c r="BM52" s="1">
        <f>[1]节奏总纲!BM52</f>
        <v>2.8120000000000016</v>
      </c>
      <c r="BN52" s="1">
        <f>[1]节奏总纲!BN52</f>
        <v>3.4533333333333354</v>
      </c>
      <c r="BP52" s="1">
        <f>[1]节奏总纲!BP52</f>
        <v>49</v>
      </c>
      <c r="BQ52" s="1">
        <f>[1]节奏总纲!BQ52</f>
        <v>89.899465210602642</v>
      </c>
      <c r="BR52" s="1">
        <f>[1]节奏总纲!BR52</f>
        <v>88.787413007435532</v>
      </c>
      <c r="BS52" s="1">
        <f>[1]节奏总纲!BS52</f>
        <v>87.591558541772201</v>
      </c>
      <c r="BT52" s="1">
        <f>[1]节奏总纲!BT52</f>
        <v>86.275030259152317</v>
      </c>
      <c r="BU52" s="1">
        <f>[1]节奏总纲!BU52</f>
        <v>84.851224267970963</v>
      </c>
      <c r="BW52" s="1">
        <f>[1]节奏总纲!BW52</f>
        <v>49</v>
      </c>
      <c r="BX52" s="1">
        <f>[1]节奏总纲!BX52</f>
        <v>30.101255625879666</v>
      </c>
      <c r="BY52" s="1">
        <f>[1]节奏总纲!BY52</f>
        <v>30.620606377192669</v>
      </c>
      <c r="BZ52" s="1">
        <f>[1]节奏总纲!BZ52</f>
        <v>31.200336585588083</v>
      </c>
      <c r="CA52" s="1">
        <f>[1]节奏总纲!CA52</f>
        <v>31.820892668144523</v>
      </c>
      <c r="CB52" s="1">
        <f>[1]节奏总纲!CB52</f>
        <v>32.512459036550872</v>
      </c>
      <c r="CC52" s="1">
        <f>[1]节奏总纲!CC52</f>
        <v>32.512459036550872</v>
      </c>
    </row>
    <row r="53" spans="6:81" x14ac:dyDescent="0.15">
      <c r="F53" s="1">
        <f>[1]节奏总纲!F53</f>
        <v>51</v>
      </c>
      <c r="G53" s="1">
        <f>[1]节奏总纲!G53</f>
        <v>33.296750801161366</v>
      </c>
      <c r="I53" s="1">
        <f>[1]节奏总纲!I53</f>
        <v>51</v>
      </c>
      <c r="J53" s="1">
        <f>[1]节奏总纲!J53</f>
        <v>681.65492699983838</v>
      </c>
      <c r="K53" s="13">
        <f>[1]节奏总纲!K53</f>
        <v>1.1599999999999999</v>
      </c>
      <c r="N53" s="1">
        <f>[1]节奏总纲!N53</f>
        <v>60</v>
      </c>
      <c r="O53" s="1">
        <f>[1]节奏总纲!O53</f>
        <v>50</v>
      </c>
      <c r="P53" s="1">
        <f>[1]节奏总纲!P53</f>
        <v>31</v>
      </c>
      <c r="Q53" s="1">
        <f>[1]节奏总纲!Q53</f>
        <v>27.0351</v>
      </c>
      <c r="R53" s="1">
        <f>[1]节奏总纲!R53</f>
        <v>22.205300000000001</v>
      </c>
      <c r="S53" s="1">
        <f>[1]节奏总纲!S53</f>
        <v>16.386599999999998</v>
      </c>
      <c r="T53" s="1">
        <f>[1]节奏总纲!T53</f>
        <v>9.1883999999999997</v>
      </c>
      <c r="V53" s="1">
        <f>[1]节奏总纲!V53</f>
        <v>50</v>
      </c>
      <c r="W53" s="1">
        <f>[1]节奏总纲!W53</f>
        <v>2.1429442708221629</v>
      </c>
      <c r="X53" s="1">
        <f>[1]节奏总纲!X53</f>
        <v>1.8688616985840092</v>
      </c>
      <c r="Y53" s="1">
        <f>[1]节奏总纲!Y53</f>
        <v>1.4859339864503163</v>
      </c>
      <c r="Z53" s="1">
        <f>[1]节奏总纲!Z53</f>
        <v>1.118331813692004</v>
      </c>
      <c r="AA53" s="1">
        <f>[1]节奏总纲!AA53</f>
        <v>0.64094009301752308</v>
      </c>
      <c r="AC53" s="1">
        <f>[1]节奏总纲!AC53</f>
        <v>50</v>
      </c>
      <c r="AD53" s="1">
        <f>[1]节奏总纲!AD53</f>
        <v>56.717296680108156</v>
      </c>
      <c r="AE53" s="1">
        <f>[1]节奏总纲!AE53</f>
        <v>58.729809239508185</v>
      </c>
      <c r="AF53" s="1">
        <f>[1]节奏总纲!AF53</f>
        <v>61.572721891673297</v>
      </c>
      <c r="AG53" s="1">
        <f>[1]节奏总纲!AG53</f>
        <v>65.949565490519575</v>
      </c>
      <c r="AH53" s="1">
        <f>[1]节奏总纲!AH53</f>
        <v>74.51042804689898</v>
      </c>
      <c r="AL53" s="1">
        <f>[1]节奏总纲!AL53</f>
        <v>50</v>
      </c>
      <c r="AM53" s="1">
        <f>[1]节奏总纲!AM53</f>
        <v>588.22499999999991</v>
      </c>
      <c r="AN53" s="1">
        <f>[1]节奏总纲!AN53</f>
        <v>470.57999999999993</v>
      </c>
      <c r="AO53" s="1">
        <f>[1]节奏总纲!AO53</f>
        <v>352.93499999999995</v>
      </c>
      <c r="AP53" s="1">
        <f>[1]节奏总纲!AP53</f>
        <v>235.28999999999996</v>
      </c>
      <c r="AQ53" s="1">
        <f>[1]节奏总纲!AQ53</f>
        <v>117.64499999999998</v>
      </c>
      <c r="AS53" s="1">
        <f>[1]节奏总纲!AS53</f>
        <v>50</v>
      </c>
      <c r="AT53" s="1">
        <f>[1]节奏总纲!AT53</f>
        <v>80.67204721531823</v>
      </c>
      <c r="AU53" s="1">
        <f>[1]节奏总纲!AU53</f>
        <v>64.537637772254584</v>
      </c>
      <c r="AV53" s="1">
        <f>[1]节奏总纲!AV53</f>
        <v>48.403228329190938</v>
      </c>
      <c r="AW53" s="1">
        <f>[1]节奏总纲!AW53</f>
        <v>32.268818886127292</v>
      </c>
      <c r="AX53" s="1">
        <f>[1]节奏总纲!AX53</f>
        <v>16.134409443063646</v>
      </c>
      <c r="AY53" s="1"/>
      <c r="AZ53" s="1">
        <f>[1]节奏总纲!AZ53</f>
        <v>50</v>
      </c>
      <c r="BA53" s="1">
        <f>[1]节奏总纲!BA53</f>
        <v>33.487933395889513</v>
      </c>
      <c r="BB53" s="1">
        <f>[1]节奏总纲!BB53</f>
        <v>34.893493163684269</v>
      </c>
      <c r="BC53" s="1">
        <f>[1]节奏总纲!BC53</f>
        <v>36.806900305200131</v>
      </c>
      <c r="BD53" s="1">
        <f>[1]节奏总纲!BD53</f>
        <v>39.520459727922798</v>
      </c>
      <c r="BE53" s="1">
        <f>[1]节奏总纲!BE53</f>
        <v>44.197188392263818</v>
      </c>
      <c r="BI53" s="1">
        <f>[1]节奏总纲!BI53</f>
        <v>50</v>
      </c>
      <c r="BJ53" s="1">
        <f>[1]节奏总纲!BJ53</f>
        <v>2.5000000000000013</v>
      </c>
      <c r="BK53" s="1">
        <f>[1]节奏总纲!BK53</f>
        <v>2.5500000000000016</v>
      </c>
      <c r="BL53" s="1">
        <f>[1]节奏总纲!BL53</f>
        <v>2.6500000000000017</v>
      </c>
      <c r="BM53" s="1">
        <f>[1]节奏总纲!BM53</f>
        <v>2.8500000000000014</v>
      </c>
      <c r="BN53" s="1">
        <f>[1]节奏总纲!BN53</f>
        <v>3.5000000000000018</v>
      </c>
      <c r="BP53" s="1">
        <f>[1]节奏总纲!BP53</f>
        <v>50</v>
      </c>
      <c r="BQ53" s="1">
        <f>[1]节奏总纲!BQ53</f>
        <v>92.02585597384136</v>
      </c>
      <c r="BR53" s="1">
        <f>[1]节奏总纲!BR53</f>
        <v>91.028813161489012</v>
      </c>
      <c r="BS53" s="1">
        <f>[1]节奏总纲!BS53</f>
        <v>89.944796604838743</v>
      </c>
      <c r="BT53" s="1">
        <f>[1]节奏总纲!BT53</f>
        <v>88.648964439402022</v>
      </c>
      <c r="BU53" s="1">
        <f>[1]节奏总纲!BU53</f>
        <v>87.254811090446921</v>
      </c>
      <c r="BW53" s="1">
        <f>[1]节奏总纲!BW53</f>
        <v>50</v>
      </c>
      <c r="BX53" s="1">
        <f>[1]节奏总纲!BX53</f>
        <v>30.529187213831889</v>
      </c>
      <c r="BY53" s="1">
        <f>[1]节奏总纲!BY53</f>
        <v>31.07439649010124</v>
      </c>
      <c r="BZ53" s="1">
        <f>[1]节奏总纲!BZ53</f>
        <v>31.622732396398735</v>
      </c>
      <c r="CA53" s="1">
        <f>[1]节奏总纲!CA53</f>
        <v>32.254400792232055</v>
      </c>
      <c r="CB53" s="1">
        <f>[1]节奏总纲!CB53</f>
        <v>32.979479362275733</v>
      </c>
      <c r="CC53" s="1">
        <f>[1]节奏总纲!CC53</f>
        <v>32.979479362275733</v>
      </c>
    </row>
    <row r="54" spans="6:81" x14ac:dyDescent="0.15">
      <c r="F54" s="1">
        <f>[1]节奏总纲!F54</f>
        <v>52</v>
      </c>
      <c r="G54" s="1">
        <f>[1]节奏总纲!G54</f>
        <v>35.758347359905123</v>
      </c>
      <c r="I54" s="1">
        <f>[1]节奏总纲!I54</f>
        <v>52</v>
      </c>
      <c r="J54" s="1">
        <f>[1]节奏总纲!J54</f>
        <v>789.85301886939453</v>
      </c>
      <c r="K54" s="13">
        <f>[1]节奏总纲!K54</f>
        <v>1.17</v>
      </c>
      <c r="N54" s="1">
        <f>[1]节奏总纲!N54</f>
        <v>61</v>
      </c>
      <c r="O54" s="1">
        <f>[1]节奏总纲!O54</f>
        <v>51</v>
      </c>
      <c r="P54" s="1">
        <f>[1]节奏总纲!P54</f>
        <v>33.296750801161366</v>
      </c>
      <c r="Q54" s="1">
        <f>[1]节奏总纲!Q54</f>
        <v>28.928217096048996</v>
      </c>
      <c r="R54" s="1">
        <f>[1]节奏总纲!R54</f>
        <v>23.783869097269566</v>
      </c>
      <c r="S54" s="1">
        <f>[1]节奏总纲!S54</f>
        <v>17.587343773173433</v>
      </c>
      <c r="T54" s="1">
        <f>[1]节奏总纲!T54</f>
        <v>9.8458492119034169</v>
      </c>
      <c r="V54" s="1">
        <f>[1]节奏总纲!V54</f>
        <v>51</v>
      </c>
      <c r="W54" s="1">
        <f>[1]节奏总纲!W54</f>
        <v>2.296750801161366</v>
      </c>
      <c r="X54" s="1">
        <f>[1]节奏总纲!X54</f>
        <v>1.8931170960489965</v>
      </c>
      <c r="Y54" s="1">
        <f>[1]节奏总纲!Y54</f>
        <v>1.5785690972695647</v>
      </c>
      <c r="Z54" s="1">
        <f>[1]节奏总纲!Z54</f>
        <v>1.2007437731734356</v>
      </c>
      <c r="AA54" s="1">
        <f>[1]节奏总纲!AA54</f>
        <v>0.65744921190341721</v>
      </c>
      <c r="AC54" s="1">
        <f>[1]节奏总纲!AC54</f>
        <v>51</v>
      </c>
      <c r="AD54" s="1">
        <f>[1]节奏总纲!AD54</f>
        <v>57.004247194324648</v>
      </c>
      <c r="AE54" s="1">
        <f>[1]节奏总纲!AE54</f>
        <v>59.016342740868758</v>
      </c>
      <c r="AF54" s="1">
        <f>[1]节奏总纲!AF54</f>
        <v>61.855948571390428</v>
      </c>
      <c r="AG54" s="1">
        <f>[1]节奏总纲!AG54</f>
        <v>66.241691764589476</v>
      </c>
      <c r="AH54" s="1">
        <f>[1]节奏总纲!AH54</f>
        <v>74.789297584474426</v>
      </c>
      <c r="AL54" s="1">
        <f>[1]节奏总纲!AL54</f>
        <v>51</v>
      </c>
      <c r="AM54" s="1">
        <f>[1]节奏总纲!AM54</f>
        <v>681.65492699983838</v>
      </c>
      <c r="AN54" s="1">
        <f>[1]节奏总纲!AN54</f>
        <v>545.32394159987075</v>
      </c>
      <c r="AO54" s="1">
        <f>[1]节奏总纲!AO54</f>
        <v>408.99295619990301</v>
      </c>
      <c r="AP54" s="1">
        <f>[1]节奏总纲!AP54</f>
        <v>272.66197079993537</v>
      </c>
      <c r="AQ54" s="1">
        <f>[1]节奏总纲!AQ54</f>
        <v>136.33098539996769</v>
      </c>
      <c r="AS54" s="1">
        <f>[1]节奏总纲!AS54</f>
        <v>51</v>
      </c>
      <c r="AT54" s="1">
        <f>[1]节奏总纲!AT54</f>
        <v>93.429926999838472</v>
      </c>
      <c r="AU54" s="1">
        <f>[1]节奏总纲!AU54</f>
        <v>74.743941599870823</v>
      </c>
      <c r="AV54" s="1">
        <f>[1]节奏总纲!AV54</f>
        <v>56.05795619990306</v>
      </c>
      <c r="AW54" s="1">
        <f>[1]节奏总纲!AW54</f>
        <v>37.371970799935411</v>
      </c>
      <c r="AX54" s="1">
        <f>[1]节奏总纲!AX54</f>
        <v>18.685985399967706</v>
      </c>
      <c r="AZ54" s="1">
        <f>[1]节奏总纲!AZ54</f>
        <v>51</v>
      </c>
      <c r="BA54" s="1">
        <f>[1]节奏总纲!BA54</f>
        <v>33.612495584603778</v>
      </c>
      <c r="BB54" s="1">
        <f>[1]节奏总纲!BB54</f>
        <v>35.024397713965918</v>
      </c>
      <c r="BC54" s="1">
        <f>[1]节奏总纲!BC54</f>
        <v>36.947184852926306</v>
      </c>
      <c r="BD54" s="1">
        <f>[1]节奏总纲!BD54</f>
        <v>39.655541494705105</v>
      </c>
      <c r="BE54" s="1">
        <f>[1]节奏总纲!BE54</f>
        <v>44.326465623783335</v>
      </c>
      <c r="BI54" s="1">
        <f>[1]节奏总纲!BI54</f>
        <v>51</v>
      </c>
      <c r="BJ54" s="1">
        <f>[1]节奏总纲!BJ54</f>
        <v>2.5333333333333345</v>
      </c>
      <c r="BK54" s="1">
        <f>[1]节奏总纲!BK54</f>
        <v>2.5840000000000014</v>
      </c>
      <c r="BL54" s="1">
        <f>[1]节奏总纲!BL54</f>
        <v>2.6853333333333347</v>
      </c>
      <c r="BM54" s="1">
        <f>[1]节奏总纲!BM54</f>
        <v>2.8880000000000012</v>
      </c>
      <c r="BN54" s="1">
        <f>[1]节奏总纲!BN54</f>
        <v>3.5466666666666682</v>
      </c>
      <c r="BP54" s="1">
        <f>[1]节奏总纲!BP54</f>
        <v>51</v>
      </c>
      <c r="BQ54" s="1">
        <f>[1]节奏总纲!BQ54</f>
        <v>94.145740969946885</v>
      </c>
      <c r="BR54" s="1">
        <f>[1]节奏总纲!BR54</f>
        <v>93.183924727109627</v>
      </c>
      <c r="BS54" s="1">
        <f>[1]节奏总纲!BS54</f>
        <v>92.135531632926771</v>
      </c>
      <c r="BT54" s="1">
        <f>[1]节奏总纲!BT54</f>
        <v>91.002520783186228</v>
      </c>
      <c r="BU54" s="1">
        <f>[1]节奏总纲!BU54</f>
        <v>89.726519272163628</v>
      </c>
      <c r="BW54" s="1">
        <f>[1]节奏总纲!BW54</f>
        <v>51</v>
      </c>
      <c r="BX54" s="1">
        <f>[1]节奏总纲!BX54</f>
        <v>30.987832933580094</v>
      </c>
      <c r="BY54" s="1">
        <f>[1]节奏总纲!BY54</f>
        <v>31.478003617690753</v>
      </c>
      <c r="BZ54" s="1">
        <f>[1]节奏总纲!BZ54</f>
        <v>32.061058431778378</v>
      </c>
      <c r="CA54" s="1">
        <f>[1]节奏总纲!CA54</f>
        <v>32.691861136941853</v>
      </c>
      <c r="CB54" s="1">
        <f>[1]节奏总纲!CB54</f>
        <v>33.39192659810282</v>
      </c>
      <c r="CC54" s="1">
        <f>[1]节奏总纲!CC54</f>
        <v>33.39192659810282</v>
      </c>
    </row>
    <row r="55" spans="6:81" x14ac:dyDescent="0.15">
      <c r="F55" s="1">
        <f>[1]节奏总纲!F55</f>
        <v>53</v>
      </c>
      <c r="G55" s="1">
        <f>[1]节奏总纲!G55</f>
        <v>38.396621227037308</v>
      </c>
      <c r="I55" s="1">
        <f>[1]节奏总纲!I55</f>
        <v>53</v>
      </c>
      <c r="J55" s="1">
        <f>[1]节奏总纲!J55</f>
        <v>915.14532082292135</v>
      </c>
      <c r="K55" s="13">
        <f>[1]节奏总纲!K55</f>
        <v>1.18</v>
      </c>
      <c r="N55" s="1">
        <f>[1]节奏总纲!N55</f>
        <v>62</v>
      </c>
      <c r="O55" s="1">
        <f>[1]节奏总纲!O55</f>
        <v>52</v>
      </c>
      <c r="P55" s="1">
        <f>[1]节奏总纲!P55</f>
        <v>35.758347359905123</v>
      </c>
      <c r="Q55" s="1">
        <f>[1]节奏总纲!Q55</f>
        <v>31.081155525229534</v>
      </c>
      <c r="R55" s="1">
        <f>[1]节奏总纲!R55</f>
        <v>25.606552544428059</v>
      </c>
      <c r="S55" s="1">
        <f>[1]节奏总纲!S55</f>
        <v>18.930469092333773</v>
      </c>
      <c r="T55" s="1">
        <f>[1]节奏总纲!T55</f>
        <v>10.570167479587953</v>
      </c>
      <c r="V55" s="1">
        <f>[1]节奏总纲!V55</f>
        <v>52</v>
      </c>
      <c r="W55" s="1">
        <f>[1]节奏总纲!W55</f>
        <v>2.4615965587437572</v>
      </c>
      <c r="X55" s="1">
        <f>[1]节奏总纲!X55</f>
        <v>2.1529384291805371</v>
      </c>
      <c r="Y55" s="1">
        <f>[1]节奏总纲!Y55</f>
        <v>1.822683447158493</v>
      </c>
      <c r="Z55" s="1">
        <f>[1]节奏总纲!Z55</f>
        <v>1.3431253191603396</v>
      </c>
      <c r="AA55" s="1">
        <f>[1]节奏总纲!AA55</f>
        <v>0.72431826768453611</v>
      </c>
      <c r="AC55" s="1">
        <f>[1]节奏总纲!AC55</f>
        <v>52</v>
      </c>
      <c r="AD55" s="1">
        <f>[1]节奏总纲!AD55</f>
        <v>57.27226591292537</v>
      </c>
      <c r="AE55" s="1">
        <f>[1]节奏总纲!AE55</f>
        <v>59.290380144164828</v>
      </c>
      <c r="AF55" s="1">
        <f>[1]节奏总纲!AF55</f>
        <v>62.130298748930763</v>
      </c>
      <c r="AG55" s="1">
        <f>[1]节奏总纲!AG55</f>
        <v>66.530472725664353</v>
      </c>
      <c r="AH55" s="1">
        <f>[1]节奏总纲!AH55</f>
        <v>75.062532510920803</v>
      </c>
      <c r="AL55" s="1">
        <f>[1]节奏总纲!AL55</f>
        <v>52</v>
      </c>
      <c r="AM55" s="1">
        <f>[1]节奏总纲!AM55</f>
        <v>789.85301886939453</v>
      </c>
      <c r="AN55" s="1">
        <f>[1]节奏总纲!AN55</f>
        <v>631.88241509551563</v>
      </c>
      <c r="AO55" s="1">
        <f>[1]节奏总纲!AO55</f>
        <v>473.91181132163672</v>
      </c>
      <c r="AP55" s="1">
        <f>[1]节奏总纲!AP55</f>
        <v>315.94120754775781</v>
      </c>
      <c r="AQ55" s="1">
        <f>[1]节奏总纲!AQ55</f>
        <v>157.97060377387891</v>
      </c>
      <c r="AS55" s="1">
        <f>[1]节奏总纲!AS55</f>
        <v>52</v>
      </c>
      <c r="AT55" s="1">
        <f>[1]节奏总纲!AT55</f>
        <v>108.19809186955615</v>
      </c>
      <c r="AU55" s="1">
        <f>[1]节奏总纲!AU55</f>
        <v>86.558473495644876</v>
      </c>
      <c r="AV55" s="1">
        <f>[1]节奏总纲!AV55</f>
        <v>64.918855121733714</v>
      </c>
      <c r="AW55" s="1">
        <f>[1]节奏总纲!AW55</f>
        <v>43.279236747822438</v>
      </c>
      <c r="AX55" s="1">
        <f>[1]节奏总纲!AX55</f>
        <v>21.639618373911219</v>
      </c>
      <c r="AZ55" s="1">
        <f>[1]节奏总纲!AZ55</f>
        <v>52</v>
      </c>
      <c r="BA55" s="1">
        <f>[1]节奏总纲!BA55</f>
        <v>33.737057773318043</v>
      </c>
      <c r="BB55" s="1">
        <f>[1]节奏总纲!BB55</f>
        <v>35.146386283795508</v>
      </c>
      <c r="BC55" s="1">
        <f>[1]节奏总纲!BC55</f>
        <v>37.075448197698059</v>
      </c>
      <c r="BD55" s="1">
        <f>[1]节奏总纲!BD55</f>
        <v>39.790623261487418</v>
      </c>
      <c r="BE55" s="1">
        <f>[1]节奏总纲!BE55</f>
        <v>44.455742855302844</v>
      </c>
      <c r="BI55" s="1">
        <f>[1]节奏总纲!BI55</f>
        <v>52</v>
      </c>
      <c r="BJ55" s="1">
        <f>[1]节奏总纲!BJ55</f>
        <v>2.5666666666666678</v>
      </c>
      <c r="BK55" s="1">
        <f>[1]节奏总纲!BK55</f>
        <v>2.6180000000000012</v>
      </c>
      <c r="BL55" s="1">
        <f>[1]节奏总纲!BL55</f>
        <v>2.7206666666666681</v>
      </c>
      <c r="BM55" s="1">
        <f>[1]节奏总纲!BM55</f>
        <v>2.926000000000001</v>
      </c>
      <c r="BN55" s="1">
        <f>[1]节奏总纲!BN55</f>
        <v>3.5933333333333346</v>
      </c>
      <c r="BP55" s="1">
        <f>[1]节奏总纲!BP55</f>
        <v>52</v>
      </c>
      <c r="BQ55" s="1">
        <f>[1]节奏总纲!BQ55</f>
        <v>96.265821375882837</v>
      </c>
      <c r="BR55" s="1">
        <f>[1]节奏总纲!BR55</f>
        <v>95.320056465518832</v>
      </c>
      <c r="BS55" s="1">
        <f>[1]节奏总纲!BS55</f>
        <v>94.309081972684396</v>
      </c>
      <c r="BT55" s="1">
        <f>[1]节奏总纲!BT55</f>
        <v>93.208444061349098</v>
      </c>
      <c r="BU55" s="1">
        <f>[1]节奏总纲!BU55</f>
        <v>92.03038330510195</v>
      </c>
      <c r="BW55" s="1">
        <f>[1]节奏总纲!BW55</f>
        <v>52</v>
      </c>
      <c r="BX55" s="1">
        <f>[1]节奏总纲!BX55</f>
        <v>31.409452382022582</v>
      </c>
      <c r="BY55" s="1">
        <f>[1]节奏总纲!BY55</f>
        <v>31.937003907261929</v>
      </c>
      <c r="BZ55" s="1">
        <f>[1]节奏总纲!BZ55</f>
        <v>32.503757225034654</v>
      </c>
      <c r="CA55" s="1">
        <f>[1]节奏总纲!CA55</f>
        <v>33.154875618998368</v>
      </c>
      <c r="CB55" s="1">
        <f>[1]节奏总纲!CB55</f>
        <v>33.843039941845369</v>
      </c>
      <c r="CC55" s="1">
        <f>[1]节奏总纲!CC55</f>
        <v>33.843039941845369</v>
      </c>
    </row>
    <row r="56" spans="6:81" x14ac:dyDescent="0.15">
      <c r="F56" s="1">
        <f>[1]节奏总纲!F56</f>
        <v>54</v>
      </c>
      <c r="G56" s="1">
        <f>[1]节奏总纲!G56</f>
        <v>41.224253144732614</v>
      </c>
      <c r="I56" s="1">
        <f>[1]节奏总纲!I56</f>
        <v>54</v>
      </c>
      <c r="J56" s="1">
        <f>[1]节奏总纲!J56</f>
        <v>1060.2230944101252</v>
      </c>
      <c r="K56" s="13">
        <f>[1]节奏总纲!K56</f>
        <v>1.19</v>
      </c>
      <c r="N56" s="1">
        <f>[1]节奏总纲!N56</f>
        <v>63</v>
      </c>
      <c r="O56" s="1">
        <f>[1]节奏总纲!O56</f>
        <v>53</v>
      </c>
      <c r="P56" s="1">
        <f>[1]节奏总纲!P56</f>
        <v>38.396621227037308</v>
      </c>
      <c r="Q56" s="1">
        <f>[1]节奏总纲!Q56</f>
        <v>33.42809844025868</v>
      </c>
      <c r="R56" s="1">
        <f>[1]节奏总纲!R56</f>
        <v>27.5802930273809</v>
      </c>
      <c r="S56" s="1">
        <f>[1]节奏总纲!S56</f>
        <v>20.319491953348145</v>
      </c>
      <c r="T56" s="1">
        <f>[1]节奏总纲!T56</f>
        <v>11.338522248344118</v>
      </c>
      <c r="V56" s="1">
        <f>[1]节奏总纲!V56</f>
        <v>53</v>
      </c>
      <c r="W56" s="1">
        <f>[1]节奏总纲!W56</f>
        <v>2.6382738671321846</v>
      </c>
      <c r="X56" s="1">
        <f>[1]节奏总纲!X56</f>
        <v>2.3469429150291461</v>
      </c>
      <c r="Y56" s="1">
        <f>[1]节奏总纲!Y56</f>
        <v>1.9737404829528415</v>
      </c>
      <c r="Z56" s="1">
        <f>[1]节奏总纲!Z56</f>
        <v>1.3890228610143716</v>
      </c>
      <c r="AA56" s="1">
        <f>[1]节奏总纲!AA56</f>
        <v>0.76835476875616493</v>
      </c>
      <c r="AC56" s="1">
        <f>[1]节奏总纲!AC56</f>
        <v>53</v>
      </c>
      <c r="AD56" s="1">
        <f>[1]节奏总纲!AD56</f>
        <v>57.540284631526099</v>
      </c>
      <c r="AE56" s="1">
        <f>[1]节奏总纲!AE56</f>
        <v>59.564417547460899</v>
      </c>
      <c r="AF56" s="1">
        <f>[1]节奏总纲!AF56</f>
        <v>62.395461425033538</v>
      </c>
      <c r="AG56" s="1">
        <f>[1]节奏总纲!AG56</f>
        <v>66.819253686739231</v>
      </c>
      <c r="AH56" s="1">
        <f>[1]节奏总纲!AH56</f>
        <v>75.318351032805268</v>
      </c>
      <c r="AL56" s="1">
        <f>[1]节奏总纲!AL56</f>
        <v>53</v>
      </c>
      <c r="AM56" s="1">
        <f>[1]节奏总纲!AM56</f>
        <v>915.14532082292135</v>
      </c>
      <c r="AN56" s="1">
        <f>[1]节奏总纲!AN56</f>
        <v>732.11625665833708</v>
      </c>
      <c r="AO56" s="1">
        <f>[1]节奏总纲!AO56</f>
        <v>549.08719249375281</v>
      </c>
      <c r="AP56" s="1">
        <f>[1]节奏总纲!AP56</f>
        <v>366.05812832916854</v>
      </c>
      <c r="AQ56" s="1">
        <f>[1]节奏总纲!AQ56</f>
        <v>183.02906416458427</v>
      </c>
      <c r="AS56" s="1">
        <f>[1]节奏总纲!AS56</f>
        <v>53</v>
      </c>
      <c r="AT56" s="1">
        <f>[1]节奏总纲!AT56</f>
        <v>125.29230195352682</v>
      </c>
      <c r="AU56" s="1">
        <f>[1]节奏总纲!AU56</f>
        <v>100.23384156282145</v>
      </c>
      <c r="AV56" s="1">
        <f>[1]节奏总纲!AV56</f>
        <v>75.17538117211609</v>
      </c>
      <c r="AW56" s="1">
        <f>[1]节奏总纲!AW56</f>
        <v>50.116920781410727</v>
      </c>
      <c r="AX56" s="1">
        <f>[1]节奏总纲!AX56</f>
        <v>25.058460390705363</v>
      </c>
      <c r="AZ56" s="1">
        <f>[1]节奏总纲!AZ56</f>
        <v>53</v>
      </c>
      <c r="BA56" s="1">
        <f>[1]节奏总纲!BA56</f>
        <v>33.861619962032307</v>
      </c>
      <c r="BB56" s="1">
        <f>[1]节奏总纲!BB56</f>
        <v>35.268374853625097</v>
      </c>
      <c r="BC56" s="1">
        <f>[1]节奏总纲!BC56</f>
        <v>37.196452985793947</v>
      </c>
      <c r="BD56" s="1">
        <f>[1]节奏总纲!BD56</f>
        <v>39.925705028269732</v>
      </c>
      <c r="BE56" s="1">
        <f>[1]节奏总纲!BE56</f>
        <v>44.585020086822361</v>
      </c>
      <c r="BI56" s="1">
        <f>[1]节奏总纲!BI56</f>
        <v>53</v>
      </c>
      <c r="BJ56" s="1">
        <f>[1]节奏总纲!BJ56</f>
        <v>2.600000000000001</v>
      </c>
      <c r="BK56" s="1">
        <f>[1]节奏总纲!BK56</f>
        <v>2.652000000000001</v>
      </c>
      <c r="BL56" s="1">
        <f>[1]节奏总纲!BL56</f>
        <v>2.7560000000000011</v>
      </c>
      <c r="BM56" s="1">
        <f>[1]节奏总纲!BM56</f>
        <v>2.9640000000000009</v>
      </c>
      <c r="BN56" s="1">
        <f>[1]节奏总纲!BN56</f>
        <v>3.640000000000001</v>
      </c>
      <c r="BP56" s="1">
        <f>[1]节奏总纲!BP56</f>
        <v>53</v>
      </c>
      <c r="BQ56" s="1">
        <f>[1]节奏总纲!BQ56</f>
        <v>98.386070168033314</v>
      </c>
      <c r="BR56" s="1">
        <f>[1]节奏总纲!BR56</f>
        <v>97.463615621461287</v>
      </c>
      <c r="BS56" s="1">
        <f>[1]节奏总纲!BS56</f>
        <v>96.485848981556117</v>
      </c>
      <c r="BT56" s="1">
        <f>[1]节奏总纲!BT56</f>
        <v>95.421390644954613</v>
      </c>
      <c r="BU56" s="1">
        <f>[1]节奏总纲!BU56</f>
        <v>94.2564978309629</v>
      </c>
      <c r="BW56" s="1">
        <f>[1]节奏总纲!BW56</f>
        <v>53</v>
      </c>
      <c r="BX56" s="1">
        <f>[1]节奏总纲!BX56</f>
        <v>31.859430310817384</v>
      </c>
      <c r="BY56" s="1">
        <f>[1]节奏总纲!BY56</f>
        <v>32.373698557428163</v>
      </c>
      <c r="BZ56" s="1">
        <f>[1]节奏总纲!BZ56</f>
        <v>32.983145201793022</v>
      </c>
      <c r="CA56" s="1">
        <f>[1]节奏总纲!CA56</f>
        <v>33.587424938353614</v>
      </c>
      <c r="CB56" s="1">
        <f>[1]节奏总纲!CB56</f>
        <v>34.274966559784382</v>
      </c>
      <c r="CC56" s="1">
        <f>[1]节奏总纲!CC56</f>
        <v>34.274966559784382</v>
      </c>
    </row>
    <row r="57" spans="6:81" x14ac:dyDescent="0.15">
      <c r="F57" s="1">
        <f>[1]节奏总纲!F57</f>
        <v>55</v>
      </c>
      <c r="G57" s="1">
        <f>[1]节奏总纲!G57</f>
        <v>44.254833995939045</v>
      </c>
      <c r="I57" s="1">
        <f>[1]节奏总纲!I57</f>
        <v>55</v>
      </c>
      <c r="J57" s="1">
        <f>[1]节奏总纲!J57</f>
        <v>1228.2</v>
      </c>
      <c r="K57" s="13">
        <f>[1]节奏总纲!K57</f>
        <v>1.2</v>
      </c>
      <c r="N57" s="1">
        <f>[1]节奏总纲!N57</f>
        <v>64</v>
      </c>
      <c r="O57" s="1">
        <f>[1]节奏总纲!O57</f>
        <v>54</v>
      </c>
      <c r="P57" s="1">
        <f>[1]节奏总纲!P57</f>
        <v>41.224253144732614</v>
      </c>
      <c r="Q57" s="1">
        <f>[1]节奏总纲!Q57</f>
        <v>35.947548742206841</v>
      </c>
      <c r="R57" s="1">
        <f>[1]节奏总纲!R57</f>
        <v>29.553667079458812</v>
      </c>
      <c r="S57" s="1">
        <f>[1]节奏总纲!S57</f>
        <v>21.762283235104348</v>
      </c>
      <c r="T57" s="1">
        <f>[1]节奏总纲!T57</f>
        <v>12.111685573922442</v>
      </c>
      <c r="V57" s="1">
        <f>[1]节奏总纲!V57</f>
        <v>54</v>
      </c>
      <c r="W57" s="1">
        <f>[1]节奏总纲!W57</f>
        <v>2.8276319176953066</v>
      </c>
      <c r="X57" s="1">
        <f>[1]节奏总纲!X57</f>
        <v>2.5194503019481616</v>
      </c>
      <c r="Y57" s="1">
        <f>[1]节奏总纲!Y57</f>
        <v>1.9733740520779115</v>
      </c>
      <c r="Z57" s="1">
        <f>[1]节奏总纲!Z57</f>
        <v>1.4427912817562039</v>
      </c>
      <c r="AA57" s="1">
        <f>[1]节奏总纲!AA57</f>
        <v>0.77316332557832368</v>
      </c>
      <c r="AC57" s="1">
        <f>[1]节奏总纲!AC57</f>
        <v>54</v>
      </c>
      <c r="AD57" s="1">
        <f>[1]节奏总纲!AD57</f>
        <v>57.80830335012682</v>
      </c>
      <c r="AE57" s="1">
        <f>[1]节奏总纲!AE57</f>
        <v>59.838454950756969</v>
      </c>
      <c r="AF57" s="1">
        <f>[1]节奏总纲!AF57</f>
        <v>62.660624101136307</v>
      </c>
      <c r="AG57" s="1">
        <f>[1]节奏总纲!AG57</f>
        <v>67.098789255934349</v>
      </c>
      <c r="AH57" s="1">
        <f>[1]节奏总纲!AH57</f>
        <v>75.574169554689718</v>
      </c>
      <c r="AL57" s="1">
        <f>[1]节奏总纲!AL57</f>
        <v>54</v>
      </c>
      <c r="AM57" s="1">
        <f>[1]节奏总纲!AM57</f>
        <v>1060.2230944101252</v>
      </c>
      <c r="AN57" s="1">
        <f>[1]节奏总纲!AN57</f>
        <v>848.17847552810019</v>
      </c>
      <c r="AO57" s="1">
        <f>[1]节奏总纲!AO57</f>
        <v>636.13385664607506</v>
      </c>
      <c r="AP57" s="1">
        <f>[1]节奏总纲!AP57</f>
        <v>424.0892377640501</v>
      </c>
      <c r="AQ57" s="1">
        <f>[1]节奏总纲!AQ57</f>
        <v>212.04461888202505</v>
      </c>
      <c r="AS57" s="1">
        <f>[1]节奏总纲!AS57</f>
        <v>54</v>
      </c>
      <c r="AT57" s="1">
        <f>[1]节奏总纲!AT57</f>
        <v>145.07777358720386</v>
      </c>
      <c r="AU57" s="1">
        <f>[1]节奏总纲!AU57</f>
        <v>116.06221886976311</v>
      </c>
      <c r="AV57" s="1">
        <f>[1]节奏总纲!AV57</f>
        <v>87.046664152322251</v>
      </c>
      <c r="AW57" s="1">
        <f>[1]节奏总纲!AW57</f>
        <v>58.031109434881557</v>
      </c>
      <c r="AX57" s="1">
        <f>[1]节奏总纲!AX57</f>
        <v>29.015554717440779</v>
      </c>
      <c r="AZ57" s="1">
        <f>[1]节奏总纲!AZ57</f>
        <v>54</v>
      </c>
      <c r="BA57" s="1">
        <f>[1]节奏总纲!BA57</f>
        <v>33.986182150746572</v>
      </c>
      <c r="BB57" s="1">
        <f>[1]节奏总纲!BB57</f>
        <v>35.390363423454687</v>
      </c>
      <c r="BC57" s="1">
        <f>[1]节奏总纲!BC57</f>
        <v>37.317457773889828</v>
      </c>
      <c r="BD57" s="1">
        <f>[1]节奏总纲!BD57</f>
        <v>40.052446592012309</v>
      </c>
      <c r="BE57" s="1">
        <f>[1]节奏总纲!BE57</f>
        <v>44.71429731834187</v>
      </c>
      <c r="BI57" s="1">
        <f>[1]节奏总纲!BI57</f>
        <v>54</v>
      </c>
      <c r="BJ57" s="1">
        <f>[1]节奏总纲!BJ57</f>
        <v>2.6333333333333342</v>
      </c>
      <c r="BK57" s="1">
        <f>[1]节奏总纲!BK57</f>
        <v>2.6860000000000008</v>
      </c>
      <c r="BL57" s="1">
        <f>[1]节奏总纲!BL57</f>
        <v>2.7913333333333346</v>
      </c>
      <c r="BM57" s="1">
        <f>[1]节奏总纲!BM57</f>
        <v>3.0020000000000007</v>
      </c>
      <c r="BN57" s="1">
        <f>[1]节奏总纲!BN57</f>
        <v>3.6866666666666674</v>
      </c>
      <c r="BP57" s="1">
        <f>[1]节奏总纲!BP57</f>
        <v>54</v>
      </c>
      <c r="BQ57" s="1">
        <f>[1]节奏总纲!BQ57</f>
        <v>100.5064640446531</v>
      </c>
      <c r="BR57" s="1">
        <f>[1]节奏总纲!BR57</f>
        <v>99.5379191894814</v>
      </c>
      <c r="BS57" s="1">
        <f>[1]节奏总纲!BS57</f>
        <v>98.506974116675693</v>
      </c>
      <c r="BT57" s="1">
        <f>[1]节奏总纲!BT57</f>
        <v>97.444645169634811</v>
      </c>
      <c r="BU57" s="1">
        <f>[1]节奏总纲!BU57</f>
        <v>96.315276464549527</v>
      </c>
      <c r="BW57" s="1">
        <f>[1]节奏总纲!BW57</f>
        <v>54</v>
      </c>
      <c r="BX57" s="1">
        <f>[1]节奏总纲!BX57</f>
        <v>32.291963103880526</v>
      </c>
      <c r="BY57" s="1">
        <f>[1]节奏总纲!BY57</f>
        <v>32.832647261636957</v>
      </c>
      <c r="BZ57" s="1">
        <f>[1]节奏总纲!BZ57</f>
        <v>33.39527305342645</v>
      </c>
      <c r="CA57" s="1">
        <f>[1]节奏总纲!CA57</f>
        <v>34.031395739895665</v>
      </c>
      <c r="CB57" s="1">
        <f>[1]节奏总纲!CB57</f>
        <v>34.686702458597871</v>
      </c>
      <c r="CC57" s="1">
        <f>[1]节奏总纲!CC57</f>
        <v>34.686702458597871</v>
      </c>
    </row>
    <row r="58" spans="6:81" x14ac:dyDescent="0.15">
      <c r="F58" s="1">
        <f>[1]节奏总纲!F58</f>
        <v>56</v>
      </c>
      <c r="G58" s="1">
        <f>[1]节奏总纲!G58</f>
        <v>47.502930128332721</v>
      </c>
      <c r="I58" s="1">
        <f>[1]节奏总纲!I58</f>
        <v>56</v>
      </c>
      <c r="J58" s="1">
        <f>[1]节奏总纲!J58</f>
        <v>1422.6782097755249</v>
      </c>
      <c r="K58" s="13">
        <f>[1]节奏总纲!K58</f>
        <v>1.21</v>
      </c>
      <c r="N58" s="1">
        <f>[1]节奏总纲!N58</f>
        <v>65</v>
      </c>
      <c r="O58" s="1">
        <f>[1]节奏总纲!O58</f>
        <v>55</v>
      </c>
      <c r="P58" s="1">
        <f>[1]节奏总纲!P58</f>
        <v>44.254833995939045</v>
      </c>
      <c r="Q58" s="1">
        <f>[1]节奏总纲!Q58</f>
        <v>38.53268396026413</v>
      </c>
      <c r="R58" s="1">
        <f>[1]节奏总纲!R58</f>
        <v>31.642206307096416</v>
      </c>
      <c r="S58" s="1">
        <f>[1]节奏总纲!S58</f>
        <v>23.282468165263531</v>
      </c>
      <c r="T58" s="1">
        <f>[1]节奏总纲!T58</f>
        <v>12.944538943812169</v>
      </c>
      <c r="V58" s="1">
        <f>[1]节奏总纲!V58</f>
        <v>55</v>
      </c>
      <c r="W58" s="1">
        <f>[1]节奏总纲!W58</f>
        <v>3.0305808512064303</v>
      </c>
      <c r="X58" s="1">
        <f>[1]节奏总纲!X58</f>
        <v>2.5851352180572889</v>
      </c>
      <c r="Y58" s="1">
        <f>[1]节奏总纲!Y58</f>
        <v>2.0885392276376038</v>
      </c>
      <c r="Z58" s="1">
        <f>[1]节奏总纲!Z58</f>
        <v>1.5201849301591821</v>
      </c>
      <c r="AA58" s="1">
        <f>[1]节奏总纲!AA58</f>
        <v>0.8328533698897278</v>
      </c>
      <c r="AC58" s="1">
        <f>[1]节奏总纲!AC58</f>
        <v>55</v>
      </c>
      <c r="AD58" s="1">
        <f>[1]节奏总纲!AD58</f>
        <v>58.071211008105138</v>
      </c>
      <c r="AE58" s="1">
        <f>[1]节奏总纲!AE58</f>
        <v>60.102437883401088</v>
      </c>
      <c r="AF58" s="1">
        <f>[1]节奏总纲!AF58</f>
        <v>62.925786777239075</v>
      </c>
      <c r="AG58" s="1">
        <f>[1]节奏总纲!AG58</f>
        <v>67.36285691246691</v>
      </c>
      <c r="AH58" s="1">
        <f>[1]节奏总纲!AH58</f>
        <v>75.829988076574182</v>
      </c>
      <c r="AL58" s="1">
        <f>[1]节奏总纲!AL58</f>
        <v>55</v>
      </c>
      <c r="AM58" s="1">
        <f>[1]节奏总纲!AM58</f>
        <v>1228.2</v>
      </c>
      <c r="AN58" s="1">
        <f>[1]节奏总纲!AN58</f>
        <v>982.56000000000006</v>
      </c>
      <c r="AO58" s="1">
        <f>[1]节奏总纲!AO58</f>
        <v>736.92</v>
      </c>
      <c r="AP58" s="1">
        <f>[1]节奏总纲!AP58</f>
        <v>491.28000000000003</v>
      </c>
      <c r="AQ58" s="1">
        <f>[1]节奏总纲!AQ58</f>
        <v>245.64000000000001</v>
      </c>
      <c r="AS58" s="1">
        <f>[1]节奏总纲!AS58</f>
        <v>55</v>
      </c>
      <c r="AT58" s="1">
        <f>[1]节奏总纲!AT58</f>
        <v>167.97690558987483</v>
      </c>
      <c r="AU58" s="1">
        <f>[1]节奏总纲!AU58</f>
        <v>134.38152447189987</v>
      </c>
      <c r="AV58" s="1">
        <f>[1]节奏总纲!AV58</f>
        <v>100.7861433539249</v>
      </c>
      <c r="AW58" s="1">
        <f>[1]节奏总纲!AW58</f>
        <v>67.190762235949933</v>
      </c>
      <c r="AX58" s="1">
        <f>[1]节奏总纲!AX58</f>
        <v>33.595381117974966</v>
      </c>
      <c r="AZ58" s="1">
        <f>[1]节奏总纲!AZ58</f>
        <v>55</v>
      </c>
      <c r="BA58" s="1">
        <f>[1]节奏总纲!BA58</f>
        <v>34.09469189131628</v>
      </c>
      <c r="BB58" s="1">
        <f>[1]节奏总纲!BB58</f>
        <v>35.512351993284277</v>
      </c>
      <c r="BC58" s="1">
        <f>[1]节奏总纲!BC58</f>
        <v>37.438462561985709</v>
      </c>
      <c r="BD58" s="1">
        <f>[1]节奏总纲!BD58</f>
        <v>40.168994574261895</v>
      </c>
      <c r="BE58" s="1">
        <f>[1]节奏总纲!BE58</f>
        <v>44.843574549861387</v>
      </c>
      <c r="BI58" s="1">
        <f>[1]节奏总纲!BI58</f>
        <v>55</v>
      </c>
      <c r="BJ58" s="1">
        <f>[1]节奏总纲!BJ58</f>
        <v>2.6666666666666674</v>
      </c>
      <c r="BK58" s="1">
        <f>[1]节奏总纲!BK58</f>
        <v>2.7200000000000006</v>
      </c>
      <c r="BL58" s="1">
        <f>[1]节奏总纲!BL58</f>
        <v>2.8266666666666675</v>
      </c>
      <c r="BM58" s="1">
        <f>[1]节奏总纲!BM58</f>
        <v>3.0400000000000005</v>
      </c>
      <c r="BN58" s="1">
        <f>[1]节奏总纲!BN58</f>
        <v>3.7333333333333343</v>
      </c>
      <c r="BP58" s="1">
        <f>[1]节奏总纲!BP58</f>
        <v>55</v>
      </c>
      <c r="BQ58" s="1">
        <f>[1]节奏总纲!BQ58</f>
        <v>102.62698291511826</v>
      </c>
      <c r="BR58" s="1">
        <f>[1]节奏总纲!BR58</f>
        <v>101.66666489356477</v>
      </c>
      <c r="BS58" s="1">
        <f>[1]节奏总纲!BS58</f>
        <v>100.60993958592766</v>
      </c>
      <c r="BT58" s="1">
        <f>[1]节奏总纲!BT58</f>
        <v>99.483765111599226</v>
      </c>
      <c r="BU58" s="1">
        <f>[1]节奏总纲!BU58</f>
        <v>98.289119177560053</v>
      </c>
      <c r="BW58" s="1">
        <f>[1]节奏总纲!BW58</f>
        <v>55</v>
      </c>
      <c r="BX58" s="1">
        <f>[1]节奏总纲!BX58</f>
        <v>32.733609014843147</v>
      </c>
      <c r="BY58" s="1">
        <f>[1]节奏总纲!BY58</f>
        <v>33.259468274083204</v>
      </c>
      <c r="BZ58" s="1">
        <f>[1]节奏总纲!BZ58</f>
        <v>33.828861415776679</v>
      </c>
      <c r="CA58" s="1">
        <f>[1]节奏总纲!CA58</f>
        <v>34.436170958710932</v>
      </c>
      <c r="CB58" s="1">
        <f>[1]节奏总纲!CB58</f>
        <v>35.119323824093144</v>
      </c>
      <c r="CC58" s="1">
        <f>[1]节奏总纲!CC58</f>
        <v>35.119323824093144</v>
      </c>
    </row>
    <row r="59" spans="6:81" x14ac:dyDescent="0.15">
      <c r="F59" s="1">
        <f>[1]节奏总纲!F59</f>
        <v>57</v>
      </c>
      <c r="G59" s="1">
        <f>[1]节奏总纲!G59</f>
        <v>50.984153366799077</v>
      </c>
      <c r="I59" s="1">
        <f>[1]节奏总纲!I59</f>
        <v>57</v>
      </c>
      <c r="J59" s="1">
        <f>[1]节奏总纲!J59</f>
        <v>1647.8248427703616</v>
      </c>
      <c r="K59" s="13">
        <f>[1]节奏总纲!K59</f>
        <v>1.22</v>
      </c>
      <c r="N59" s="1">
        <f>[1]节奏总纲!N59</f>
        <v>66</v>
      </c>
      <c r="O59" s="1">
        <f>[1]节奏总纲!O59</f>
        <v>56</v>
      </c>
      <c r="P59" s="1">
        <f>[1]节奏总纲!P59</f>
        <v>47.502930128332721</v>
      </c>
      <c r="Q59" s="1">
        <f>[1]节奏总纲!Q59</f>
        <v>41.275295988508304</v>
      </c>
      <c r="R59" s="1">
        <f>[1]节奏总纲!R59</f>
        <v>33.888590353552566</v>
      </c>
      <c r="S59" s="1">
        <f>[1]节奏总纲!S59</f>
        <v>24.910536559297679</v>
      </c>
      <c r="T59" s="1">
        <f>[1]节奏总纲!T59</f>
        <v>13.837603546383322</v>
      </c>
      <c r="V59" s="1">
        <f>[1]节奏总纲!V59</f>
        <v>56</v>
      </c>
      <c r="W59" s="1">
        <f>[1]节奏总纲!W59</f>
        <v>3.2480961323936768</v>
      </c>
      <c r="X59" s="1">
        <f>[1]节奏总纲!X59</f>
        <v>2.7426120282441744</v>
      </c>
      <c r="Y59" s="1">
        <f>[1]节奏总纲!Y59</f>
        <v>2.24638404645615</v>
      </c>
      <c r="Z59" s="1">
        <f>[1]节奏总纲!Z59</f>
        <v>1.6280683940341483</v>
      </c>
      <c r="AA59" s="1">
        <f>[1]节奏总纲!AA59</f>
        <v>0.89306460257115283</v>
      </c>
      <c r="AC59" s="1">
        <f>[1]节奏总纲!AC59</f>
        <v>56</v>
      </c>
      <c r="AD59" s="1">
        <f>[1]节奏总纲!AD59</f>
        <v>58.321281314909029</v>
      </c>
      <c r="AE59" s="1">
        <f>[1]节奏总纲!AE59</f>
        <v>60.351982057337977</v>
      </c>
      <c r="AF59" s="1">
        <f>[1]节奏总纲!AF59</f>
        <v>63.17626763611517</v>
      </c>
      <c r="AG59" s="1">
        <f>[1]节奏总纲!AG59</f>
        <v>67.626924568999456</v>
      </c>
      <c r="AH59" s="1">
        <f>[1]节奏总纲!AH59</f>
        <v>76.086647524934079</v>
      </c>
      <c r="AL59" s="1">
        <f>[1]节奏总纲!AL59</f>
        <v>56</v>
      </c>
      <c r="AM59" s="1">
        <f>[1]节奏总纲!AM59</f>
        <v>1422.6782097755249</v>
      </c>
      <c r="AN59" s="1">
        <f>[1]节奏总纲!AN59</f>
        <v>1138.14256782042</v>
      </c>
      <c r="AO59" s="1">
        <f>[1]节奏总纲!AO59</f>
        <v>853.60692586531491</v>
      </c>
      <c r="AP59" s="1">
        <f>[1]节奏总纲!AP59</f>
        <v>569.07128391021001</v>
      </c>
      <c r="AQ59" s="1">
        <f>[1]节奏总纲!AQ59</f>
        <v>284.53564195510501</v>
      </c>
      <c r="AS59" s="1">
        <f>[1]节奏总纲!AS59</f>
        <v>56</v>
      </c>
      <c r="AT59" s="1">
        <f>[1]节奏总纲!AT59</f>
        <v>194.47820977552487</v>
      </c>
      <c r="AU59" s="1">
        <f>[1]节奏总纲!AU59</f>
        <v>155.58256782041997</v>
      </c>
      <c r="AV59" s="1">
        <f>[1]节奏总纲!AV59</f>
        <v>116.68692586531495</v>
      </c>
      <c r="AW59" s="1">
        <f>[1]节奏总纲!AW59</f>
        <v>77.791283910209984</v>
      </c>
      <c r="AX59" s="1">
        <f>[1]节奏总纲!AX59</f>
        <v>38.895641955104992</v>
      </c>
      <c r="AZ59" s="1">
        <f>[1]节奏总纲!AZ59</f>
        <v>56</v>
      </c>
      <c r="BA59" s="1">
        <f>[1]节奏总纲!BA59</f>
        <v>34.201198727632011</v>
      </c>
      <c r="BB59" s="1">
        <f>[1]节奏总纲!BB59</f>
        <v>35.634340563113874</v>
      </c>
      <c r="BC59" s="1">
        <f>[1]节奏总纲!BC59</f>
        <v>37.55946735008159</v>
      </c>
      <c r="BD59" s="1">
        <f>[1]节奏总纲!BD59</f>
        <v>40.28554255651148</v>
      </c>
      <c r="BE59" s="1">
        <f>[1]节奏总纲!BE59</f>
        <v>44.972851781380903</v>
      </c>
      <c r="BI59" s="1">
        <f>[1]节奏总纲!BI59</f>
        <v>56</v>
      </c>
      <c r="BJ59" s="1">
        <f>[1]节奏总纲!BJ59</f>
        <v>2.7000000000000006</v>
      </c>
      <c r="BK59" s="1">
        <f>[1]节奏总纲!BK59</f>
        <v>2.7540000000000009</v>
      </c>
      <c r="BL59" s="1">
        <f>[1]节奏总纲!BL59</f>
        <v>2.862000000000001</v>
      </c>
      <c r="BM59" s="1">
        <f>[1]节奏总纲!BM59</f>
        <v>3.0780000000000003</v>
      </c>
      <c r="BN59" s="1">
        <f>[1]节奏总纲!BN59</f>
        <v>3.7800000000000007</v>
      </c>
      <c r="BP59" s="1">
        <f>[1]节奏总纲!BP59</f>
        <v>56</v>
      </c>
      <c r="BQ59" s="1">
        <f>[1]节奏总纲!BQ59</f>
        <v>104.74760945904168</v>
      </c>
      <c r="BR59" s="1">
        <f>[1]节奏总纲!BR59</f>
        <v>103.83698778121276</v>
      </c>
      <c r="BS59" s="1">
        <f>[1]节奏总纲!BS59</f>
        <v>102.85713143900996</v>
      </c>
      <c r="BT59" s="1">
        <f>[1]节奏总纲!BT59</f>
        <v>101.75206987035675</v>
      </c>
      <c r="BU59" s="1">
        <f>[1]节奏总纲!BU59</f>
        <v>100.52336200343598</v>
      </c>
      <c r="BW59" s="1">
        <f>[1]节奏总纲!BW59</f>
        <v>56</v>
      </c>
      <c r="BX59" s="1">
        <f>[1]节奏总纲!BX59</f>
        <v>33.176892907302189</v>
      </c>
      <c r="BY59" s="1">
        <f>[1]节奏总纲!BY59</f>
        <v>33.68650047037341</v>
      </c>
      <c r="BZ59" s="1">
        <f>[1]节奏总纲!BZ59</f>
        <v>34.252426803545553</v>
      </c>
      <c r="CA59" s="1">
        <f>[1]节奏总纲!CA59</f>
        <v>34.869671993596455</v>
      </c>
      <c r="CB59" s="1">
        <f>[1]节奏总纲!CB59</f>
        <v>35.555098518625485</v>
      </c>
      <c r="CC59" s="1">
        <f>[1]节奏总纲!CC59</f>
        <v>35.555098518625485</v>
      </c>
    </row>
    <row r="60" spans="6:81" x14ac:dyDescent="0.15">
      <c r="F60" s="1">
        <f>[1]节奏总纲!F60</f>
        <v>58</v>
      </c>
      <c r="G60" s="1">
        <f>[1]节奏总纲!G60</f>
        <v>54.715236050951923</v>
      </c>
      <c r="I60" s="1">
        <f>[1]节奏总纲!I60</f>
        <v>58</v>
      </c>
      <c r="J60" s="1">
        <f>[1]节奏总纲!J60</f>
        <v>1908.4603298511749</v>
      </c>
      <c r="K60" s="13">
        <f>[1]节奏总纲!K60</f>
        <v>1.23</v>
      </c>
      <c r="N60" s="1">
        <f>[1]节奏总纲!N60</f>
        <v>67</v>
      </c>
      <c r="O60" s="1">
        <f>[1]节奏总纲!O60</f>
        <v>57</v>
      </c>
      <c r="P60" s="1">
        <f>[1]节奏总纲!P60</f>
        <v>50.984153366799077</v>
      </c>
      <c r="Q60" s="1">
        <f>[1]节奏总纲!Q60</f>
        <v>44.310327691085078</v>
      </c>
      <c r="R60" s="1">
        <f>[1]节奏总纲!R60</f>
        <v>36.316012443170983</v>
      </c>
      <c r="S60" s="1">
        <f>[1]节奏总纲!S60</f>
        <v>26.664712210835919</v>
      </c>
      <c r="T60" s="1">
        <f>[1]节奏总纲!T60</f>
        <v>14.815994968391813</v>
      </c>
      <c r="V60" s="1">
        <f>[1]节奏总纲!V60</f>
        <v>57</v>
      </c>
      <c r="W60" s="1">
        <f>[1]节奏总纲!W60</f>
        <v>3.481223238466356</v>
      </c>
      <c r="X60" s="1">
        <f>[1]节奏总纲!X60</f>
        <v>3.0350317025767737</v>
      </c>
      <c r="Y60" s="1">
        <f>[1]节奏总纲!Y60</f>
        <v>2.4274220896184175</v>
      </c>
      <c r="Z60" s="1">
        <f>[1]节奏总纲!Z60</f>
        <v>1.7541756515382403</v>
      </c>
      <c r="AA60" s="1">
        <f>[1]节奏总纲!AA60</f>
        <v>0.97839142200849061</v>
      </c>
      <c r="AC60" s="1">
        <f>[1]节奏总纲!AC60</f>
        <v>57</v>
      </c>
      <c r="AD60" s="1">
        <f>[1]节奏总纲!AD60</f>
        <v>58.571351621712921</v>
      </c>
      <c r="AE60" s="1">
        <f>[1]节奏总纲!AE60</f>
        <v>60.60152623127486</v>
      </c>
      <c r="AF60" s="1">
        <f>[1]节奏总纲!AF60</f>
        <v>63.421042351541736</v>
      </c>
      <c r="AG60" s="1">
        <f>[1]节奏总纲!AG60</f>
        <v>67.890992225532017</v>
      </c>
      <c r="AH60" s="1">
        <f>[1]节奏总纲!AH60</f>
        <v>76.344973133357612</v>
      </c>
      <c r="AL60" s="1">
        <f>[1]节奏总纲!AL60</f>
        <v>57</v>
      </c>
      <c r="AM60" s="1">
        <f>[1]节奏总纲!AM60</f>
        <v>1647.8248427703616</v>
      </c>
      <c r="AN60" s="1">
        <f>[1]节奏总纲!AN60</f>
        <v>1318.2598742162893</v>
      </c>
      <c r="AO60" s="1">
        <f>[1]节奏总纲!AO60</f>
        <v>988.69490566221691</v>
      </c>
      <c r="AP60" s="1">
        <f>[1]节奏总纲!AP60</f>
        <v>659.12993710814465</v>
      </c>
      <c r="AQ60" s="1">
        <f>[1]节奏总纲!AQ60</f>
        <v>329.56496855407232</v>
      </c>
      <c r="AS60" s="1">
        <f>[1]节奏总纲!AS60</f>
        <v>57</v>
      </c>
      <c r="AT60" s="1">
        <f>[1]节奏总纲!AT60</f>
        <v>225.14663299483664</v>
      </c>
      <c r="AU60" s="1">
        <f>[1]节奏总纲!AU60</f>
        <v>180.11730639586926</v>
      </c>
      <c r="AV60" s="1">
        <f>[1]节奏总纲!AV60</f>
        <v>135.087979796902</v>
      </c>
      <c r="AW60" s="1">
        <f>[1]节奏总纲!AW60</f>
        <v>90.058653197934632</v>
      </c>
      <c r="AX60" s="1">
        <f>[1]节奏总纲!AX60</f>
        <v>45.029326598967316</v>
      </c>
      <c r="AZ60" s="1">
        <f>[1]节奏总纲!AZ60</f>
        <v>57</v>
      </c>
      <c r="BA60" s="1">
        <f>[1]节奏总纲!BA60</f>
        <v>34.307705563947749</v>
      </c>
      <c r="BB60" s="1">
        <f>[1]节奏总纲!BB60</f>
        <v>35.756329132943463</v>
      </c>
      <c r="BC60" s="1">
        <f>[1]节奏总纲!BC60</f>
        <v>37.680472138177478</v>
      </c>
      <c r="BD60" s="1">
        <f>[1]节奏总纲!BD60</f>
        <v>40.402090538761065</v>
      </c>
      <c r="BE60" s="1">
        <f>[1]节奏总纲!BE60</f>
        <v>45.088151688727308</v>
      </c>
      <c r="BI60" s="1">
        <f>[1]节奏总纲!BI60</f>
        <v>57</v>
      </c>
      <c r="BJ60" s="1">
        <f>[1]节奏总纲!BJ60</f>
        <v>2.7333333333333338</v>
      </c>
      <c r="BK60" s="1">
        <f>[1]节奏总纲!BK60</f>
        <v>2.7880000000000007</v>
      </c>
      <c r="BL60" s="1">
        <f>[1]节奏总纲!BL60</f>
        <v>2.897333333333334</v>
      </c>
      <c r="BM60" s="1">
        <f>[1]节奏总纲!BM60</f>
        <v>3.1160000000000001</v>
      </c>
      <c r="BN60" s="1">
        <f>[1]节奏总纲!BN60</f>
        <v>3.8266666666666671</v>
      </c>
      <c r="BP60" s="1">
        <f>[1]节奏总纲!BP60</f>
        <v>57</v>
      </c>
      <c r="BQ60" s="1">
        <f>[1]节奏总纲!BQ60</f>
        <v>106.86832874572353</v>
      </c>
      <c r="BR60" s="1">
        <f>[1]节奏总纲!BR60</f>
        <v>105.93060744042049</v>
      </c>
      <c r="BS60" s="1">
        <f>[1]节奏总纲!BS60</f>
        <v>104.93378702762401</v>
      </c>
      <c r="BT60" s="1">
        <f>[1]节奏总纲!BT60</f>
        <v>103.87052361677672</v>
      </c>
      <c r="BU60" s="1">
        <f>[1]节奏总纲!BU60</f>
        <v>102.71853803916484</v>
      </c>
      <c r="BW60" s="1">
        <f>[1]节奏总纲!BW60</f>
        <v>57</v>
      </c>
      <c r="BX60" s="1">
        <f>[1]节奏总纲!BX60</f>
        <v>33.610521693288518</v>
      </c>
      <c r="BY60" s="1">
        <f>[1]节奏总纲!BY60</f>
        <v>34.136006917064577</v>
      </c>
      <c r="BZ60" s="1">
        <f>[1]节奏总纲!BZ60</f>
        <v>34.683321882159184</v>
      </c>
      <c r="CA60" s="1">
        <f>[1]节奏总纲!CA60</f>
        <v>35.308560867691789</v>
      </c>
      <c r="CB60" s="1">
        <f>[1]节奏总纲!CB60</f>
        <v>36.028038378653754</v>
      </c>
      <c r="CC60" s="1">
        <f>[1]节奏总纲!CC60</f>
        <v>36.028038378653754</v>
      </c>
    </row>
    <row r="61" spans="6:81" x14ac:dyDescent="0.15">
      <c r="F61" s="1">
        <f>[1]节奏总纲!F61</f>
        <v>59</v>
      </c>
      <c r="G61" s="1">
        <f>[1]节奏总纲!G61</f>
        <v>58.714111458355703</v>
      </c>
      <c r="I61" s="1">
        <f>[1]节奏总纲!I61</f>
        <v>59</v>
      </c>
      <c r="J61" s="1">
        <f>[1]节奏总纲!J61</f>
        <v>2210.1605665017755</v>
      </c>
      <c r="K61" s="13">
        <f>[1]节奏总纲!K61</f>
        <v>1.24</v>
      </c>
      <c r="N61" s="1">
        <f>[1]节奏总纲!N61</f>
        <v>68</v>
      </c>
      <c r="O61" s="1">
        <f>[1]节奏总纲!O61</f>
        <v>58</v>
      </c>
      <c r="P61" s="1">
        <f>[1]节奏总纲!P61</f>
        <v>54.715236050951923</v>
      </c>
      <c r="Q61" s="1">
        <f>[1]节奏总纲!Q61</f>
        <v>47.459995750595695</v>
      </c>
      <c r="R61" s="1">
        <f>[1]节奏总纲!R61</f>
        <v>38.913475879437009</v>
      </c>
      <c r="S61" s="1">
        <f>[1]节奏总纲!S61</f>
        <v>28.572296265807093</v>
      </c>
      <c r="T61" s="1">
        <f>[1]节奏总纲!T61</f>
        <v>15.856475407565867</v>
      </c>
      <c r="V61" s="1">
        <f>[1]节奏总纲!V61</f>
        <v>58</v>
      </c>
      <c r="W61" s="1">
        <f>[1]节奏总纲!W61</f>
        <v>3.7310826841528453</v>
      </c>
      <c r="X61" s="1">
        <f>[1]节奏总纲!X61</f>
        <v>3.149668059510617</v>
      </c>
      <c r="Y61" s="1">
        <f>[1]节奏总纲!Y61</f>
        <v>2.5974634362660254</v>
      </c>
      <c r="Z61" s="1">
        <f>[1]节奏总纲!Z61</f>
        <v>1.9075840549711742</v>
      </c>
      <c r="AA61" s="1">
        <f>[1]节奏总纲!AA61</f>
        <v>1.0404804391740541</v>
      </c>
      <c r="AC61" s="1">
        <f>[1]节奏总纲!AC61</f>
        <v>58</v>
      </c>
      <c r="AD61" s="1">
        <f>[1]节奏总纲!AD61</f>
        <v>58.821421928516813</v>
      </c>
      <c r="AE61" s="1">
        <f>[1]节奏总纲!AE61</f>
        <v>60.851070405211743</v>
      </c>
      <c r="AF61" s="1">
        <f>[1]节奏总纲!AF61</f>
        <v>63.665817066968295</v>
      </c>
      <c r="AG61" s="1">
        <f>[1]节奏总纲!AG61</f>
        <v>68.142437172458173</v>
      </c>
      <c r="AH61" s="1">
        <f>[1]节奏总纲!AH61</f>
        <v>76.60329874178116</v>
      </c>
      <c r="AL61" s="1">
        <f>[1]节奏总纲!AL61</f>
        <v>58</v>
      </c>
      <c r="AM61" s="1">
        <f>[1]节奏总纲!AM61</f>
        <v>1908.4603298511749</v>
      </c>
      <c r="AN61" s="1">
        <f>[1]节奏总纲!AN61</f>
        <v>1526.7682638809401</v>
      </c>
      <c r="AO61" s="1">
        <f>[1]节奏总纲!AO61</f>
        <v>1145.0761979107049</v>
      </c>
      <c r="AP61" s="1">
        <f>[1]节奏总纲!AP61</f>
        <v>763.38413194047007</v>
      </c>
      <c r="AQ61" s="1">
        <f>[1]节奏总纲!AQ61</f>
        <v>381.69206597023503</v>
      </c>
      <c r="AS61" s="1">
        <f>[1]节奏总纲!AS61</f>
        <v>58</v>
      </c>
      <c r="AT61" s="1">
        <f>[1]节奏总纲!AT61</f>
        <v>260.63548708081339</v>
      </c>
      <c r="AU61" s="1">
        <f>[1]节奏总纲!AU61</f>
        <v>208.50838966465085</v>
      </c>
      <c r="AV61" s="1">
        <f>[1]节奏总纲!AV61</f>
        <v>156.38129224848797</v>
      </c>
      <c r="AW61" s="1">
        <f>[1]节奏总纲!AW61</f>
        <v>104.25419483232542</v>
      </c>
      <c r="AX61" s="1">
        <f>[1]节奏总纲!AX61</f>
        <v>52.127097416162712</v>
      </c>
      <c r="AZ61" s="1">
        <f>[1]节奏总纲!AZ61</f>
        <v>58</v>
      </c>
      <c r="BA61" s="1">
        <f>[1]节奏总纲!BA61</f>
        <v>34.41421240026348</v>
      </c>
      <c r="BB61" s="1">
        <f>[1]节奏总纲!BB61</f>
        <v>35.878317702773053</v>
      </c>
      <c r="BC61" s="1">
        <f>[1]节奏总纲!BC61</f>
        <v>37.801476926273359</v>
      </c>
      <c r="BD61" s="1">
        <f>[1]节奏总纲!BD61</f>
        <v>40.518638521010644</v>
      </c>
      <c r="BE61" s="1">
        <f>[1]节奏总纲!BE61</f>
        <v>45.199736104837825</v>
      </c>
      <c r="BI61" s="1">
        <f>[1]节奏总纲!BI61</f>
        <v>58</v>
      </c>
      <c r="BJ61" s="1">
        <f>[1]节奏总纲!BJ61</f>
        <v>2.7666666666666671</v>
      </c>
      <c r="BK61" s="1">
        <f>[1]节奏总纲!BK61</f>
        <v>2.8220000000000005</v>
      </c>
      <c r="BL61" s="1">
        <f>[1]节奏总纲!BL61</f>
        <v>2.9326666666666674</v>
      </c>
      <c r="BM61" s="1">
        <f>[1]节奏总纲!BM61</f>
        <v>3.1540000000000004</v>
      </c>
      <c r="BN61" s="1">
        <f>[1]节奏总纲!BN61</f>
        <v>3.8733333333333335</v>
      </c>
      <c r="BP61" s="1">
        <f>[1]节奏总纲!BP61</f>
        <v>58</v>
      </c>
      <c r="BQ61" s="1">
        <f>[1]节奏总纲!BQ61</f>
        <v>108.98912790570419</v>
      </c>
      <c r="BR61" s="1">
        <f>[1]节奏总纲!BR61</f>
        <v>108.05706415648734</v>
      </c>
      <c r="BS61" s="1">
        <f>[1]节奏总纲!BS61</f>
        <v>107.0450185423547</v>
      </c>
      <c r="BT61" s="1">
        <f>[1]节奏总纲!BT61</f>
        <v>105.98041084497018</v>
      </c>
      <c r="BU61" s="1">
        <f>[1]节奏总纲!BU61</f>
        <v>104.81855388022134</v>
      </c>
      <c r="BW61" s="1">
        <f>[1]节奏总纲!BW61</f>
        <v>58</v>
      </c>
      <c r="BX61" s="1">
        <f>[1]节奏总纲!BX61</f>
        <v>34.064362584006396</v>
      </c>
      <c r="BY61" s="1">
        <f>[1]节奏总纲!BY61</f>
        <v>34.555333392643561</v>
      </c>
      <c r="BZ61" s="1">
        <f>[1]节奏总纲!BZ61</f>
        <v>35.132313012164516</v>
      </c>
      <c r="CA61" s="1">
        <f>[1]节奏总纲!CA61</f>
        <v>35.773967769083114</v>
      </c>
      <c r="CB61" s="1">
        <f>[1]节奏总纲!CB61</f>
        <v>36.465928362136154</v>
      </c>
      <c r="CC61" s="1">
        <f>[1]节奏总纲!CC61</f>
        <v>36.465928362136154</v>
      </c>
    </row>
    <row r="62" spans="6:81" x14ac:dyDescent="0.15">
      <c r="F62" s="1">
        <f>[1]节奏总纲!F62</f>
        <v>60</v>
      </c>
      <c r="G62" s="1">
        <f>[1]节奏总纲!G62</f>
        <v>63</v>
      </c>
      <c r="I62" s="1">
        <f>[1]节奏总纲!I62</f>
        <v>60</v>
      </c>
      <c r="J62" s="1">
        <f>[1]节奏总纲!J62</f>
        <v>2559.375</v>
      </c>
      <c r="K62" s="13">
        <f>[1]节奏总纲!K62</f>
        <v>1.25</v>
      </c>
      <c r="N62" s="1">
        <f>[1]节奏总纲!N62</f>
        <v>69</v>
      </c>
      <c r="O62" s="1">
        <f>[1]节奏总纲!O62</f>
        <v>59</v>
      </c>
      <c r="P62" s="1">
        <f>[1]节奏总纲!P62</f>
        <v>58.714111458355703</v>
      </c>
      <c r="Q62" s="1">
        <f>[1]节奏总纲!Q62</f>
        <v>50.940363101269412</v>
      </c>
      <c r="R62" s="1">
        <f>[1]节奏总纲!R62</f>
        <v>41.728119013453394</v>
      </c>
      <c r="S62" s="1">
        <f>[1]节奏总纲!S62</f>
        <v>30.607666303240826</v>
      </c>
      <c r="T62" s="1">
        <f>[1]节奏总纲!T62</f>
        <v>17.003606678339814</v>
      </c>
      <c r="V62" s="1">
        <f>[1]节奏总纲!V62</f>
        <v>59</v>
      </c>
      <c r="W62" s="1">
        <f>[1]节奏总纲!W62</f>
        <v>3.99887540740378</v>
      </c>
      <c r="X62" s="1">
        <f>[1]节奏总纲!X62</f>
        <v>3.4803673506737169</v>
      </c>
      <c r="Y62" s="1">
        <f>[1]节奏总纲!Y62</f>
        <v>2.8146431340163858</v>
      </c>
      <c r="Z62" s="1">
        <f>[1]节奏总纲!Z62</f>
        <v>2.0353700374337329</v>
      </c>
      <c r="AA62" s="1">
        <f>[1]节奏总纲!AA62</f>
        <v>1.1471312707739472</v>
      </c>
      <c r="AC62" s="1">
        <f>[1]节奏总纲!AC62</f>
        <v>59</v>
      </c>
      <c r="AD62" s="1">
        <f>[1]节奏总纲!AD62</f>
        <v>59.066704614192936</v>
      </c>
      <c r="AE62" s="1">
        <f>[1]节奏总纲!AE62</f>
        <v>61.094954819415335</v>
      </c>
      <c r="AF62" s="1">
        <f>[1]节奏总纲!AF62</f>
        <v>63.91059178239486</v>
      </c>
      <c r="AG62" s="1">
        <f>[1]节奏总纲!AG62</f>
        <v>68.385008299388929</v>
      </c>
      <c r="AH62" s="1">
        <f>[1]节奏总纲!AH62</f>
        <v>76.861624350204693</v>
      </c>
      <c r="AL62" s="1">
        <f>[1]节奏总纲!AL62</f>
        <v>59</v>
      </c>
      <c r="AM62" s="1">
        <f>[1]节奏总纲!AM62</f>
        <v>2210.1605665017755</v>
      </c>
      <c r="AN62" s="1">
        <f>[1]节奏总纲!AN62</f>
        <v>1768.1284532014206</v>
      </c>
      <c r="AO62" s="1">
        <f>[1]节奏总纲!AO62</f>
        <v>1326.0963399010652</v>
      </c>
      <c r="AP62" s="1">
        <f>[1]节奏总纲!AP62</f>
        <v>884.0642266007103</v>
      </c>
      <c r="AQ62" s="1">
        <f>[1]节奏总纲!AQ62</f>
        <v>442.03211330035515</v>
      </c>
      <c r="AS62" s="1">
        <f>[1]节奏总纲!AS62</f>
        <v>59</v>
      </c>
      <c r="AT62" s="1">
        <f>[1]节奏总纲!AT62</f>
        <v>301.70023665060057</v>
      </c>
      <c r="AU62" s="1">
        <f>[1]节奏总纲!AU62</f>
        <v>241.36018932048046</v>
      </c>
      <c r="AV62" s="1">
        <f>[1]节奏总纲!AV62</f>
        <v>181.02014199036034</v>
      </c>
      <c r="AW62" s="1">
        <f>[1]节奏总纲!AW62</f>
        <v>120.68009466024023</v>
      </c>
      <c r="AX62" s="1">
        <f>[1]节奏总纲!AX62</f>
        <v>60.340047330120115</v>
      </c>
      <c r="AZ62" s="1">
        <f>[1]节奏总纲!AZ62</f>
        <v>59</v>
      </c>
      <c r="BA62" s="1">
        <f>[1]节奏总纲!BA62</f>
        <v>34.520719236579211</v>
      </c>
      <c r="BB62" s="1">
        <f>[1]节奏总纲!BB62</f>
        <v>36.000264155774609</v>
      </c>
      <c r="BC62" s="1">
        <f>[1]节奏总纲!BC62</f>
        <v>37.922481714369241</v>
      </c>
      <c r="BD62" s="1">
        <f>[1]节奏总纲!BD62</f>
        <v>40.635186503260229</v>
      </c>
      <c r="BE62" s="1">
        <f>[1]节奏总纲!BE62</f>
        <v>45.31132052094835</v>
      </c>
      <c r="BI62" s="1">
        <f>[1]节奏总纲!BI62</f>
        <v>59</v>
      </c>
      <c r="BJ62" s="1">
        <f>[1]节奏总纲!BJ62</f>
        <v>2.8000000000000003</v>
      </c>
      <c r="BK62" s="1">
        <f>[1]节奏总纲!BK62</f>
        <v>2.8560000000000003</v>
      </c>
      <c r="BL62" s="1">
        <f>[1]节奏总纲!BL62</f>
        <v>2.9680000000000004</v>
      </c>
      <c r="BM62" s="1">
        <f>[1]节奏总纲!BM62</f>
        <v>3.1920000000000002</v>
      </c>
      <c r="BN62" s="1">
        <f>[1]节奏总纲!BN62</f>
        <v>3.92</v>
      </c>
      <c r="BP62" s="1">
        <f>[1]节奏总纲!BP62</f>
        <v>59</v>
      </c>
      <c r="BQ62" s="1">
        <f>[1]节奏总纲!BQ62</f>
        <v>111.10262975447033</v>
      </c>
      <c r="BR62" s="1">
        <f>[1]节奏总纲!BR62</f>
        <v>110.20947507564244</v>
      </c>
      <c r="BS62" s="1">
        <f>[1]节奏总纲!BS62</f>
        <v>109.25629876969376</v>
      </c>
      <c r="BT62" s="1">
        <f>[1]节奏总纲!BT62</f>
        <v>108.20567887066987</v>
      </c>
      <c r="BU62" s="1">
        <f>[1]节奏总纲!BU62</f>
        <v>107.05837602863994</v>
      </c>
      <c r="BW62" s="1">
        <f>[1]节奏总纲!BW62</f>
        <v>59</v>
      </c>
      <c r="BX62" s="1">
        <f>[1]节奏总纲!BX62</f>
        <v>34.490270152469755</v>
      </c>
      <c r="BY62" s="1">
        <f>[1]节奏总纲!BY62</f>
        <v>35.017122693980703</v>
      </c>
      <c r="BZ62" s="1">
        <f>[1]节奏总纲!BZ62</f>
        <v>35.590118732830298</v>
      </c>
      <c r="CA62" s="1">
        <f>[1]节奏总纲!CA62</f>
        <v>36.233346855347108</v>
      </c>
      <c r="CB62" s="1">
        <f>[1]节奏总纲!CB62</f>
        <v>36.948702736645387</v>
      </c>
      <c r="CC62" s="1">
        <f>[1]节奏总纲!CC62</f>
        <v>36.948702736645387</v>
      </c>
    </row>
    <row r="63" spans="6:81" x14ac:dyDescent="0.15">
      <c r="F63" s="1">
        <f>[1]节奏总纲!F63</f>
        <v>61</v>
      </c>
      <c r="G63" s="1">
        <f>[1]节奏总纲!G63</f>
        <v>67.593501602322732</v>
      </c>
      <c r="I63" s="1">
        <f>[1]节奏总纲!I63</f>
        <v>61</v>
      </c>
      <c r="J63" s="1">
        <f>[1]节奏总纲!J63</f>
        <v>2963.5631311027469</v>
      </c>
      <c r="K63" s="13">
        <f>[1]节奏总纲!K63</f>
        <v>1.26</v>
      </c>
      <c r="N63" s="1">
        <f>[1]节奏总纲!N63</f>
        <v>70</v>
      </c>
      <c r="O63" s="1">
        <f>[1]节奏总纲!O63</f>
        <v>60</v>
      </c>
      <c r="P63" s="1">
        <f>[1]节奏总纲!P63</f>
        <v>63</v>
      </c>
      <c r="Q63" s="1">
        <f>[1]节奏总纲!Q63</f>
        <v>54.589500000000001</v>
      </c>
      <c r="R63" s="1">
        <f>[1]节奏总纲!R63</f>
        <v>44.717399999999998</v>
      </c>
      <c r="S63" s="1">
        <f>[1]节奏总纲!S63</f>
        <v>32.810400000000001</v>
      </c>
      <c r="T63" s="1">
        <f>[1]节奏总纲!T63</f>
        <v>18.276300000000003</v>
      </c>
      <c r="V63" s="1">
        <f>[1]节奏总纲!V63</f>
        <v>60</v>
      </c>
      <c r="W63" s="1">
        <f>[1]节奏总纲!W63</f>
        <v>4.2858885416442973</v>
      </c>
      <c r="X63" s="1">
        <f>[1]节奏总纲!X63</f>
        <v>3.649136898730589</v>
      </c>
      <c r="Y63" s="1">
        <f>[1]节奏总纲!Y63</f>
        <v>2.9892809865466035</v>
      </c>
      <c r="Z63" s="1">
        <f>[1]节奏总纲!Z63</f>
        <v>2.2027336967591751</v>
      </c>
      <c r="AA63" s="1">
        <f>[1]节奏总纲!AA63</f>
        <v>1.2726933216601886</v>
      </c>
      <c r="AC63" s="1">
        <f>[1]节奏总纲!AC63</f>
        <v>60</v>
      </c>
      <c r="AD63" s="1">
        <f>[1]节奏总纲!AD63</f>
        <v>59.300028460644697</v>
      </c>
      <c r="AE63" s="1">
        <f>[1]节奏总纲!AE63</f>
        <v>61.330461663183208</v>
      </c>
      <c r="AF63" s="1">
        <f>[1]节奏总纲!AF63</f>
        <v>64.14304723627319</v>
      </c>
      <c r="AG63" s="1">
        <f>[1]节奏总纲!AG63</f>
        <v>68.627579426319684</v>
      </c>
      <c r="AH63" s="1">
        <f>[1]节奏总纲!AH63</f>
        <v>77.112805903056142</v>
      </c>
      <c r="AL63" s="1">
        <f>[1]节奏总纲!AL63</f>
        <v>60</v>
      </c>
      <c r="AM63" s="1">
        <f>[1]节奏总纲!AM63</f>
        <v>2559.375</v>
      </c>
      <c r="AN63" s="1">
        <f>[1]节奏总纲!AN63</f>
        <v>2047.5</v>
      </c>
      <c r="AO63" s="1">
        <f>[1]节奏总纲!AO63</f>
        <v>1535.625</v>
      </c>
      <c r="AP63" s="1">
        <f>[1]节奏总纲!AP63</f>
        <v>1023.75</v>
      </c>
      <c r="AQ63" s="1">
        <f>[1]节奏总纲!AQ63</f>
        <v>511.875</v>
      </c>
      <c r="AS63" s="1">
        <f>[1]节奏总纲!AS63</f>
        <v>60</v>
      </c>
      <c r="AT63" s="1">
        <f>[1]节奏总纲!AT63</f>
        <v>349.21443349822448</v>
      </c>
      <c r="AU63" s="1">
        <f>[1]节奏总纲!AU63</f>
        <v>279.3715467985794</v>
      </c>
      <c r="AV63" s="1">
        <f>[1]节奏总纲!AV63</f>
        <v>209.52866009893478</v>
      </c>
      <c r="AW63" s="1">
        <f>[1]节奏总纲!AW63</f>
        <v>139.6857733992897</v>
      </c>
      <c r="AX63" s="1">
        <f>[1]节奏总纲!AX63</f>
        <v>69.842886699644851</v>
      </c>
      <c r="AZ63" s="1">
        <f>[1]节奏总纲!AZ63</f>
        <v>60</v>
      </c>
      <c r="BA63" s="1">
        <f>[1]节奏总纲!BA63</f>
        <v>34.627226072894942</v>
      </c>
      <c r="BB63" s="1">
        <f>[1]节奏总纲!BB63</f>
        <v>36.105477566569242</v>
      </c>
      <c r="BC63" s="1">
        <f>[1]节奏总纲!BC63</f>
        <v>38.037513426486328</v>
      </c>
      <c r="BD63" s="1">
        <f>[1]节奏总纲!BD63</f>
        <v>40.751734485509814</v>
      </c>
      <c r="BE63" s="1">
        <f>[1]节奏总纲!BE63</f>
        <v>45.422904937058867</v>
      </c>
      <c r="BI63" s="1">
        <f>[1]节奏总纲!BI63</f>
        <v>60</v>
      </c>
      <c r="BJ63" s="1">
        <f>[1]节奏总纲!BJ63</f>
        <v>2.8333333333333335</v>
      </c>
      <c r="BK63" s="1">
        <f>[1]节奏总纲!BK63</f>
        <v>2.89</v>
      </c>
      <c r="BL63" s="1">
        <f>[1]节奏总纲!BL63</f>
        <v>3.0033333333333339</v>
      </c>
      <c r="BM63" s="1">
        <f>[1]节奏总纲!BM63</f>
        <v>3.23</v>
      </c>
      <c r="BN63" s="1">
        <f>[1]节奏总纲!BN63</f>
        <v>3.9666666666666668</v>
      </c>
      <c r="BP63" s="1">
        <f>[1]节奏总纲!BP63</f>
        <v>60</v>
      </c>
      <c r="BQ63" s="1">
        <f>[1]节奏总纲!BQ63</f>
        <v>113.21545878873063</v>
      </c>
      <c r="BR63" s="1">
        <f>[1]节奏总纲!BR63</f>
        <v>112.29538714242203</v>
      </c>
      <c r="BS63" s="1">
        <f>[1]节奏总纲!BS63</f>
        <v>111.32275250484524</v>
      </c>
      <c r="BT63" s="1">
        <f>[1]节奏总纲!BT63</f>
        <v>110.29731048917512</v>
      </c>
      <c r="BU63" s="1">
        <f>[1]节奏总纲!BU63</f>
        <v>109.19465210702913</v>
      </c>
      <c r="BW63" s="1">
        <f>[1]节奏总纲!BW63</f>
        <v>60</v>
      </c>
      <c r="BX63" s="1">
        <f>[1]节奏总纲!BX63</f>
        <v>34.946746581842135</v>
      </c>
      <c r="BY63" s="1">
        <f>[1]节奏总纲!BY63</f>
        <v>35.462275685369235</v>
      </c>
      <c r="BZ63" s="1">
        <f>[1]节奏总纲!BZ63</f>
        <v>36.065833153381824</v>
      </c>
      <c r="CA63" s="1">
        <f>[1]节奏总纲!CA63</f>
        <v>36.696861105963713</v>
      </c>
      <c r="CB63" s="1">
        <f>[1]节奏总纲!CB63</f>
        <v>37.417758642742506</v>
      </c>
      <c r="CC63" s="1">
        <f>[1]节奏总纲!CC63</f>
        <v>37.417758642742506</v>
      </c>
    </row>
    <row r="64" spans="6:81" x14ac:dyDescent="0.15">
      <c r="F64" s="1">
        <f>[1]节奏总纲!F64</f>
        <v>62</v>
      </c>
      <c r="G64" s="1">
        <f>[1]节奏总纲!G64</f>
        <v>72.516694719810218</v>
      </c>
      <c r="I64" s="1">
        <f>[1]节奏总纲!I64</f>
        <v>62</v>
      </c>
      <c r="J64" s="1">
        <f>[1]节奏总纲!J64</f>
        <v>3431.3522956038646</v>
      </c>
      <c r="K64" s="13">
        <f>[1]节奏总纲!K64</f>
        <v>1.27</v>
      </c>
      <c r="N64" s="1">
        <f>[1]节奏总纲!N64</f>
        <v>71</v>
      </c>
      <c r="O64" s="1">
        <f>[1]节奏总纲!O64</f>
        <v>61</v>
      </c>
      <c r="P64" s="1">
        <f>[1]节奏总纲!P64</f>
        <v>67.593501602322732</v>
      </c>
      <c r="Q64" s="1">
        <f>[1]节奏总纲!Q64</f>
        <v>58.596806539053574</v>
      </c>
      <c r="R64" s="1">
        <f>[1]节奏总纲!R64</f>
        <v>47.977867437328676</v>
      </c>
      <c r="S64" s="1">
        <f>[1]节奏总纲!S64</f>
        <v>35.229733035130607</v>
      </c>
      <c r="T64" s="1">
        <f>[1]节奏总纲!T64</f>
        <v>19.602115464673592</v>
      </c>
      <c r="V64" s="1">
        <f>[1]节奏总纲!V64</f>
        <v>61</v>
      </c>
      <c r="W64" s="1">
        <f>[1]节奏总纲!W64</f>
        <v>4.593501602322732</v>
      </c>
      <c r="X64" s="1">
        <f>[1]节奏总纲!X64</f>
        <v>4.0073065390535731</v>
      </c>
      <c r="Y64" s="1">
        <f>[1]节奏总纲!Y64</f>
        <v>3.2604674373286784</v>
      </c>
      <c r="Z64" s="1">
        <f>[1]节奏总纲!Z64</f>
        <v>2.4193330351306059</v>
      </c>
      <c r="AA64" s="1">
        <f>[1]节奏总纲!AA64</f>
        <v>1.3258154646735889</v>
      </c>
      <c r="AC64" s="1">
        <f>[1]节奏总纲!AC64</f>
        <v>61</v>
      </c>
      <c r="AD64" s="1">
        <f>[1]节奏总纲!AD64</f>
        <v>59.533352307096465</v>
      </c>
      <c r="AE64" s="1">
        <f>[1]节奏总纲!AE64</f>
        <v>61.56596850695108</v>
      </c>
      <c r="AF64" s="1">
        <f>[1]节奏总纲!AF64</f>
        <v>64.368413367596901</v>
      </c>
      <c r="AG64" s="1">
        <f>[1]节奏总纲!AG64</f>
        <v>68.870150553250454</v>
      </c>
      <c r="AH64" s="1">
        <f>[1]节奏总纲!AH64</f>
        <v>77.355745991356301</v>
      </c>
      <c r="AL64" s="1">
        <f>[1]节奏总纲!AL64</f>
        <v>61</v>
      </c>
      <c r="AM64" s="1">
        <f>[1]节奏总纲!AM64</f>
        <v>2963.5631311027469</v>
      </c>
      <c r="AN64" s="1">
        <f>[1]节奏总纲!AN64</f>
        <v>2370.8505048821976</v>
      </c>
      <c r="AO64" s="1">
        <f>[1]节奏总纲!AO64</f>
        <v>1778.1378786616481</v>
      </c>
      <c r="AP64" s="1">
        <f>[1]节奏总纲!AP64</f>
        <v>1185.4252524410988</v>
      </c>
      <c r="AQ64" s="1">
        <f>[1]节奏总纲!AQ64</f>
        <v>592.7126262205494</v>
      </c>
      <c r="AS64" s="1">
        <f>[1]节奏总纲!AS64</f>
        <v>61</v>
      </c>
      <c r="AT64" s="1">
        <f>[1]节奏总纲!AT64</f>
        <v>404.18813110274687</v>
      </c>
      <c r="AU64" s="1">
        <f>[1]节奏总纲!AU64</f>
        <v>323.35050488219758</v>
      </c>
      <c r="AV64" s="1">
        <f>[1]节奏总纲!AV64</f>
        <v>242.51287866164807</v>
      </c>
      <c r="AW64" s="1">
        <f>[1]节奏总纲!AW64</f>
        <v>161.67525244109879</v>
      </c>
      <c r="AX64" s="1">
        <f>[1]节奏总纲!AX64</f>
        <v>80.837626220549396</v>
      </c>
      <c r="AZ64" s="1">
        <f>[1]节奏总纲!AZ64</f>
        <v>61</v>
      </c>
      <c r="BA64" s="1">
        <f>[1]节奏总纲!BA64</f>
        <v>34.733732909210673</v>
      </c>
      <c r="BB64" s="1">
        <f>[1]节奏总纲!BB64</f>
        <v>36.210690977363875</v>
      </c>
      <c r="BC64" s="1">
        <f>[1]节奏总纲!BC64</f>
        <v>38.14189763688286</v>
      </c>
      <c r="BD64" s="1">
        <f>[1]节奏总纲!BD64</f>
        <v>40.8682824677594</v>
      </c>
      <c r="BE64" s="1">
        <f>[1]节奏总纲!BE64</f>
        <v>45.534489353169384</v>
      </c>
      <c r="BI64" s="1">
        <f>[1]节奏总纲!BI64</f>
        <v>61</v>
      </c>
      <c r="BJ64" s="1">
        <f>[1]节奏总纲!BJ64</f>
        <v>2.8666666666666667</v>
      </c>
      <c r="BK64" s="1">
        <f>[1]节奏总纲!BK64</f>
        <v>2.9239999999999999</v>
      </c>
      <c r="BL64" s="1">
        <f>[1]节奏总纲!BL64</f>
        <v>3.0386666666666668</v>
      </c>
      <c r="BM64" s="1">
        <f>[1]节奏总纲!BM64</f>
        <v>3.2679999999999998</v>
      </c>
      <c r="BN64" s="1">
        <f>[1]节奏总纲!BN64</f>
        <v>4.0133333333333328</v>
      </c>
      <c r="BP64" s="1">
        <f>[1]节奏总纲!BP64</f>
        <v>61</v>
      </c>
      <c r="BQ64" s="1">
        <f>[1]节奏总纲!BQ64</f>
        <v>115.32833539528137</v>
      </c>
      <c r="BR64" s="1">
        <f>[1]节奏总纲!BR64</f>
        <v>114.41842394774007</v>
      </c>
      <c r="BS64" s="1">
        <f>[1]节奏总纲!BS64</f>
        <v>113.42974477170841</v>
      </c>
      <c r="BT64" s="1">
        <f>[1]节奏总纲!BT64</f>
        <v>112.37441833838224</v>
      </c>
      <c r="BU64" s="1">
        <f>[1]节奏总纲!BU64</f>
        <v>111.23877737165789</v>
      </c>
      <c r="BW64" s="1">
        <f>[1]节奏总纲!BW64</f>
        <v>61</v>
      </c>
      <c r="BX64" s="1">
        <f>[1]节奏总纲!BX64</f>
        <v>35.39948832484999</v>
      </c>
      <c r="BY64" s="1">
        <f>[1]节奏总纲!BY64</f>
        <v>35.951121278937144</v>
      </c>
      <c r="BZ64" s="1">
        <f>[1]节奏总纲!BZ64</f>
        <v>36.523226353203405</v>
      </c>
      <c r="CA64" s="1">
        <f>[1]节奏总纲!CA64</f>
        <v>37.177648787597903</v>
      </c>
      <c r="CB64" s="1">
        <f>[1]节奏总纲!CB64</f>
        <v>37.899048700813722</v>
      </c>
      <c r="CC64" s="1">
        <f>[1]节奏总纲!CC64</f>
        <v>37.899048700813722</v>
      </c>
    </row>
    <row r="65" spans="6:81" x14ac:dyDescent="0.15">
      <c r="F65" s="1">
        <f>[1]节奏总纲!F65</f>
        <v>63</v>
      </c>
      <c r="G65" s="1">
        <f>[1]节奏总纲!G65</f>
        <v>77.793242454074615</v>
      </c>
      <c r="I65" s="1">
        <f>[1]节奏总纲!I65</f>
        <v>63</v>
      </c>
      <c r="J65" s="1">
        <f>[1]节奏总纲!J65</f>
        <v>3972.7200361130153</v>
      </c>
      <c r="K65" s="13">
        <f>[1]节奏总纲!K65</f>
        <v>1.28</v>
      </c>
      <c r="N65" s="1">
        <f>[1]节奏总纲!N65</f>
        <v>72</v>
      </c>
      <c r="O65" s="1">
        <f>[1]节奏总纲!O65</f>
        <v>62</v>
      </c>
      <c r="P65" s="1">
        <f>[1]节奏总纲!P65</f>
        <v>72.516694719810218</v>
      </c>
      <c r="Q65" s="1">
        <f>[1]节奏总纲!Q65</f>
        <v>62.842967644187539</v>
      </c>
      <c r="R65" s="1">
        <f>[1]节奏总纲!R65</f>
        <v>51.5086082594812</v>
      </c>
      <c r="S65" s="1">
        <f>[1]节奏总纲!S65</f>
        <v>37.846462974268952</v>
      </c>
      <c r="T65" s="1">
        <f>[1]节奏总纲!T65</f>
        <v>21.124113171880715</v>
      </c>
      <c r="V65" s="1">
        <f>[1]节奏总纲!V65</f>
        <v>62</v>
      </c>
      <c r="W65" s="1">
        <f>[1]节奏总纲!W65</f>
        <v>4.9231931174874859</v>
      </c>
      <c r="X65" s="1">
        <f>[1]节奏总纲!X65</f>
        <v>4.2461611051339645</v>
      </c>
      <c r="Y65" s="1">
        <f>[1]节奏总纲!Y65</f>
        <v>3.5307408221525236</v>
      </c>
      <c r="Z65" s="1">
        <f>[1]节奏总纲!Z65</f>
        <v>2.6167299391383452</v>
      </c>
      <c r="AA65" s="1">
        <f>[1]节奏总纲!AA65</f>
        <v>1.5219977072071238</v>
      </c>
      <c r="AC65" s="1">
        <f>[1]节奏总纲!AC65</f>
        <v>62</v>
      </c>
      <c r="AD65" s="1">
        <f>[1]节奏总纲!AD65</f>
        <v>59.766676153548232</v>
      </c>
      <c r="AE65" s="1">
        <f>[1]节奏总纲!AE65</f>
        <v>61.801475350718952</v>
      </c>
      <c r="AF65" s="1">
        <f>[1]节奏总纲!AF65</f>
        <v>64.593779498920611</v>
      </c>
      <c r="AG65" s="1">
        <f>[1]节奏总纲!AG65</f>
        <v>69.105843627521551</v>
      </c>
      <c r="AH65" s="1">
        <f>[1]节奏总纲!AH65</f>
        <v>77.59868607965646</v>
      </c>
      <c r="AL65" s="1">
        <f>[1]节奏总纲!AL65</f>
        <v>62</v>
      </c>
      <c r="AM65" s="1">
        <f>[1]节奏总纲!AM65</f>
        <v>3431.3522956038646</v>
      </c>
      <c r="AN65" s="1">
        <f>[1]节奏总纲!AN65</f>
        <v>2745.081836483092</v>
      </c>
      <c r="AO65" s="1">
        <f>[1]节奏总纲!AO65</f>
        <v>2058.8113773623186</v>
      </c>
      <c r="AP65" s="1">
        <f>[1]节奏总纲!AP65</f>
        <v>1372.540918241546</v>
      </c>
      <c r="AQ65" s="1">
        <f>[1]节奏总纲!AQ65</f>
        <v>686.27045912077301</v>
      </c>
      <c r="AS65" s="1">
        <f>[1]节奏总纲!AS65</f>
        <v>62</v>
      </c>
      <c r="AT65" s="1">
        <f>[1]节奏总纲!AT65</f>
        <v>467.78916450111774</v>
      </c>
      <c r="AU65" s="1">
        <f>[1]节奏总纲!AU65</f>
        <v>374.23133160089446</v>
      </c>
      <c r="AV65" s="1">
        <f>[1]节奏总纲!AV65</f>
        <v>280.67349870067051</v>
      </c>
      <c r="AW65" s="1">
        <f>[1]节奏总纲!AW65</f>
        <v>187.11566580044723</v>
      </c>
      <c r="AX65" s="1">
        <f>[1]节奏总纲!AX65</f>
        <v>93.557832900223616</v>
      </c>
      <c r="AZ65" s="1">
        <f>[1]节奏总纲!AZ65</f>
        <v>62</v>
      </c>
      <c r="BA65" s="1">
        <f>[1]节奏总纲!BA65</f>
        <v>34.840239745526404</v>
      </c>
      <c r="BB65" s="1">
        <f>[1]节奏总纲!BB65</f>
        <v>36.315904388158508</v>
      </c>
      <c r="BC65" s="1">
        <f>[1]节奏总纲!BC65</f>
        <v>38.246281847279398</v>
      </c>
      <c r="BD65" s="1">
        <f>[1]节奏总纲!BD65</f>
        <v>40.984830450008978</v>
      </c>
      <c r="BE65" s="1">
        <f>[1]节奏总纲!BE65</f>
        <v>45.646073769279901</v>
      </c>
      <c r="BI65" s="1">
        <f>[1]节奏总纲!BI65</f>
        <v>62</v>
      </c>
      <c r="BJ65" s="1">
        <f>[1]节奏总纲!BJ65</f>
        <v>2.9</v>
      </c>
      <c r="BK65" s="1">
        <f>[1]节奏总纲!BK65</f>
        <v>2.9579999999999997</v>
      </c>
      <c r="BL65" s="1">
        <f>[1]节奏总纲!BL65</f>
        <v>3.0739999999999998</v>
      </c>
      <c r="BM65" s="1">
        <f>[1]节奏总纲!BM65</f>
        <v>3.3059999999999996</v>
      </c>
      <c r="BN65" s="1">
        <f>[1]节奏总纲!BN65</f>
        <v>4.0599999999999996</v>
      </c>
      <c r="BP65" s="1">
        <f>[1]节奏总纲!BP65</f>
        <v>62</v>
      </c>
      <c r="BQ65" s="1">
        <f>[1]节奏总纲!BQ65</f>
        <v>117.44125295293078</v>
      </c>
      <c r="BR65" s="1">
        <f>[1]节奏总纲!BR65</f>
        <v>116.57008716694446</v>
      </c>
      <c r="BS65" s="1">
        <f>[1]节奏总纲!BS65</f>
        <v>115.63935175516689</v>
      </c>
      <c r="BT65" s="1">
        <f>[1]节奏总纲!BT65</f>
        <v>114.60606674176169</v>
      </c>
      <c r="BU65" s="1">
        <f>[1]节奏总纲!BU65</f>
        <v>113.4549371467006</v>
      </c>
      <c r="BW65" s="1">
        <f>[1]节奏总纲!BW65</f>
        <v>62</v>
      </c>
      <c r="BX65" s="1">
        <f>[1]节奏总纲!BX65</f>
        <v>35.879946954767739</v>
      </c>
      <c r="BY65" s="1">
        <f>[1]节奏总纲!BY65</f>
        <v>36.404595889192997</v>
      </c>
      <c r="BZ65" s="1">
        <f>[1]节奏总纲!BZ65</f>
        <v>37.015987444264518</v>
      </c>
      <c r="CA65" s="1">
        <f>[1]节奏总纲!CA65</f>
        <v>37.65260406528229</v>
      </c>
      <c r="CB65" s="1">
        <f>[1]节奏总纲!CB65</f>
        <v>38.389532424015663</v>
      </c>
      <c r="CC65" s="1">
        <f>[1]节奏总纲!CC65</f>
        <v>38.389532424015663</v>
      </c>
    </row>
    <row r="66" spans="6:81" x14ac:dyDescent="0.15">
      <c r="F66" s="1">
        <f>[1]节奏总纲!F66</f>
        <v>64</v>
      </c>
      <c r="G66" s="1">
        <f>[1]节奏总纲!G66</f>
        <v>83.4485062894652</v>
      </c>
      <c r="I66" s="1">
        <f>[1]节奏总纲!I66</f>
        <v>64</v>
      </c>
      <c r="J66" s="1">
        <f>[1]节奏总纲!J66</f>
        <v>4599.2048883665893</v>
      </c>
      <c r="K66" s="13">
        <f>[1]节奏总纲!K66</f>
        <v>1.29</v>
      </c>
      <c r="N66" s="1">
        <f>[1]节奏总纲!N66</f>
        <v>73</v>
      </c>
      <c r="O66" s="1">
        <f>[1]节奏总纲!O66</f>
        <v>63</v>
      </c>
      <c r="P66" s="1">
        <f>[1]节奏总纲!P66</f>
        <v>77.793242454074615</v>
      </c>
      <c r="Q66" s="1">
        <f>[1]节奏总纲!Q66</f>
        <v>67.470079180418907</v>
      </c>
      <c r="R66" s="1">
        <f>[1]节奏总纲!R66</f>
        <v>55.27987808786542</v>
      </c>
      <c r="S66" s="1">
        <f>[1]节奏总纲!S66</f>
        <v>40.678086479235617</v>
      </c>
      <c r="T66" s="1">
        <f>[1]节奏总纲!T66</f>
        <v>22.700068148098975</v>
      </c>
      <c r="V66" s="1">
        <f>[1]节奏总纲!V66</f>
        <v>63</v>
      </c>
      <c r="W66" s="1">
        <f>[1]节奏总纲!W66</f>
        <v>5.2765477342643976</v>
      </c>
      <c r="X66" s="1">
        <f>[1]节奏总纲!X66</f>
        <v>4.6271115362313679</v>
      </c>
      <c r="Y66" s="1">
        <f>[1]节奏总纲!Y66</f>
        <v>3.7712698283842201</v>
      </c>
      <c r="Z66" s="1">
        <f>[1]节奏总纲!Z66</f>
        <v>2.8316235049666645</v>
      </c>
      <c r="AA66" s="1">
        <f>[1]节奏总纲!AA66</f>
        <v>1.5759549762182594</v>
      </c>
      <c r="AC66" s="1">
        <f>[1]节奏总纲!AC66</f>
        <v>63</v>
      </c>
      <c r="AD66" s="1">
        <f>[1]节奏总纲!AD66</f>
        <v>60</v>
      </c>
      <c r="AE66" s="1">
        <f>[1]节奏总纲!AE66</f>
        <v>62.033937447710706</v>
      </c>
      <c r="AF66" s="1">
        <f>[1]节奏总纲!AF66</f>
        <v>64.819145630244321</v>
      </c>
      <c r="AG66" s="1">
        <f>[1]节奏总纲!AG66</f>
        <v>69.333613546893503</v>
      </c>
      <c r="AH66" s="1">
        <f>[1]节奏总纲!AH66</f>
        <v>77.841626167956619</v>
      </c>
      <c r="AL66" s="1">
        <f>[1]节奏总纲!AL66</f>
        <v>63</v>
      </c>
      <c r="AM66" s="1">
        <f>[1]节奏总纲!AM66</f>
        <v>3972.7200361130153</v>
      </c>
      <c r="AN66" s="1">
        <f>[1]节奏总纲!AN66</f>
        <v>3178.1760288904125</v>
      </c>
      <c r="AO66" s="1">
        <f>[1]节奏总纲!AO66</f>
        <v>2383.6320216678091</v>
      </c>
      <c r="AP66" s="1">
        <f>[1]节奏总纲!AP66</f>
        <v>1589.0880144452062</v>
      </c>
      <c r="AQ66" s="1">
        <f>[1]节奏总纲!AQ66</f>
        <v>794.54400722260311</v>
      </c>
      <c r="AS66" s="1">
        <f>[1]节奏总纲!AS66</f>
        <v>63</v>
      </c>
      <c r="AT66" s="1">
        <f>[1]节奏总纲!AT66</f>
        <v>541.36774050915074</v>
      </c>
      <c r="AU66" s="1">
        <f>[1]节奏总纲!AU66</f>
        <v>433.09419240732041</v>
      </c>
      <c r="AV66" s="1">
        <f>[1]节奏总纲!AV66</f>
        <v>324.82064430549053</v>
      </c>
      <c r="AW66" s="1">
        <f>[1]节奏总纲!AW66</f>
        <v>216.5470962036602</v>
      </c>
      <c r="AX66" s="1">
        <f>[1]节奏总纲!AX66</f>
        <v>108.2735481018301</v>
      </c>
      <c r="AZ66" s="1">
        <f>[1]节奏总纲!AZ66</f>
        <v>63</v>
      </c>
      <c r="BA66" s="1">
        <f>[1]节奏总纲!BA66</f>
        <v>34.946746581842135</v>
      </c>
      <c r="BB66" s="1">
        <f>[1]节奏总纲!BB66</f>
        <v>36.421117798953141</v>
      </c>
      <c r="BC66" s="1">
        <f>[1]节奏总纲!BC66</f>
        <v>38.35066605767593</v>
      </c>
      <c r="BD66" s="1">
        <f>[1]节奏总纲!BD66</f>
        <v>41.087476216725996</v>
      </c>
      <c r="BE66" s="1">
        <f>[1]节奏总纲!BE66</f>
        <v>45.757658185390426</v>
      </c>
      <c r="BI66" s="1">
        <f>[1]节奏总纲!BI66</f>
        <v>63</v>
      </c>
      <c r="BJ66" s="1">
        <f>[1]节奏总纲!BJ66</f>
        <v>2.9333333333333331</v>
      </c>
      <c r="BK66" s="1">
        <f>[1]节奏总纲!BK66</f>
        <v>2.992</v>
      </c>
      <c r="BL66" s="1">
        <f>[1]节奏总纲!BL66</f>
        <v>3.1093333333333333</v>
      </c>
      <c r="BM66" s="1">
        <f>[1]节奏总纲!BM66</f>
        <v>3.3439999999999994</v>
      </c>
      <c r="BN66" s="1">
        <f>[1]节奏总纲!BN66</f>
        <v>4.1066666666666665</v>
      </c>
      <c r="BP66" s="1">
        <f>[1]节奏总纲!BP66</f>
        <v>63</v>
      </c>
      <c r="BQ66" s="1">
        <f>[1]节奏总纲!BQ66</f>
        <v>119.55420575752977</v>
      </c>
      <c r="BR66" s="1">
        <f>[1]节奏总纲!BR66</f>
        <v>118.67207694028556</v>
      </c>
      <c r="BS66" s="1">
        <f>[1]节奏总纲!BS66</f>
        <v>117.73975971101574</v>
      </c>
      <c r="BT66" s="1">
        <f>[1]节奏总纲!BT66</f>
        <v>116.73393678080937</v>
      </c>
      <c r="BU66" s="1">
        <f>[1]节奏总纲!BU66</f>
        <v>115.65492353979617</v>
      </c>
      <c r="BW66" s="1">
        <f>[1]节奏总纲!BW66</f>
        <v>63</v>
      </c>
      <c r="BX66" s="1">
        <f>[1]节奏总纲!BX66</f>
        <v>36.340586819184892</v>
      </c>
      <c r="BY66" s="1">
        <f>[1]节奏总纲!BY66</f>
        <v>36.891430076047094</v>
      </c>
      <c r="BZ66" s="1">
        <f>[1]节奏总纲!BZ66</f>
        <v>37.472329150700546</v>
      </c>
      <c r="CA66" s="1">
        <f>[1]节奏总纲!CA66</f>
        <v>38.143685709059689</v>
      </c>
      <c r="CB66" s="1">
        <f>[1]节奏总纲!CB66</f>
        <v>38.883046871454752</v>
      </c>
      <c r="CC66" s="1">
        <f>[1]节奏总纲!CC66</f>
        <v>38.883046871454752</v>
      </c>
    </row>
    <row r="67" spans="6:81" x14ac:dyDescent="0.15">
      <c r="F67" s="1">
        <f>[1]节奏总纲!F67</f>
        <v>65</v>
      </c>
      <c r="G67" s="1">
        <f>[1]节奏总纲!G67</f>
        <v>89.509667991878061</v>
      </c>
      <c r="I67" s="1">
        <f>[1]节奏总纲!I67</f>
        <v>65</v>
      </c>
      <c r="J67" s="1">
        <f>[1]节奏总纲!J67</f>
        <v>5324.1500000000005</v>
      </c>
      <c r="K67" s="13">
        <f>[1]节奏总纲!K67</f>
        <v>1.3</v>
      </c>
      <c r="N67" s="1">
        <f>[1]节奏总纲!N67</f>
        <v>74</v>
      </c>
      <c r="O67" s="1">
        <f>[1]节奏总纲!O67</f>
        <v>64</v>
      </c>
      <c r="P67" s="1">
        <f>[1]节奏总纲!P67</f>
        <v>83.4485062894652</v>
      </c>
      <c r="Q67" s="1">
        <f>[1]节奏总纲!Q67</f>
        <v>72.399924056740005</v>
      </c>
      <c r="R67" s="1">
        <f>[1]节奏总纲!R67</f>
        <v>59.365267374325548</v>
      </c>
      <c r="S67" s="1">
        <f>[1]节奏总纲!S67</f>
        <v>43.718672445050821</v>
      </c>
      <c r="T67" s="1">
        <f>[1]节奏总纲!T67</f>
        <v>24.341929284637001</v>
      </c>
      <c r="V67" s="1">
        <f>[1]节奏总纲!V67</f>
        <v>64</v>
      </c>
      <c r="W67" s="1">
        <f>[1]节奏总纲!W67</f>
        <v>5.6552638353905849</v>
      </c>
      <c r="X67" s="1">
        <f>[1]节奏总纲!X67</f>
        <v>4.9298448763210985</v>
      </c>
      <c r="Y67" s="1">
        <f>[1]节奏总纲!Y67</f>
        <v>4.0853892864601278</v>
      </c>
      <c r="Z67" s="1">
        <f>[1]节奏总纲!Z67</f>
        <v>3.0405859658152039</v>
      </c>
      <c r="AA67" s="1">
        <f>[1]节奏总纲!AA67</f>
        <v>1.6418611365380258</v>
      </c>
      <c r="AC67" s="1">
        <f>[1]节奏总纲!AC67</f>
        <v>64</v>
      </c>
      <c r="AD67" s="1">
        <f>[1]节奏总纲!AD67</f>
        <v>60.217698846451768</v>
      </c>
      <c r="AE67" s="1">
        <f>[1]节奏总纲!AE67</f>
        <v>62.250054995811666</v>
      </c>
      <c r="AF67" s="1">
        <f>[1]节奏总纲!AF67</f>
        <v>65.042129882798193</v>
      </c>
      <c r="AG67" s="1">
        <f>[1]节奏总纲!AG67</f>
        <v>69.56138346626544</v>
      </c>
      <c r="AH67" s="1">
        <f>[1]节奏总纲!AH67</f>
        <v>78.077870469399883</v>
      </c>
      <c r="AL67" s="1">
        <f>[1]节奏总纲!AL67</f>
        <v>64</v>
      </c>
      <c r="AM67" s="1">
        <f>[1]节奏总纲!AM67</f>
        <v>4599.2048883665893</v>
      </c>
      <c r="AN67" s="1">
        <f>[1]节奏总纲!AN67</f>
        <v>3679.3639106932715</v>
      </c>
      <c r="AO67" s="1">
        <f>[1]节奏总纲!AO67</f>
        <v>2759.5229330199536</v>
      </c>
      <c r="AP67" s="1">
        <f>[1]节奏总纲!AP67</f>
        <v>1839.6819553466357</v>
      </c>
      <c r="AQ67" s="1">
        <f>[1]节奏总纲!AQ67</f>
        <v>919.84097767331787</v>
      </c>
      <c r="AS67" s="1">
        <f>[1]节奏总纲!AS67</f>
        <v>64</v>
      </c>
      <c r="AT67" s="1">
        <f>[1]节奏总纲!AT67</f>
        <v>626.48485225357399</v>
      </c>
      <c r="AU67" s="1">
        <f>[1]节奏总纲!AU67</f>
        <v>501.18788180285901</v>
      </c>
      <c r="AV67" s="1">
        <f>[1]节奏总纲!AV67</f>
        <v>375.89091135214449</v>
      </c>
      <c r="AW67" s="1">
        <f>[1]节奏总纲!AW67</f>
        <v>250.59394090142951</v>
      </c>
      <c r="AX67" s="1">
        <f>[1]节奏总纲!AX67</f>
        <v>125.29697045071475</v>
      </c>
      <c r="AZ67" s="1">
        <f>[1]节奏总纲!AZ67</f>
        <v>64</v>
      </c>
      <c r="BA67" s="1">
        <f>[1]节奏总纲!BA67</f>
        <v>35.048795427931836</v>
      </c>
      <c r="BB67" s="1">
        <f>[1]节奏总纲!BB67</f>
        <v>36.526331209747774</v>
      </c>
      <c r="BC67" s="1">
        <f>[1]节奏总纲!BC67</f>
        <v>38.455050268072462</v>
      </c>
      <c r="BD67" s="1">
        <f>[1]节奏总纲!BD67</f>
        <v>41.188041754455355</v>
      </c>
      <c r="BE67" s="1">
        <f>[1]节奏总纲!BE67</f>
        <v>45.869242601500943</v>
      </c>
      <c r="BI67" s="1">
        <f>[1]节奏总纲!BI67</f>
        <v>64</v>
      </c>
      <c r="BJ67" s="1">
        <f>[1]节奏总纲!BJ67</f>
        <v>2.9666666666666663</v>
      </c>
      <c r="BK67" s="1">
        <f>[1]节奏总纲!BK67</f>
        <v>3.0259999999999998</v>
      </c>
      <c r="BL67" s="1">
        <f>[1]节奏总纲!BL67</f>
        <v>3.1446666666666663</v>
      </c>
      <c r="BM67" s="1">
        <f>[1]节奏总纲!BM67</f>
        <v>3.3819999999999992</v>
      </c>
      <c r="BN67" s="1">
        <f>[1]节奏总纲!BN67</f>
        <v>4.1533333333333324</v>
      </c>
      <c r="BP67" s="1">
        <f>[1]节奏总纲!BP67</f>
        <v>64</v>
      </c>
      <c r="BQ67" s="1">
        <f>[1]节奏总纲!BQ67</f>
        <v>121.66718889550316</v>
      </c>
      <c r="BR67" s="1">
        <f>[1]节奏总纲!BR67</f>
        <v>120.7875236036714</v>
      </c>
      <c r="BS67" s="1">
        <f>[1]节奏总纲!BS67</f>
        <v>119.82684914766305</v>
      </c>
      <c r="BT67" s="1">
        <f>[1]节奏总纲!BT67</f>
        <v>118.81193261353252</v>
      </c>
      <c r="BU67" s="1">
        <f>[1]节奏总纲!BU67</f>
        <v>117.74192085001619</v>
      </c>
      <c r="BW67" s="1">
        <f>[1]节奏总纲!BW67</f>
        <v>64</v>
      </c>
      <c r="BX67" s="1">
        <f>[1]节奏总纲!BX67</f>
        <v>36.816594496836878</v>
      </c>
      <c r="BY67" s="1">
        <f>[1]节奏总纲!BY67</f>
        <v>37.353752318195028</v>
      </c>
      <c r="BZ67" s="1">
        <f>[1]节奏总纲!BZ67</f>
        <v>37.96668081559784</v>
      </c>
      <c r="CA67" s="1">
        <f>[1]节奏总纲!CA67</f>
        <v>38.619769456836295</v>
      </c>
      <c r="CB67" s="1">
        <f>[1]节奏总纲!CB67</f>
        <v>39.342673018124934</v>
      </c>
      <c r="CC67" s="1">
        <f>[1]节奏总纲!CC67</f>
        <v>39.342673018124934</v>
      </c>
    </row>
    <row r="68" spans="6:81" x14ac:dyDescent="0.15">
      <c r="F68" s="1">
        <f>[1]节奏总纲!F68</f>
        <v>66</v>
      </c>
      <c r="G68" s="1">
        <f>[1]节奏总纲!G68</f>
        <v>96.005860256665443</v>
      </c>
      <c r="I68" s="1">
        <f>[1]节奏总纲!I68</f>
        <v>66</v>
      </c>
      <c r="J68" s="1">
        <f>[1]节奏总纲!J68</f>
        <v>6162.9846853088866</v>
      </c>
      <c r="K68" s="13">
        <f>[1]节奏总纲!K68</f>
        <v>1.31</v>
      </c>
      <c r="N68" s="1">
        <f>[1]节奏总纲!N68</f>
        <v>75</v>
      </c>
      <c r="O68" s="1">
        <f>[1]节奏总纲!O68</f>
        <v>65</v>
      </c>
      <c r="P68" s="1">
        <f>[1]节奏总纲!P68</f>
        <v>89.509667991878061</v>
      </c>
      <c r="Q68" s="1">
        <f>[1]节奏总纲!Q68</f>
        <v>77.64963698295422</v>
      </c>
      <c r="R68" s="1">
        <f>[1]节奏总纲!R68</f>
        <v>63.802491344610679</v>
      </c>
      <c r="S68" s="1">
        <f>[1]节奏总纲!S68</f>
        <v>46.929918928141667</v>
      </c>
      <c r="T68" s="1">
        <f>[1]节奏总纲!T68</f>
        <v>25.993607584841389</v>
      </c>
      <c r="V68" s="1">
        <f>[1]节奏总纲!V68</f>
        <v>65</v>
      </c>
      <c r="W68" s="1">
        <f>[1]节奏总纲!W68</f>
        <v>6.0611617024128606</v>
      </c>
      <c r="X68" s="1">
        <f>[1]节奏总纲!X68</f>
        <v>5.2497129262142153</v>
      </c>
      <c r="Y68" s="1">
        <f>[1]节奏总纲!Y68</f>
        <v>4.4372239702851317</v>
      </c>
      <c r="Z68" s="1">
        <f>[1]节奏总纲!Z68</f>
        <v>3.2112464830908465</v>
      </c>
      <c r="AA68" s="1">
        <f>[1]节奏总纲!AA68</f>
        <v>1.651678300204388</v>
      </c>
      <c r="AC68" s="1">
        <f>[1]节奏总纲!AC68</f>
        <v>65</v>
      </c>
      <c r="AD68" s="1">
        <f>[1]节奏总纲!AD68</f>
        <v>60.435397692903535</v>
      </c>
      <c r="AE68" s="1">
        <f>[1]节奏总纲!AE68</f>
        <v>62.466172543912634</v>
      </c>
      <c r="AF68" s="1">
        <f>[1]节奏总纲!AF68</f>
        <v>65.255436396961542</v>
      </c>
      <c r="AG68" s="1">
        <f>[1]节奏总纲!AG68</f>
        <v>69.789153385637391</v>
      </c>
      <c r="AH68" s="1">
        <f>[1]节奏总纲!AH68</f>
        <v>78.301575047908599</v>
      </c>
      <c r="AL68" s="1">
        <f>[1]节奏总纲!AL68</f>
        <v>65</v>
      </c>
      <c r="AM68" s="1">
        <f>[1]节奏总纲!AM68</f>
        <v>5324.1500000000005</v>
      </c>
      <c r="AN68" s="1">
        <f>[1]节奏总纲!AN68</f>
        <v>4259.3200000000006</v>
      </c>
      <c r="AO68" s="1">
        <f>[1]节奏总纲!AO68</f>
        <v>3194.4900000000002</v>
      </c>
      <c r="AP68" s="1">
        <f>[1]节奏总纲!AP68</f>
        <v>2129.6600000000003</v>
      </c>
      <c r="AQ68" s="1">
        <f>[1]节奏总纲!AQ68</f>
        <v>1064.8300000000002</v>
      </c>
      <c r="AS68" s="1">
        <f>[1]节奏总纲!AS68</f>
        <v>65</v>
      </c>
      <c r="AT68" s="1">
        <f>[1]节奏总纲!AT68</f>
        <v>724.94511163341122</v>
      </c>
      <c r="AU68" s="1">
        <f>[1]节奏总纲!AU68</f>
        <v>579.95608930672915</v>
      </c>
      <c r="AV68" s="1">
        <f>[1]节奏总纲!AV68</f>
        <v>434.96706698004664</v>
      </c>
      <c r="AW68" s="1">
        <f>[1]节奏总纲!AW68</f>
        <v>289.97804465336458</v>
      </c>
      <c r="AX68" s="1">
        <f>[1]节奏总纲!AX68</f>
        <v>144.98902232668229</v>
      </c>
      <c r="AZ68" s="1">
        <f>[1]节奏总纲!AZ68</f>
        <v>65</v>
      </c>
      <c r="BA68" s="1">
        <f>[1]节奏总纲!BA68</f>
        <v>35.146386283795508</v>
      </c>
      <c r="BB68" s="1">
        <f>[1]节奏总纲!BB68</f>
        <v>36.631544620542407</v>
      </c>
      <c r="BC68" s="1">
        <f>[1]节奏总纲!BC68</f>
        <v>38.559434478468994</v>
      </c>
      <c r="BD68" s="1">
        <f>[1]节奏总纲!BD68</f>
        <v>41.288607292184714</v>
      </c>
      <c r="BE68" s="1">
        <f>[1]节奏总纲!BE68</f>
        <v>45.98082701761146</v>
      </c>
      <c r="BI68" s="1">
        <f>[1]节奏总纲!BI68</f>
        <v>65</v>
      </c>
      <c r="BJ68" s="1">
        <f>[1]节奏总纲!BJ68</f>
        <v>2.9999999999999996</v>
      </c>
      <c r="BK68" s="1">
        <f>[1]节奏总纲!BK68</f>
        <v>3.0599999999999996</v>
      </c>
      <c r="BL68" s="1">
        <f>[1]节奏总纲!BL68</f>
        <v>3.1799999999999997</v>
      </c>
      <c r="BM68" s="1">
        <f>[1]节奏总纲!BM68</f>
        <v>3.419999999999999</v>
      </c>
      <c r="BN68" s="1">
        <f>[1]节奏总纲!BN68</f>
        <v>4.1999999999999993</v>
      </c>
      <c r="BP68" s="1">
        <f>[1]节奏总纲!BP68</f>
        <v>65</v>
      </c>
      <c r="BQ68" s="1">
        <f>[1]节奏总纲!BQ68</f>
        <v>123.78019813475611</v>
      </c>
      <c r="BR68" s="1">
        <f>[1]节奏总纲!BR68</f>
        <v>122.94202904218383</v>
      </c>
      <c r="BS68" s="1">
        <f>[1]节奏总纲!BS68</f>
        <v>122.04564028811234</v>
      </c>
      <c r="BT68" s="1">
        <f>[1]节奏总纲!BT68</f>
        <v>121.05089677308304</v>
      </c>
      <c r="BU68" s="1">
        <f>[1]节奏总纲!BU68</f>
        <v>119.95354120546152</v>
      </c>
      <c r="BW68" s="1">
        <f>[1]节奏总纲!BW68</f>
        <v>65</v>
      </c>
      <c r="BX68" s="1">
        <f>[1]节奏总纲!BX68</f>
        <v>37.281858261446175</v>
      </c>
      <c r="BY68" s="1">
        <f>[1]节奏总纲!BY68</f>
        <v>37.830182618345603</v>
      </c>
      <c r="BZ68" s="1">
        <f>[1]节奏总纲!BZ68</f>
        <v>38.434433483033168</v>
      </c>
      <c r="CA68" s="1">
        <f>[1]节奏总纲!CA68</f>
        <v>39.10574775257124</v>
      </c>
      <c r="CB68" s="1">
        <f>[1]节奏总纲!CB68</f>
        <v>39.788896264020153</v>
      </c>
      <c r="CC68" s="1">
        <f>[1]节奏总纲!CC68</f>
        <v>39.788896264020153</v>
      </c>
    </row>
    <row r="69" spans="6:81" x14ac:dyDescent="0.15">
      <c r="F69" s="1">
        <f>[1]节奏总纲!F69</f>
        <v>67</v>
      </c>
      <c r="G69" s="1">
        <f>[1]节奏总纲!G69</f>
        <v>102.96830673359811</v>
      </c>
      <c r="I69" s="1">
        <f>[1]节奏总纲!I69</f>
        <v>67</v>
      </c>
      <c r="J69" s="1">
        <f>[1]节奏总纲!J69</f>
        <v>7133.5498113340191</v>
      </c>
      <c r="K69" s="13">
        <f>[1]节奏总纲!K69</f>
        <v>1.32</v>
      </c>
      <c r="N69" s="1">
        <f>[1]节奏总纲!N69</f>
        <v>76</v>
      </c>
      <c r="O69" s="1">
        <f>[1]节奏总纲!O69</f>
        <v>66</v>
      </c>
      <c r="P69" s="1">
        <f>[1]节奏总纲!P69</f>
        <v>96.005860256665443</v>
      </c>
      <c r="Q69" s="1">
        <f>[1]节奏总纲!Q69</f>
        <v>83.352287874836932</v>
      </c>
      <c r="R69" s="1">
        <f>[1]节奏总纲!R69</f>
        <v>68.490580707105124</v>
      </c>
      <c r="S69" s="1">
        <f>[1]节奏总纲!S69</f>
        <v>50.163061984107692</v>
      </c>
      <c r="T69" s="1">
        <f>[1]节奏总纲!T69</f>
        <v>27.851300060458648</v>
      </c>
      <c r="V69" s="1">
        <f>[1]节奏总纲!V69</f>
        <v>66</v>
      </c>
      <c r="W69" s="1">
        <f>[1]节奏总纲!W69</f>
        <v>6.496192264787382</v>
      </c>
      <c r="X69" s="1">
        <f>[1]节奏总纲!X69</f>
        <v>5.7026508918827119</v>
      </c>
      <c r="Y69" s="1">
        <f>[1]节奏总纲!Y69</f>
        <v>4.6880893624944449</v>
      </c>
      <c r="Z69" s="1">
        <f>[1]节奏总纲!Z69</f>
        <v>3.2331430559660248</v>
      </c>
      <c r="AA69" s="1">
        <f>[1]节奏总纲!AA69</f>
        <v>1.8576924756172595</v>
      </c>
      <c r="AC69" s="1">
        <f>[1]节奏总纲!AC69</f>
        <v>66</v>
      </c>
      <c r="AD69" s="1">
        <f>[1]节奏总纲!AD69</f>
        <v>60.653096539355303</v>
      </c>
      <c r="AE69" s="1">
        <f>[1]节奏总纲!AE69</f>
        <v>62.682290092013595</v>
      </c>
      <c r="AF69" s="1">
        <f>[1]节奏总纲!AF69</f>
        <v>65.468742911124906</v>
      </c>
      <c r="AG69" s="1">
        <f>[1]节奏总纲!AG69</f>
        <v>70.015851474333999</v>
      </c>
      <c r="AH69" s="1">
        <f>[1]节奏总纲!AH69</f>
        <v>78.525279626417301</v>
      </c>
      <c r="AL69" s="1">
        <f>[1]节奏总纲!AL69</f>
        <v>66</v>
      </c>
      <c r="AM69" s="1">
        <f>[1]节奏总纲!AM69</f>
        <v>6162.9846853088866</v>
      </c>
      <c r="AN69" s="1">
        <f>[1]节奏总纲!AN69</f>
        <v>4930.3877482471098</v>
      </c>
      <c r="AO69" s="1">
        <f>[1]节奏总纲!AO69</f>
        <v>3697.7908111853317</v>
      </c>
      <c r="AP69" s="1">
        <f>[1]节奏总纲!AP69</f>
        <v>2465.1938741235549</v>
      </c>
      <c r="AQ69" s="1">
        <f>[1]节奏总纲!AQ69</f>
        <v>1232.5969370617775</v>
      </c>
      <c r="AS69" s="1">
        <f>[1]节奏总纲!AS69</f>
        <v>66</v>
      </c>
      <c r="AT69" s="1">
        <f>[1]节奏总纲!AT69</f>
        <v>838.83468530888604</v>
      </c>
      <c r="AU69" s="1">
        <f>[1]节奏总纲!AU69</f>
        <v>671.06774824710919</v>
      </c>
      <c r="AV69" s="1">
        <f>[1]节奏总纲!AV69</f>
        <v>503.30081118533144</v>
      </c>
      <c r="AW69" s="1">
        <f>[1]节奏总纲!AW69</f>
        <v>335.5338741235546</v>
      </c>
      <c r="AX69" s="1">
        <f>[1]节奏总纲!AX69</f>
        <v>167.7669370617773</v>
      </c>
      <c r="AZ69" s="1">
        <f>[1]节奏总纲!AZ69</f>
        <v>66</v>
      </c>
      <c r="BA69" s="1">
        <f>[1]节奏总纲!BA69</f>
        <v>35.243977139659179</v>
      </c>
      <c r="BB69" s="1">
        <f>[1]节奏总纲!BB69</f>
        <v>36.73675803133704</v>
      </c>
      <c r="BC69" s="1">
        <f>[1]节奏总纲!BC69</f>
        <v>38.663818688865533</v>
      </c>
      <c r="BD69" s="1">
        <f>[1]节奏总纲!BD69</f>
        <v>41.389172829914081</v>
      </c>
      <c r="BE69" s="1">
        <f>[1]节奏总纲!BE69</f>
        <v>46.079770001861057</v>
      </c>
      <c r="BI69" s="1">
        <f>[1]节奏总纲!BI69</f>
        <v>66</v>
      </c>
      <c r="BJ69" s="1">
        <f>[1]节奏总纲!BJ69</f>
        <v>3.0333333333333328</v>
      </c>
      <c r="BK69" s="1">
        <f>[1]节奏总纲!BK69</f>
        <v>3.0939999999999994</v>
      </c>
      <c r="BL69" s="1">
        <f>[1]节奏总纲!BL69</f>
        <v>3.2153333333333327</v>
      </c>
      <c r="BM69" s="1">
        <f>[1]节奏总纲!BM69</f>
        <v>3.4579999999999989</v>
      </c>
      <c r="BN69" s="1">
        <f>[1]节奏总纲!BN69</f>
        <v>4.2466666666666653</v>
      </c>
      <c r="BP69" s="1">
        <f>[1]节奏总纲!BP69</f>
        <v>66</v>
      </c>
      <c r="BQ69" s="1">
        <f>[1]节奏总纲!BQ69</f>
        <v>125.89322983057725</v>
      </c>
      <c r="BR69" s="1">
        <f>[1]节奏总纲!BR69</f>
        <v>125.03207854890056</v>
      </c>
      <c r="BS69" s="1">
        <f>[1]节奏总纲!BS69</f>
        <v>124.09865268465654</v>
      </c>
      <c r="BT69" s="1">
        <f>[1]节奏总纲!BT69</f>
        <v>123.12386763900987</v>
      </c>
      <c r="BU69" s="1">
        <f>[1]节奏总纲!BU69</f>
        <v>122.09304851303449</v>
      </c>
      <c r="BW69" s="1">
        <f>[1]节奏总纲!BW69</f>
        <v>66</v>
      </c>
      <c r="BX69" s="1">
        <f>[1]节奏总纲!BX69</f>
        <v>37.753500482504599</v>
      </c>
      <c r="BY69" s="1">
        <f>[1]节奏总纲!BY69</f>
        <v>38.299957868613873</v>
      </c>
      <c r="BZ69" s="1">
        <f>[1]节奏总纲!BZ69</f>
        <v>38.923795989405541</v>
      </c>
      <c r="CA69" s="1">
        <f>[1]节奏总纲!CA69</f>
        <v>39.54248642883109</v>
      </c>
      <c r="CB69" s="1">
        <f>[1]节奏总纲!CB69</f>
        <v>40.250881200683118</v>
      </c>
      <c r="CC69" s="1">
        <f>[1]节奏总纲!CC69</f>
        <v>40.250881200683118</v>
      </c>
    </row>
    <row r="70" spans="6:81" x14ac:dyDescent="0.15">
      <c r="F70" s="1">
        <f>[1]节奏总纲!F70</f>
        <v>68</v>
      </c>
      <c r="G70" s="1">
        <f>[1]节奏总纲!G70</f>
        <v>110.43047210190386</v>
      </c>
      <c r="I70" s="1">
        <f>[1]节奏总纲!I70</f>
        <v>68</v>
      </c>
      <c r="J70" s="1">
        <f>[1]节奏总纲!J70</f>
        <v>8256.4738250473602</v>
      </c>
      <c r="K70" s="13">
        <f>[1]节奏总纲!K70</f>
        <v>1.33</v>
      </c>
      <c r="N70" s="1">
        <f>[1]节奏总纲!N70</f>
        <v>77</v>
      </c>
      <c r="O70" s="1">
        <f>[1]节奏总纲!O70</f>
        <v>67</v>
      </c>
      <c r="P70" s="1">
        <f>[1]节奏总纲!P70</f>
        <v>102.96830673359811</v>
      </c>
      <c r="Q70" s="1">
        <f>[1]节奏总纲!Q70</f>
        <v>89.469161720823394</v>
      </c>
      <c r="R70" s="1">
        <f>[1]节奏总纲!R70</f>
        <v>73.292840732975137</v>
      </c>
      <c r="S70" s="1">
        <f>[1]节奏总纲!S70</f>
        <v>53.625894146857902</v>
      </c>
      <c r="T70" s="1">
        <f>[1]节奏总纲!T70</f>
        <v>29.799027968703292</v>
      </c>
      <c r="V70" s="1">
        <f>[1]节奏总纲!V70</f>
        <v>67</v>
      </c>
      <c r="W70" s="1">
        <f>[1]节奏总纲!W70</f>
        <v>6.9624464769326693</v>
      </c>
      <c r="X70" s="1">
        <f>[1]节奏总纲!X70</f>
        <v>6.1168738459864613</v>
      </c>
      <c r="Y70" s="1">
        <f>[1]节奏总纲!Y70</f>
        <v>4.8022600258700123</v>
      </c>
      <c r="Z70" s="1">
        <f>[1]节奏总纲!Z70</f>
        <v>3.4628321627502103</v>
      </c>
      <c r="AA70" s="1">
        <f>[1]节奏总纲!AA70</f>
        <v>1.9477279082446444</v>
      </c>
      <c r="AC70" s="1">
        <f>[1]节奏总纲!AC70</f>
        <v>67</v>
      </c>
      <c r="AD70" s="1">
        <f>[1]节奏总纲!AD70</f>
        <v>60.870795385807064</v>
      </c>
      <c r="AE70" s="1">
        <f>[1]节奏总纲!AE70</f>
        <v>62.898407640114556</v>
      </c>
      <c r="AF70" s="1">
        <f>[1]节奏总纲!AF70</f>
        <v>65.682049425288255</v>
      </c>
      <c r="AG70" s="1">
        <f>[1]节奏总纲!AG70</f>
        <v>70.229195678021767</v>
      </c>
      <c r="AH70" s="1">
        <f>[1]节奏总纲!AH70</f>
        <v>78.748984204926018</v>
      </c>
      <c r="AL70" s="1">
        <f>[1]节奏总纲!AL70</f>
        <v>67</v>
      </c>
      <c r="AM70" s="1">
        <f>[1]节奏总纲!AM70</f>
        <v>7133.5498113340191</v>
      </c>
      <c r="AN70" s="1">
        <f>[1]节奏总纲!AN70</f>
        <v>5706.8398490672153</v>
      </c>
      <c r="AO70" s="1">
        <f>[1]节奏总纲!AO70</f>
        <v>4280.1298868004114</v>
      </c>
      <c r="AP70" s="1">
        <f>[1]节奏总纲!AP70</f>
        <v>2853.4199245336076</v>
      </c>
      <c r="AQ70" s="1">
        <f>[1]节奏总纲!AQ70</f>
        <v>1426.7099622668038</v>
      </c>
      <c r="AS70" s="1">
        <f>[1]节奏总纲!AS70</f>
        <v>67</v>
      </c>
      <c r="AT70" s="1">
        <f>[1]节奏总纲!AT70</f>
        <v>970.56512602513249</v>
      </c>
      <c r="AU70" s="1">
        <f>[1]节奏总纲!AU70</f>
        <v>776.45210082010544</v>
      </c>
      <c r="AV70" s="1">
        <f>[1]节奏总纲!AV70</f>
        <v>582.33907561507976</v>
      </c>
      <c r="AW70" s="1">
        <f>[1]节奏总纲!AW70</f>
        <v>388.22605041005272</v>
      </c>
      <c r="AX70" s="1">
        <f>[1]节奏总纲!AX70</f>
        <v>194.11302520502636</v>
      </c>
      <c r="AZ70" s="1">
        <f>[1]节奏总纲!AZ70</f>
        <v>67</v>
      </c>
      <c r="BA70" s="1">
        <f>[1]节奏总纲!BA70</f>
        <v>35.341567995522851</v>
      </c>
      <c r="BB70" s="1">
        <f>[1]节奏总纲!BB70</f>
        <v>36.841971442131673</v>
      </c>
      <c r="BC70" s="1">
        <f>[1]节奏总纲!BC70</f>
        <v>38.768202899262064</v>
      </c>
      <c r="BD70" s="1">
        <f>[1]节奏总纲!BD70</f>
        <v>41.48973836764344</v>
      </c>
      <c r="BE70" s="1">
        <f>[1]节奏总纲!BE70</f>
        <v>46.176090215954694</v>
      </c>
      <c r="BI70" s="1">
        <f>[1]节奏总纲!BI70</f>
        <v>67</v>
      </c>
      <c r="BJ70" s="1">
        <f>[1]节奏总纲!BJ70</f>
        <v>3.066666666666666</v>
      </c>
      <c r="BK70" s="1">
        <f>[1]节奏总纲!BK70</f>
        <v>3.1279999999999992</v>
      </c>
      <c r="BL70" s="1">
        <f>[1]节奏总纲!BL70</f>
        <v>3.2506666666666661</v>
      </c>
      <c r="BM70" s="1">
        <f>[1]节奏总纲!BM70</f>
        <v>3.4959999999999991</v>
      </c>
      <c r="BN70" s="1">
        <f>[1]节奏总纲!BN70</f>
        <v>4.2933333333333321</v>
      </c>
      <c r="BP70" s="1">
        <f>[1]节奏总纲!BP70</f>
        <v>67</v>
      </c>
      <c r="BQ70" s="1">
        <f>[1]节奏总纲!BQ70</f>
        <v>128.00586023511804</v>
      </c>
      <c r="BR70" s="1">
        <f>[1]节奏总纲!BR70</f>
        <v>127.12838978012395</v>
      </c>
      <c r="BS70" s="1">
        <f>[1]节奏总纲!BS70</f>
        <v>126.19151638854794</v>
      </c>
      <c r="BT70" s="1">
        <f>[1]节奏总纲!BT70</f>
        <v>125.19410714767859</v>
      </c>
      <c r="BU70" s="1">
        <f>[1]节奏总纲!BU70</f>
        <v>124.11624751239822</v>
      </c>
      <c r="BW70" s="1">
        <f>[1]节奏总纲!BW70</f>
        <v>67</v>
      </c>
      <c r="BX70" s="1">
        <f>[1]节奏总纲!BX70</f>
        <v>38.223420039247138</v>
      </c>
      <c r="BY70" s="1">
        <f>[1]节奏总纲!BY70</f>
        <v>38.778836653495254</v>
      </c>
      <c r="BZ70" s="1">
        <f>[1]节奏总纲!BZ70</f>
        <v>39.366722334610458</v>
      </c>
      <c r="CA70" s="1">
        <f>[1]节奏总纲!CA70</f>
        <v>40.008845309680844</v>
      </c>
      <c r="CB70" s="1">
        <f>[1]节奏总纲!CB70</f>
        <v>40.704888716037352</v>
      </c>
      <c r="CC70" s="1">
        <f>[1]节奏总纲!CC70</f>
        <v>40.704888716037352</v>
      </c>
    </row>
    <row r="71" spans="6:81" x14ac:dyDescent="0.15">
      <c r="F71" s="1">
        <f>[1]节奏总纲!F71</f>
        <v>69</v>
      </c>
      <c r="G71" s="1">
        <f>[1]节奏总纲!G71</f>
        <v>118.42822291671132</v>
      </c>
      <c r="I71" s="1">
        <f>[1]节奏总纲!I71</f>
        <v>69</v>
      </c>
      <c r="J71" s="1">
        <f>[1]节奏总纲!J71</f>
        <v>9555.6072874592737</v>
      </c>
      <c r="K71" s="13">
        <f>[1]节奏总纲!K71</f>
        <v>1.34</v>
      </c>
      <c r="N71" s="1">
        <f>[1]节奏总纲!N71</f>
        <v>78</v>
      </c>
      <c r="O71" s="1">
        <f>[1]节奏总纲!O71</f>
        <v>68</v>
      </c>
      <c r="P71" s="1">
        <f>[1]节奏总纲!P71</f>
        <v>110.43047210190386</v>
      </c>
      <c r="Q71" s="1">
        <f>[1]节奏总纲!Q71</f>
        <v>95.831563690032169</v>
      </c>
      <c r="R71" s="1">
        <f>[1]节奏总纲!R71</f>
        <v>78.251032531409081</v>
      </c>
      <c r="S71" s="1">
        <f>[1]节奏总纲!S71</f>
        <v>57.412802445779818</v>
      </c>
      <c r="T71" s="1">
        <f>[1]节奏总纲!T71</f>
        <v>31.859191201399263</v>
      </c>
      <c r="V71" s="1">
        <f>[1]节奏总纲!V71</f>
        <v>68</v>
      </c>
      <c r="W71" s="1">
        <f>[1]节奏总纲!W71</f>
        <v>7.4621653683057474</v>
      </c>
      <c r="X71" s="1">
        <f>[1]节奏总纲!X71</f>
        <v>6.3624019692087757</v>
      </c>
      <c r="Y71" s="1">
        <f>[1]节奏总纲!Y71</f>
        <v>4.9581917984339441</v>
      </c>
      <c r="Z71" s="1">
        <f>[1]节奏总纲!Z71</f>
        <v>3.7869082989219152</v>
      </c>
      <c r="AA71" s="1">
        <f>[1]节奏总纲!AA71</f>
        <v>2.0601632326959702</v>
      </c>
      <c r="AC71" s="1">
        <f>[1]节奏总纲!AC71</f>
        <v>68</v>
      </c>
      <c r="AD71" s="1">
        <f>[1]节奏总纲!AD71</f>
        <v>61.082568038258209</v>
      </c>
      <c r="AE71" s="1">
        <f>[1]节奏总纲!AE71</f>
        <v>63.107492392331935</v>
      </c>
      <c r="AF71" s="1">
        <f>[1]节奏总纲!AF71</f>
        <v>65.895355939451605</v>
      </c>
      <c r="AG71" s="1">
        <f>[1]节奏总纲!AG71</f>
        <v>70.442539881709536</v>
      </c>
      <c r="AH71" s="1">
        <f>[1]节奏总纲!AH71</f>
        <v>78.972688783434734</v>
      </c>
      <c r="AL71" s="1">
        <f>[1]节奏总纲!AL71</f>
        <v>68</v>
      </c>
      <c r="AM71" s="1">
        <f>[1]节奏总纲!AM71</f>
        <v>8256.4738250473602</v>
      </c>
      <c r="AN71" s="1">
        <f>[1]节奏总纲!AN71</f>
        <v>6605.1790600378881</v>
      </c>
      <c r="AO71" s="1">
        <f>[1]节奏总纲!AO71</f>
        <v>4953.8842950284161</v>
      </c>
      <c r="AP71" s="1">
        <f>[1]节奏总纲!AP71</f>
        <v>3302.5895300189441</v>
      </c>
      <c r="AQ71" s="1">
        <f>[1]节奏总纲!AQ71</f>
        <v>1651.294765009472</v>
      </c>
      <c r="AS71" s="1">
        <f>[1]节奏总纲!AS71</f>
        <v>68</v>
      </c>
      <c r="AT71" s="1">
        <f>[1]节奏总纲!AT71</f>
        <v>1122.9240137133411</v>
      </c>
      <c r="AU71" s="1">
        <f>[1]节奏总纲!AU71</f>
        <v>898.33921097067287</v>
      </c>
      <c r="AV71" s="1">
        <f>[1]节奏总纲!AV71</f>
        <v>673.75440822800465</v>
      </c>
      <c r="AW71" s="1">
        <f>[1]节奏总纲!AW71</f>
        <v>449.16960548533643</v>
      </c>
      <c r="AX71" s="1">
        <f>[1]节奏总纲!AX71</f>
        <v>224.58480274266822</v>
      </c>
      <c r="AZ71" s="1">
        <f>[1]节奏总纲!AZ71</f>
        <v>68</v>
      </c>
      <c r="BA71" s="1">
        <f>[1]节奏总纲!BA71</f>
        <v>35.439158851386523</v>
      </c>
      <c r="BB71" s="1">
        <f>[1]节奏总纲!BB71</f>
        <v>36.947184852926306</v>
      </c>
      <c r="BC71" s="1">
        <f>[1]节奏总纲!BC71</f>
        <v>38.872587109658596</v>
      </c>
      <c r="BD71" s="1">
        <f>[1]节奏总纲!BD71</f>
        <v>41.590303905372799</v>
      </c>
      <c r="BE71" s="1">
        <f>[1]节奏总纲!BE71</f>
        <v>46.272410430048332</v>
      </c>
      <c r="BI71" s="1">
        <f>[1]节奏总纲!BI71</f>
        <v>68</v>
      </c>
      <c r="BJ71" s="1">
        <f>[1]节奏总纲!BJ71</f>
        <v>3.0999999999999992</v>
      </c>
      <c r="BK71" s="1">
        <f>[1]节奏总纲!BK71</f>
        <v>3.161999999999999</v>
      </c>
      <c r="BL71" s="1">
        <f>[1]节奏总纲!BL71</f>
        <v>3.2859999999999991</v>
      </c>
      <c r="BM71" s="1">
        <f>[1]节奏总纲!BM71</f>
        <v>3.5339999999999989</v>
      </c>
      <c r="BN71" s="1">
        <f>[1]节奏总纲!BN71</f>
        <v>4.339999999999999</v>
      </c>
      <c r="BP71" s="1">
        <f>[1]节奏总纲!BP71</f>
        <v>68</v>
      </c>
      <c r="BQ71" s="1">
        <f>[1]节奏总纲!BQ71</f>
        <v>130.11135606394996</v>
      </c>
      <c r="BR71" s="1">
        <f>[1]节奏总纲!BR71</f>
        <v>129.28753527830008</v>
      </c>
      <c r="BS71" s="1">
        <f>[1]节奏总纲!BS71</f>
        <v>128.41849022048493</v>
      </c>
      <c r="BT71" s="1">
        <f>[1]节奏总纲!BT71</f>
        <v>127.45983734027742</v>
      </c>
      <c r="BU71" s="1">
        <f>[1]节奏总纲!BU71</f>
        <v>126.37501502290067</v>
      </c>
      <c r="BW71" s="1">
        <f>[1]节奏总纲!BW71</f>
        <v>68</v>
      </c>
      <c r="BX71" s="1">
        <f>[1]节奏总纲!BX71</f>
        <v>38.690779383138512</v>
      </c>
      <c r="BY71" s="1">
        <f>[1]节奏总纲!BY71</f>
        <v>39.238919857187803</v>
      </c>
      <c r="BZ71" s="1">
        <f>[1]节奏总纲!BZ71</f>
        <v>39.813229873395798</v>
      </c>
      <c r="CA71" s="1">
        <f>[1]节奏总纲!CA71</f>
        <v>40.450201830884396</v>
      </c>
      <c r="CB71" s="1">
        <f>[1]节奏总纲!CB71</f>
        <v>41.159720729358739</v>
      </c>
      <c r="CC71" s="1">
        <f>[1]节奏总纲!CC71</f>
        <v>41.159720729358739</v>
      </c>
    </row>
    <row r="72" spans="6:81" x14ac:dyDescent="0.15">
      <c r="F72" s="1">
        <f>[1]节奏总纲!F72</f>
        <v>70</v>
      </c>
      <c r="G72" s="1">
        <f>[1]节奏总纲!G72</f>
        <v>127</v>
      </c>
      <c r="I72" s="1">
        <f>[1]节奏总纲!I72</f>
        <v>70</v>
      </c>
      <c r="J72" s="1">
        <f>[1]节奏总纲!J72</f>
        <v>11058.525000000001</v>
      </c>
      <c r="K72" s="13">
        <f>[1]节奏总纲!K72</f>
        <v>1.35</v>
      </c>
      <c r="N72" s="1">
        <f>[1]节奏总纲!N72</f>
        <v>79</v>
      </c>
      <c r="O72" s="1">
        <f>[1]节奏总纲!O72</f>
        <v>69</v>
      </c>
      <c r="P72" s="1">
        <f>[1]节奏总纲!P72</f>
        <v>118.42822291671132</v>
      </c>
      <c r="Q72" s="1">
        <f>[1]节奏总纲!Q72</f>
        <v>102.51146975670532</v>
      </c>
      <c r="R72" s="1">
        <f>[1]节奏总纲!R72</f>
        <v>83.894553114198303</v>
      </c>
      <c r="S72" s="1">
        <f>[1]节奏总纲!S72</f>
        <v>61.535304627523196</v>
      </c>
      <c r="T72" s="1">
        <f>[1]节奏总纲!T72</f>
        <v>34.059956910846175</v>
      </c>
      <c r="V72" s="1">
        <f>[1]节奏总纲!V72</f>
        <v>69</v>
      </c>
      <c r="W72" s="1">
        <f>[1]节奏总纲!W72</f>
        <v>7.9977508148074605</v>
      </c>
      <c r="X72" s="1">
        <f>[1]节奏总纲!X72</f>
        <v>6.6799060666731549</v>
      </c>
      <c r="Y72" s="1">
        <f>[1]节奏总纲!Y72</f>
        <v>5.6435205827892219</v>
      </c>
      <c r="Z72" s="1">
        <f>[1]节奏总纲!Z72</f>
        <v>4.1225021817433785</v>
      </c>
      <c r="AA72" s="1">
        <f>[1]节奏总纲!AA72</f>
        <v>2.2007657094469124</v>
      </c>
      <c r="AC72" s="1">
        <f>[1]节奏总纲!AC72</f>
        <v>69</v>
      </c>
      <c r="AD72" s="1">
        <f>[1]节奏总纲!AD72</f>
        <v>61.285688244217212</v>
      </c>
      <c r="AE72" s="1">
        <f>[1]节奏总纲!AE72</f>
        <v>63.310338531528565</v>
      </c>
      <c r="AF72" s="1">
        <f>[1]节奏总纲!AF72</f>
        <v>66.106079073217742</v>
      </c>
      <c r="AG72" s="1">
        <f>[1]节奏总纲!AG72</f>
        <v>70.655884085397304</v>
      </c>
      <c r="AH72" s="1">
        <f>[1]节奏总纲!AH72</f>
        <v>79.188599387584361</v>
      </c>
      <c r="AL72" s="1">
        <f>[1]节奏总纲!AL72</f>
        <v>69</v>
      </c>
      <c r="AM72" s="1">
        <f>[1]节奏总纲!AM72</f>
        <v>9555.6072874592737</v>
      </c>
      <c r="AN72" s="1">
        <f>[1]节奏总纲!AN72</f>
        <v>7644.4858299674197</v>
      </c>
      <c r="AO72" s="1">
        <f>[1]节奏总纲!AO72</f>
        <v>5733.3643724755639</v>
      </c>
      <c r="AP72" s="1">
        <f>[1]节奏总纲!AP72</f>
        <v>3822.2429149837099</v>
      </c>
      <c r="AQ72" s="1">
        <f>[1]节奏总纲!AQ72</f>
        <v>1911.1214574918549</v>
      </c>
      <c r="AS72" s="1">
        <f>[1]节奏总纲!AS72</f>
        <v>69</v>
      </c>
      <c r="AT72" s="1">
        <f>[1]节奏总纲!AT72</f>
        <v>1299.1334624119136</v>
      </c>
      <c r="AU72" s="1">
        <f>[1]节奏总纲!AU72</f>
        <v>1039.3067699295316</v>
      </c>
      <c r="AV72" s="1">
        <f>[1]节奏总纲!AV72</f>
        <v>779.48007744714778</v>
      </c>
      <c r="AW72" s="1">
        <f>[1]节奏总纲!AW72</f>
        <v>519.65338496476579</v>
      </c>
      <c r="AX72" s="1">
        <f>[1]节奏总纲!AX72</f>
        <v>259.8266924823829</v>
      </c>
      <c r="AZ72" s="1">
        <f>[1]节奏总纲!AZ72</f>
        <v>69</v>
      </c>
      <c r="BA72" s="1">
        <f>[1]节奏总纲!BA72</f>
        <v>35.536749707250202</v>
      </c>
      <c r="BB72" s="1">
        <f>[1]节奏总纲!BB72</f>
        <v>37.045197000674086</v>
      </c>
      <c r="BC72" s="1">
        <f>[1]节奏总纲!BC72</f>
        <v>38.976971320055128</v>
      </c>
      <c r="BD72" s="1">
        <f>[1]节奏总纲!BD72</f>
        <v>41.690869443102159</v>
      </c>
      <c r="BE72" s="1">
        <f>[1]节奏总纲!BE72</f>
        <v>46.368730644141969</v>
      </c>
      <c r="BI72" s="1">
        <f>[1]节奏总纲!BI72</f>
        <v>69</v>
      </c>
      <c r="BJ72" s="1">
        <f>[1]节奏总纲!BJ72</f>
        <v>3.1333333333333324</v>
      </c>
      <c r="BK72" s="1">
        <f>[1]节奏总纲!BK72</f>
        <v>3.1959999999999993</v>
      </c>
      <c r="BL72" s="1">
        <f>[1]节奏总纲!BL72</f>
        <v>3.3213333333333326</v>
      </c>
      <c r="BM72" s="1">
        <f>[1]节奏总纲!BM72</f>
        <v>3.5719999999999987</v>
      </c>
      <c r="BN72" s="1">
        <f>[1]节奏总纲!BN72</f>
        <v>4.3866666666666649</v>
      </c>
      <c r="BP72" s="1">
        <f>[1]节奏总纲!BP72</f>
        <v>69</v>
      </c>
      <c r="BQ72" s="1">
        <f>[1]节奏总纲!BQ72</f>
        <v>132.21686522535077</v>
      </c>
      <c r="BR72" s="1">
        <f>[1]节奏总纲!BR72</f>
        <v>131.37187315551134</v>
      </c>
      <c r="BS72" s="1">
        <f>[1]节奏总纲!BS72</f>
        <v>130.47467154691921</v>
      </c>
      <c r="BT72" s="1">
        <f>[1]节奏总纲!BT72</f>
        <v>129.52983824261307</v>
      </c>
      <c r="BU72" s="1">
        <f>[1]节奏总纲!BU72</f>
        <v>128.52822980669353</v>
      </c>
      <c r="BW72" s="1">
        <f>[1]节奏总纲!BW72</f>
        <v>69</v>
      </c>
      <c r="BX72" s="1">
        <f>[1]节奏总纲!BX72</f>
        <v>39.165368824198744</v>
      </c>
      <c r="BY72" s="1">
        <f>[1]节奏总纲!BY72</f>
        <v>39.690086613900846</v>
      </c>
      <c r="BZ72" s="1">
        <f>[1]节奏总纲!BZ72</f>
        <v>40.27734947532835</v>
      </c>
      <c r="CA72" s="1">
        <f>[1]节奏总纲!CA72</f>
        <v>40.930671141986089</v>
      </c>
      <c r="CB72" s="1">
        <f>[1]节奏总纲!CB72</f>
        <v>41.602363103332472</v>
      </c>
      <c r="CC72" s="1">
        <f>[1]节奏总纲!CC72</f>
        <v>41.602363103332472</v>
      </c>
    </row>
    <row r="73" spans="6:81" x14ac:dyDescent="0.15">
      <c r="F73" s="1">
        <f>[1]节奏总纲!F73</f>
        <v>71</v>
      </c>
      <c r="G73" s="1">
        <f>[1]节奏总纲!G73</f>
        <v>136.18700320464549</v>
      </c>
      <c r="I73" s="1">
        <f>[1]节奏总纲!I73</f>
        <v>71</v>
      </c>
      <c r="J73" s="1">
        <f>[1]节奏总纲!J73</f>
        <v>12797.106216824561</v>
      </c>
      <c r="K73" s="13">
        <f>[1]节奏总纲!K73</f>
        <v>1.36</v>
      </c>
      <c r="N73" s="1">
        <f>[1]节奏总纲!N73</f>
        <v>80</v>
      </c>
      <c r="O73" s="1">
        <f>[1]节奏总纲!O73</f>
        <v>70</v>
      </c>
      <c r="P73" s="1">
        <f>[1]节奏总纲!P73</f>
        <v>127</v>
      </c>
      <c r="Q73" s="1">
        <f>[1]节奏总纲!Q73</f>
        <v>109.9693</v>
      </c>
      <c r="R73" s="1">
        <f>[1]节奏总纲!R73</f>
        <v>90.106499999999997</v>
      </c>
      <c r="S73" s="1">
        <f>[1]节奏总纲!S73</f>
        <v>65.925700000000006</v>
      </c>
      <c r="T73" s="1">
        <f>[1]节奏总纲!T73</f>
        <v>36.4998</v>
      </c>
      <c r="V73" s="1">
        <f>[1]节奏总纲!V73</f>
        <v>70</v>
      </c>
      <c r="W73" s="1">
        <f>[1]节奏总纲!W73</f>
        <v>8.5717770832886799</v>
      </c>
      <c r="X73" s="1">
        <f>[1]节奏总纲!X73</f>
        <v>7.4578302432946799</v>
      </c>
      <c r="Y73" s="1">
        <f>[1]节奏总纲!Y73</f>
        <v>6.2119468858016944</v>
      </c>
      <c r="Z73" s="1">
        <f>[1]节奏总纲!Z73</f>
        <v>4.3903953724768101</v>
      </c>
      <c r="AA73" s="1">
        <f>[1]节奏总纲!AA73</f>
        <v>2.4398430891538254</v>
      </c>
      <c r="AC73" s="1">
        <f>[1]节奏总纲!AC73</f>
        <v>70</v>
      </c>
      <c r="AD73" s="1">
        <f>[1]节奏总纲!AD73</f>
        <v>61.488808450176215</v>
      </c>
      <c r="AE73" s="1">
        <f>[1]节奏总纲!AE73</f>
        <v>63.513184670725188</v>
      </c>
      <c r="AF73" s="1">
        <f>[1]节奏总纲!AF73</f>
        <v>66.314314361313961</v>
      </c>
      <c r="AG73" s="1">
        <f>[1]节奏总纲!AG73</f>
        <v>70.869228289085072</v>
      </c>
      <c r="AH73" s="1">
        <f>[1]节奏总纲!AH73</f>
        <v>79.403426131671111</v>
      </c>
      <c r="AL73" s="1">
        <f>[1]节奏总纲!AL73</f>
        <v>70</v>
      </c>
      <c r="AM73" s="1">
        <f>[1]节奏总纲!AM73</f>
        <v>11058.525000000001</v>
      </c>
      <c r="AN73" s="1">
        <f>[1]节奏总纲!AN73</f>
        <v>8846.8200000000015</v>
      </c>
      <c r="AO73" s="1">
        <f>[1]节奏总纲!AO73</f>
        <v>6635.1150000000007</v>
      </c>
      <c r="AP73" s="1">
        <f>[1]节奏总纲!AP73</f>
        <v>4423.4100000000008</v>
      </c>
      <c r="AQ73" s="1">
        <f>[1]节奏总纲!AQ73</f>
        <v>2211.7050000000004</v>
      </c>
      <c r="AS73" s="1">
        <f>[1]节奏总纲!AS73</f>
        <v>70</v>
      </c>
      <c r="AT73" s="1">
        <f>[1]节奏总纲!AT73</f>
        <v>1502.9177125407277</v>
      </c>
      <c r="AU73" s="1">
        <f>[1]节奏总纲!AU73</f>
        <v>1202.3341700325818</v>
      </c>
      <c r="AV73" s="1">
        <f>[1]节奏总纲!AV73</f>
        <v>901.75062752443682</v>
      </c>
      <c r="AW73" s="1">
        <f>[1]节奏总纲!AW73</f>
        <v>601.16708501629091</v>
      </c>
      <c r="AX73" s="1">
        <f>[1]节奏总纲!AX73</f>
        <v>300.58354250814546</v>
      </c>
      <c r="AZ73" s="1">
        <f>[1]节奏总纲!AZ73</f>
        <v>70</v>
      </c>
      <c r="BA73" s="1">
        <f>[1]节奏总纲!BA73</f>
        <v>35.634340563113874</v>
      </c>
      <c r="BB73" s="1">
        <f>[1]节奏总纲!BB73</f>
        <v>37.135950591746003</v>
      </c>
      <c r="BC73" s="1">
        <f>[1]节奏总纲!BC73</f>
        <v>39.070187171981765</v>
      </c>
      <c r="BD73" s="1">
        <f>[1]节奏总纲!BD73</f>
        <v>41.791434980831518</v>
      </c>
      <c r="BE73" s="1">
        <f>[1]节奏总纲!BE73</f>
        <v>46.465050858235607</v>
      </c>
      <c r="BI73" s="1">
        <f>[1]节奏总纲!BI73</f>
        <v>70</v>
      </c>
      <c r="BJ73" s="1">
        <f>[1]节奏总纲!BJ73</f>
        <v>3.1666666666666656</v>
      </c>
      <c r="BK73" s="1">
        <f>[1]节奏总纲!BK73</f>
        <v>3.2299999999999991</v>
      </c>
      <c r="BL73" s="1">
        <f>[1]节奏总纲!BL73</f>
        <v>3.3566666666666656</v>
      </c>
      <c r="BM73" s="1">
        <f>[1]节奏总纲!BM73</f>
        <v>3.6099999999999985</v>
      </c>
      <c r="BN73" s="1">
        <f>[1]节奏总纲!BN73</f>
        <v>4.4333333333333318</v>
      </c>
      <c r="BP73" s="1">
        <f>[1]节奏总纲!BP73</f>
        <v>70</v>
      </c>
      <c r="BQ73" s="1">
        <f>[1]节奏总纲!BQ73</f>
        <v>134.32238585092639</v>
      </c>
      <c r="BR73" s="1">
        <f>[1]节奏总纲!BR73</f>
        <v>133.48248819741508</v>
      </c>
      <c r="BS73" s="1">
        <f>[1]节奏总纲!BS73</f>
        <v>132.56461040487298</v>
      </c>
      <c r="BT73" s="1">
        <f>[1]节奏总纲!BT73</f>
        <v>131.5959653197481</v>
      </c>
      <c r="BU73" s="1">
        <f>[1]节奏总纲!BU73</f>
        <v>130.57679608675303</v>
      </c>
      <c r="BW73" s="1">
        <f>[1]节奏总纲!BW73</f>
        <v>70</v>
      </c>
      <c r="BX73" s="1">
        <f>[1]节奏总纲!BX73</f>
        <v>39.628525141348646</v>
      </c>
      <c r="BY73" s="1">
        <f>[1]节奏总纲!BY73</f>
        <v>40.167205562734367</v>
      </c>
      <c r="BZ73" s="1">
        <f>[1]节奏总纲!BZ73</f>
        <v>40.760009392249536</v>
      </c>
      <c r="CA73" s="1">
        <f>[1]节奏总纲!CA73</f>
        <v>41.381700810460785</v>
      </c>
      <c r="CB73" s="1">
        <f>[1]节奏总纲!CB73</f>
        <v>42.080332137364977</v>
      </c>
      <c r="CC73" s="1">
        <f>[1]节奏总纲!CC73</f>
        <v>42.080332137364977</v>
      </c>
    </row>
    <row r="74" spans="6:81" x14ac:dyDescent="0.15">
      <c r="F74" s="1">
        <f>[1]节奏总纲!F74</f>
        <v>72</v>
      </c>
      <c r="G74" s="1">
        <f>[1]节奏总纲!G74</f>
        <v>146.03338943962044</v>
      </c>
      <c r="I74" s="1">
        <f>[1]节奏总纲!I74</f>
        <v>72</v>
      </c>
      <c r="J74" s="1">
        <f>[1]节奏总纲!J74</f>
        <v>14808.205062920617</v>
      </c>
      <c r="K74" s="13">
        <f>[1]节奏总纲!K74</f>
        <v>1.37</v>
      </c>
      <c r="N74" s="1">
        <f>[1]节奏总纲!N74</f>
        <v>81</v>
      </c>
      <c r="O74" s="1">
        <f>[1]节奏总纲!O74</f>
        <v>71</v>
      </c>
      <c r="P74" s="1">
        <f>[1]节奏总纲!P74</f>
        <v>136.18700320464549</v>
      </c>
      <c r="Q74" s="1">
        <f>[1]节奏总纲!Q74</f>
        <v>118.03327567746625</v>
      </c>
      <c r="R74" s="1">
        <f>[1]节奏总纲!R74</f>
        <v>96.583822672734584</v>
      </c>
      <c r="S74" s="1">
        <f>[1]节奏总纲!S74</f>
        <v>70.612961161608681</v>
      </c>
      <c r="T74" s="1">
        <f>[1]节奏总纲!T74</f>
        <v>39.126526020694648</v>
      </c>
      <c r="V74" s="1">
        <f>[1]节奏总纲!V74</f>
        <v>71</v>
      </c>
      <c r="W74" s="1">
        <f>[1]节奏总纲!W74</f>
        <v>9.1870032046454924</v>
      </c>
      <c r="X74" s="1">
        <f>[1]节奏总纲!X74</f>
        <v>8.0639756774662459</v>
      </c>
      <c r="Y74" s="1">
        <f>[1]节奏总纲!Y74</f>
        <v>6.4773226727345872</v>
      </c>
      <c r="Z74" s="1">
        <f>[1]节奏总纲!Z74</f>
        <v>4.6872611616086743</v>
      </c>
      <c r="AA74" s="1">
        <f>[1]节奏总纲!AA74</f>
        <v>2.6267260206946474</v>
      </c>
      <c r="AC74" s="1">
        <f>[1]节奏总纲!AC74</f>
        <v>71</v>
      </c>
      <c r="AD74" s="1">
        <f>[1]节奏总纲!AD74</f>
        <v>61.691928656135218</v>
      </c>
      <c r="AE74" s="1">
        <f>[1]节奏总纲!AE74</f>
        <v>63.716030809921811</v>
      </c>
      <c r="AF74" s="1">
        <f>[1]节奏总纲!AF74</f>
        <v>66.52254964941018</v>
      </c>
      <c r="AG74" s="1">
        <f>[1]节奏总纲!AG74</f>
        <v>71.07781362467729</v>
      </c>
      <c r="AH74" s="1">
        <f>[1]节奏总纲!AH74</f>
        <v>79.618252875757847</v>
      </c>
      <c r="AL74" s="1">
        <f>[1]节奏总纲!AL74</f>
        <v>71</v>
      </c>
      <c r="AM74" s="1">
        <f>[1]节奏总纲!AM74</f>
        <v>12797.106216824561</v>
      </c>
      <c r="AN74" s="1">
        <f>[1]节奏总纲!AN74</f>
        <v>10237.684973459649</v>
      </c>
      <c r="AO74" s="1">
        <f>[1]节奏总纲!AO74</f>
        <v>7678.2637300947363</v>
      </c>
      <c r="AP74" s="1">
        <f>[1]节奏总纲!AP74</f>
        <v>5118.8424867298245</v>
      </c>
      <c r="AQ74" s="1">
        <f>[1]节奏总纲!AQ74</f>
        <v>2559.4212433649122</v>
      </c>
      <c r="AS74" s="1">
        <f>[1]节奏总纲!AS74</f>
        <v>71</v>
      </c>
      <c r="AT74" s="1">
        <f>[1]节奏总纲!AT74</f>
        <v>1738.5812168245593</v>
      </c>
      <c r="AU74" s="1">
        <f>[1]节奏总纲!AU74</f>
        <v>1390.8649734596474</v>
      </c>
      <c r="AV74" s="1">
        <f>[1]节奏总纲!AV74</f>
        <v>1043.1487300947356</v>
      </c>
      <c r="AW74" s="1">
        <f>[1]节奏总纲!AW74</f>
        <v>695.43248672982372</v>
      </c>
      <c r="AX74" s="1">
        <f>[1]节奏总纲!AX74</f>
        <v>347.71624336491186</v>
      </c>
      <c r="AZ74" s="1">
        <f>[1]节奏总纲!AZ74</f>
        <v>71</v>
      </c>
      <c r="BA74" s="1">
        <f>[1]节奏总纲!BA74</f>
        <v>35.731931418977545</v>
      </c>
      <c r="BB74" s="1">
        <f>[1]节奏总纲!BB74</f>
        <v>37.226704182817912</v>
      </c>
      <c r="BC74" s="1">
        <f>[1]节奏总纲!BC74</f>
        <v>39.160241683169971</v>
      </c>
      <c r="BD74" s="1">
        <f>[1]节奏总纲!BD74</f>
        <v>41.892000518560877</v>
      </c>
      <c r="BE74" s="1">
        <f>[1]节奏总纲!BE74</f>
        <v>46.561371072329244</v>
      </c>
      <c r="BI74" s="1">
        <f>[1]节奏总纲!BI74</f>
        <v>71</v>
      </c>
      <c r="BJ74" s="1">
        <f>[1]节奏总纲!BJ74</f>
        <v>3.1999999999999988</v>
      </c>
      <c r="BK74" s="1">
        <f>[1]节奏总纲!BK74</f>
        <v>3.2639999999999989</v>
      </c>
      <c r="BL74" s="1">
        <f>[1]节奏总纲!BL74</f>
        <v>3.391999999999999</v>
      </c>
      <c r="BM74" s="1">
        <f>[1]节奏总纲!BM74</f>
        <v>3.6479999999999984</v>
      </c>
      <c r="BN74" s="1">
        <f>[1]节奏总纲!BN74</f>
        <v>4.4799999999999978</v>
      </c>
      <c r="BP74" s="1">
        <f>[1]节奏总纲!BP74</f>
        <v>71</v>
      </c>
      <c r="BQ74" s="1">
        <f>[1]节奏总纲!BQ74</f>
        <v>136.42791633259191</v>
      </c>
      <c r="BR74" s="1">
        <f>[1]节奏总纲!BR74</f>
        <v>135.62040290082996</v>
      </c>
      <c r="BS74" s="1">
        <f>[1]节奏总纲!BS74</f>
        <v>134.76985377611533</v>
      </c>
      <c r="BT74" s="1">
        <f>[1]节奏总纲!BT74</f>
        <v>133.82828810970861</v>
      </c>
      <c r="BU74" s="1">
        <f>[1]节奏总纲!BU74</f>
        <v>132.7790170152997</v>
      </c>
      <c r="BW74" s="1">
        <f>[1]节奏总纲!BW74</f>
        <v>71</v>
      </c>
      <c r="BX74" s="1">
        <f>[1]节奏总纲!BX74</f>
        <v>40.107783723382404</v>
      </c>
      <c r="BY74" s="1">
        <f>[1]节奏总纲!BY74</f>
        <v>40.637125609793571</v>
      </c>
      <c r="BZ74" s="1">
        <f>[1]节奏总纲!BZ74</f>
        <v>41.227183381803457</v>
      </c>
      <c r="CA74" s="1">
        <f>[1]节奏总纲!CA74</f>
        <v>41.85307774965591</v>
      </c>
      <c r="CB74" s="1">
        <f>[1]节奏总纲!CB74</f>
        <v>42.536236620449564</v>
      </c>
      <c r="CC74" s="1">
        <f>[1]节奏总纲!CC74</f>
        <v>42.536236620449564</v>
      </c>
    </row>
    <row r="75" spans="6:81" x14ac:dyDescent="0.15">
      <c r="F75" s="1">
        <f>[1]节奏总纲!F75</f>
        <v>73</v>
      </c>
      <c r="G75" s="1">
        <f>[1]节奏总纲!G75</f>
        <v>156.58648490814926</v>
      </c>
      <c r="I75" s="1">
        <f>[1]节奏总纲!I75</f>
        <v>73</v>
      </c>
      <c r="J75" s="1">
        <f>[1]节奏总纲!J75</f>
        <v>17134.425155737379</v>
      </c>
      <c r="K75" s="13">
        <f>[1]节奏总纲!K75</f>
        <v>1.38</v>
      </c>
      <c r="N75" s="1">
        <f>[1]节奏总纲!N75</f>
        <v>82</v>
      </c>
      <c r="O75" s="1">
        <f>[1]节奏总纲!O75</f>
        <v>72</v>
      </c>
      <c r="P75" s="1">
        <f>[1]节奏总纲!P75</f>
        <v>146.03338943962044</v>
      </c>
      <c r="Q75" s="1">
        <f>[1]节奏总纲!Q75</f>
        <v>126.581741966263</v>
      </c>
      <c r="R75" s="1">
        <f>[1]节奏总纲!R75</f>
        <v>103.31862302853146</v>
      </c>
      <c r="S75" s="1">
        <f>[1]节奏总纲!S75</f>
        <v>75.586882373947532</v>
      </c>
      <c r="T75" s="1">
        <f>[1]节奏总纲!T75</f>
        <v>41.896979430227098</v>
      </c>
      <c r="V75" s="1">
        <f>[1]节奏总纲!V75</f>
        <v>72</v>
      </c>
      <c r="W75" s="1">
        <f>[1]节奏总纲!W75</f>
        <v>9.8463862349749434</v>
      </c>
      <c r="X75" s="1">
        <f>[1]节奏总纲!X75</f>
        <v>8.548466288796746</v>
      </c>
      <c r="Y75" s="1">
        <f>[1]节奏总纲!Y75</f>
        <v>6.7348003557968781</v>
      </c>
      <c r="Z75" s="1">
        <f>[1]节奏总纲!Z75</f>
        <v>4.9739212123388512</v>
      </c>
      <c r="AA75" s="1">
        <f>[1]节奏总纲!AA75</f>
        <v>2.7704534095324505</v>
      </c>
      <c r="AC75" s="1">
        <f>[1]节奏总纲!AC75</f>
        <v>72</v>
      </c>
      <c r="AD75" s="1">
        <f>[1]节奏总纲!AD75</f>
        <v>61.895048862094221</v>
      </c>
      <c r="AE75" s="1">
        <f>[1]节奏总纲!AE75</f>
        <v>63.918876949118435</v>
      </c>
      <c r="AF75" s="1">
        <f>[1]节奏总纲!AF75</f>
        <v>66.7307849375064</v>
      </c>
      <c r="AG75" s="1">
        <f>[1]节奏总纲!AG75</f>
        <v>71.278862245535876</v>
      </c>
      <c r="AH75" s="1">
        <f>[1]节奏总纲!AH75</f>
        <v>79.833079619844597</v>
      </c>
      <c r="AL75" s="1">
        <f>[1]节奏总纲!AL75</f>
        <v>72</v>
      </c>
      <c r="AM75" s="1">
        <f>[1]节奏总纲!AM75</f>
        <v>14808.205062920617</v>
      </c>
      <c r="AN75" s="1">
        <f>[1]节奏总纲!AN75</f>
        <v>11846.564050336494</v>
      </c>
      <c r="AO75" s="1">
        <f>[1]节奏总纲!AO75</f>
        <v>8884.9230377523691</v>
      </c>
      <c r="AP75" s="1">
        <f>[1]节奏总纲!AP75</f>
        <v>5923.2820251682469</v>
      </c>
      <c r="AQ75" s="1">
        <f>[1]节奏总纲!AQ75</f>
        <v>2961.6410125841235</v>
      </c>
      <c r="AS75" s="1">
        <f>[1]节奏总纲!AS75</f>
        <v>72</v>
      </c>
      <c r="AT75" s="1">
        <f>[1]节奏总纲!AT75</f>
        <v>2011.0988460960561</v>
      </c>
      <c r="AU75" s="1">
        <f>[1]节奏总纲!AU75</f>
        <v>1608.8790768768449</v>
      </c>
      <c r="AV75" s="1">
        <f>[1]节奏总纲!AV75</f>
        <v>1206.6593076576328</v>
      </c>
      <c r="AW75" s="1">
        <f>[1]节奏总纲!AW75</f>
        <v>804.43953843842246</v>
      </c>
      <c r="AX75" s="1">
        <f>[1]节奏总纲!AX75</f>
        <v>402.21976921921123</v>
      </c>
      <c r="AZ75" s="1">
        <f>[1]节奏总纲!AZ75</f>
        <v>72</v>
      </c>
      <c r="BA75" s="1">
        <f>[1]节奏总纲!BA75</f>
        <v>35.829522274841217</v>
      </c>
      <c r="BB75" s="1">
        <f>[1]节奏总纲!BB75</f>
        <v>37.317457773889828</v>
      </c>
      <c r="BC75" s="1">
        <f>[1]节奏总纲!BC75</f>
        <v>39.250296194358178</v>
      </c>
      <c r="BD75" s="1">
        <f>[1]节奏总纲!BD75</f>
        <v>41.992566056290244</v>
      </c>
      <c r="BE75" s="1">
        <f>[1]节奏总纲!BE75</f>
        <v>46.657691286422882</v>
      </c>
      <c r="BI75" s="1">
        <f>[1]节奏总纲!BI75</f>
        <v>72</v>
      </c>
      <c r="BJ75" s="1">
        <f>[1]节奏总纲!BJ75</f>
        <v>3.2333333333333321</v>
      </c>
      <c r="BK75" s="1">
        <f>[1]节奏总纲!BK75</f>
        <v>3.2979999999999987</v>
      </c>
      <c r="BL75" s="1">
        <f>[1]节奏总纲!BL75</f>
        <v>3.427333333333332</v>
      </c>
      <c r="BM75" s="1">
        <f>[1]节奏总纲!BM75</f>
        <v>3.6859999999999982</v>
      </c>
      <c r="BN75" s="1">
        <f>[1]节奏总纲!BN75</f>
        <v>4.5266666666666646</v>
      </c>
      <c r="BP75" s="1">
        <f>[1]节奏总纲!BP75</f>
        <v>72</v>
      </c>
      <c r="BQ75" s="1">
        <f>[1]节奏总纲!BQ75</f>
        <v>138.53345528648683</v>
      </c>
      <c r="BR75" s="1">
        <f>[1]节奏总纲!BR75</f>
        <v>137.70627422196659</v>
      </c>
      <c r="BS75" s="1">
        <f>[1]节奏总纲!BS75</f>
        <v>136.8190741194654</v>
      </c>
      <c r="BT75" s="1">
        <f>[1]节奏总纲!BT75</f>
        <v>135.89542876835631</v>
      </c>
      <c r="BU75" s="1">
        <f>[1]节奏总纲!BU75</f>
        <v>134.91256595481366</v>
      </c>
      <c r="BW75" s="1">
        <f>[1]节奏总纲!BW75</f>
        <v>72</v>
      </c>
      <c r="BX75" s="1">
        <f>[1]节奏总纲!BX75</f>
        <v>40.566814302636963</v>
      </c>
      <c r="BY75" s="1">
        <f>[1]节奏总纲!BY75</f>
        <v>41.116727813554483</v>
      </c>
      <c r="BZ75" s="1">
        <f>[1]节奏总纲!BZ75</f>
        <v>41.67870926132386</v>
      </c>
      <c r="CA75" s="1">
        <f>[1]节奏总纲!CA75</f>
        <v>42.304861384799864</v>
      </c>
      <c r="CB75" s="1">
        <f>[1]节奏总纲!CB75</f>
        <v>43.014746184152813</v>
      </c>
      <c r="CC75" s="1">
        <f>[1]节奏总纲!CC75</f>
        <v>43.014746184152813</v>
      </c>
    </row>
    <row r="76" spans="6:81" x14ac:dyDescent="0.15">
      <c r="F76" s="1">
        <f>[1]节奏总纲!F76</f>
        <v>74</v>
      </c>
      <c r="G76" s="1">
        <f>[1]节奏总纲!G76</f>
        <v>167.89701257893043</v>
      </c>
      <c r="I76" s="1">
        <f>[1]节奏总纲!I76</f>
        <v>74</v>
      </c>
      <c r="J76" s="1">
        <f>[1]节奏总纲!J76</f>
        <v>19825.014596370729</v>
      </c>
      <c r="K76" s="13">
        <f>[1]节奏总纲!K76</f>
        <v>1.39</v>
      </c>
      <c r="N76" s="1">
        <f>[1]节奏总纲!N76</f>
        <v>83</v>
      </c>
      <c r="O76" s="1">
        <f>[1]节奏总纲!O76</f>
        <v>73</v>
      </c>
      <c r="P76" s="1">
        <f>[1]节奏总纲!P76</f>
        <v>156.58648490814926</v>
      </c>
      <c r="Q76" s="1">
        <f>[1]节奏总纲!Q76</f>
        <v>135.41599214856748</v>
      </c>
      <c r="R76" s="1">
        <f>[1]节奏总纲!R76</f>
        <v>110.58137564213501</v>
      </c>
      <c r="S76" s="1">
        <f>[1]节奏总纲!S76</f>
        <v>80.955212697513176</v>
      </c>
      <c r="T76" s="1">
        <f>[1]节奏总纲!T76</f>
        <v>44.877686574675579</v>
      </c>
      <c r="V76" s="1">
        <f>[1]节奏总纲!V76</f>
        <v>73</v>
      </c>
      <c r="W76" s="1">
        <f>[1]节奏总纲!W76</f>
        <v>10.553095468528824</v>
      </c>
      <c r="X76" s="1">
        <f>[1]节奏总纲!X76</f>
        <v>8.834250182304487</v>
      </c>
      <c r="Y76" s="1">
        <f>[1]节奏总纲!Y76</f>
        <v>7.2627526136035527</v>
      </c>
      <c r="Z76" s="1">
        <f>[1]节奏总纲!Z76</f>
        <v>5.3683303235656439</v>
      </c>
      <c r="AA76" s="1">
        <f>[1]节奏总纲!AA76</f>
        <v>2.9807071444484805</v>
      </c>
      <c r="AC76" s="1">
        <f>[1]节奏总纲!AC76</f>
        <v>73</v>
      </c>
      <c r="AD76" s="1">
        <f>[1]节奏总纲!AD76</f>
        <v>62.091594979242075</v>
      </c>
      <c r="AE76" s="1">
        <f>[1]节奏总纲!AE76</f>
        <v>64.114306430026588</v>
      </c>
      <c r="AF76" s="1">
        <f>[1]节奏总纲!AF76</f>
        <v>66.939020225602619</v>
      </c>
      <c r="AG76" s="1">
        <f>[1]节奏总纲!AG76</f>
        <v>71.479910866394462</v>
      </c>
      <c r="AH76" s="1">
        <f>[1]节奏总纲!AH76</f>
        <v>80.043898354812981</v>
      </c>
      <c r="AL76" s="1">
        <f>[1]节奏总纲!AL76</f>
        <v>73</v>
      </c>
      <c r="AM76" s="1">
        <f>[1]节奏总纲!AM76</f>
        <v>17134.425155737379</v>
      </c>
      <c r="AN76" s="1">
        <f>[1]节奏总纲!AN76</f>
        <v>13707.540124589905</v>
      </c>
      <c r="AO76" s="1">
        <f>[1]节奏总纲!AO76</f>
        <v>10280.655093442427</v>
      </c>
      <c r="AP76" s="1">
        <f>[1]节奏总纲!AP76</f>
        <v>6853.7700622949524</v>
      </c>
      <c r="AQ76" s="1">
        <f>[1]节奏总纲!AQ76</f>
        <v>3426.8850311474762</v>
      </c>
      <c r="AS76" s="1">
        <f>[1]节奏总纲!AS76</f>
        <v>73</v>
      </c>
      <c r="AT76" s="1">
        <f>[1]节奏总纲!AT76</f>
        <v>2326.2200928167622</v>
      </c>
      <c r="AU76" s="1">
        <f>[1]节奏总纲!AU76</f>
        <v>1860.9760742534108</v>
      </c>
      <c r="AV76" s="1">
        <f>[1]节奏总纲!AV76</f>
        <v>1395.7320556900577</v>
      </c>
      <c r="AW76" s="1">
        <f>[1]节奏总纲!AW76</f>
        <v>930.48803712670542</v>
      </c>
      <c r="AX76" s="1">
        <f>[1]节奏总纲!AX76</f>
        <v>465.24401856335271</v>
      </c>
      <c r="AZ76" s="1">
        <f>[1]节奏总纲!AZ76</f>
        <v>73</v>
      </c>
      <c r="BA76" s="1">
        <f>[1]节奏总纲!BA76</f>
        <v>35.927113130704889</v>
      </c>
      <c r="BB76" s="1">
        <f>[1]节奏总纲!BB76</f>
        <v>37.408211364961737</v>
      </c>
      <c r="BC76" s="1">
        <f>[1]节奏总纲!BC76</f>
        <v>39.340350705546385</v>
      </c>
      <c r="BD76" s="1">
        <f>[1]节奏总纲!BD76</f>
        <v>42.080366850119908</v>
      </c>
      <c r="BE76" s="1">
        <f>[1]节奏总纲!BE76</f>
        <v>46.754011500516519</v>
      </c>
      <c r="BI76" s="1">
        <f>[1]节奏总纲!BI76</f>
        <v>73</v>
      </c>
      <c r="BJ76" s="1">
        <f>[1]节奏总纲!BJ76</f>
        <v>3.2666666666666653</v>
      </c>
      <c r="BK76" s="1">
        <f>[1]节奏总纲!BK76</f>
        <v>3.3319999999999985</v>
      </c>
      <c r="BL76" s="1">
        <f>[1]节奏总纲!BL76</f>
        <v>3.4626666666666654</v>
      </c>
      <c r="BM76" s="1">
        <f>[1]节奏总纲!BM76</f>
        <v>3.723999999999998</v>
      </c>
      <c r="BN76" s="1">
        <f>[1]节奏总纲!BN76</f>
        <v>4.5733333333333315</v>
      </c>
      <c r="BP76" s="1">
        <f>[1]节奏总纲!BP76</f>
        <v>73</v>
      </c>
      <c r="BQ76" s="1">
        <f>[1]节奏总纲!BQ76</f>
        <v>140.63900152187057</v>
      </c>
      <c r="BR76" s="1">
        <f>[1]节奏总纲!BR76</f>
        <v>139.81183580038677</v>
      </c>
      <c r="BS76" s="1">
        <f>[1]节奏总纲!BS76</f>
        <v>138.91106706435997</v>
      </c>
      <c r="BT76" s="1">
        <f>[1]节奏总纲!BT76</f>
        <v>137.96184741964817</v>
      </c>
      <c r="BU76" s="1">
        <f>[1]节奏总纲!BU76</f>
        <v>136.95030487715928</v>
      </c>
      <c r="BW76" s="1">
        <f>[1]节奏总纲!BW76</f>
        <v>73</v>
      </c>
      <c r="BX76" s="1">
        <f>[1]节奏总纲!BX76</f>
        <v>41.050728962151652</v>
      </c>
      <c r="BY76" s="1">
        <f>[1]节奏总纲!BY76</f>
        <v>41.560938373564056</v>
      </c>
      <c r="BZ76" s="1">
        <f>[1]节奏总纲!BZ76</f>
        <v>42.142929396202454</v>
      </c>
      <c r="CA76" s="1">
        <f>[1]节奏总纲!CA76</f>
        <v>42.770735222023518</v>
      </c>
      <c r="CB76" s="1">
        <f>[1]节奏总纲!CB76</f>
        <v>43.461216869621744</v>
      </c>
      <c r="CC76" s="1">
        <f>[1]节奏总纲!CC76</f>
        <v>43.461216869621744</v>
      </c>
    </row>
    <row r="77" spans="6:81" x14ac:dyDescent="0.15">
      <c r="F77" s="1">
        <f>[1]节奏总纲!F77</f>
        <v>75</v>
      </c>
      <c r="G77" s="1">
        <f>[1]节奏总纲!G77</f>
        <v>180.01933598375612</v>
      </c>
      <c r="I77" s="1">
        <f>[1]节奏总纲!I77</f>
        <v>75</v>
      </c>
      <c r="J77" s="1">
        <f>[1]节奏总纲!J77</f>
        <v>22936.899999999998</v>
      </c>
      <c r="K77" s="13">
        <f>[1]节奏总纲!K77</f>
        <v>1.4</v>
      </c>
      <c r="N77" s="1">
        <f>[1]节奏总纲!N77</f>
        <v>84</v>
      </c>
      <c r="O77" s="1">
        <f>[1]节奏总纲!O77</f>
        <v>74</v>
      </c>
      <c r="P77" s="1">
        <f>[1]节奏总纲!P77</f>
        <v>167.89701257893043</v>
      </c>
      <c r="Q77" s="1">
        <f>[1]节奏总纲!Q77</f>
        <v>145.16375707574326</v>
      </c>
      <c r="R77" s="1">
        <f>[1]节奏总纲!R77</f>
        <v>118.70318789330381</v>
      </c>
      <c r="S77" s="1">
        <f>[1]节奏总纲!S77</f>
        <v>86.869914308338593</v>
      </c>
      <c r="T77" s="1">
        <f>[1]节奏总纲!T77</f>
        <v>48.169652908895138</v>
      </c>
      <c r="V77" s="1">
        <f>[1]节奏总纲!V77</f>
        <v>74</v>
      </c>
      <c r="W77" s="1">
        <f>[1]节奏总纲!W77</f>
        <v>11.31052767078117</v>
      </c>
      <c r="X77" s="1">
        <f>[1]节奏总纲!X77</f>
        <v>9.7477649271757798</v>
      </c>
      <c r="Y77" s="1">
        <f>[1]节奏总纲!Y77</f>
        <v>8.1218122511687909</v>
      </c>
      <c r="Z77" s="1">
        <f>[1]节奏总纲!Z77</f>
        <v>5.9147016108254178</v>
      </c>
      <c r="AA77" s="1">
        <f>[1]节奏总纲!AA77</f>
        <v>3.2919663342195591</v>
      </c>
      <c r="AC77" s="1">
        <f>[1]节奏总纲!AC77</f>
        <v>74</v>
      </c>
      <c r="AD77" s="1">
        <f>[1]节奏总纲!AD77</f>
        <v>62.281112832649576</v>
      </c>
      <c r="AE77" s="1">
        <f>[1]节奏总纲!AE77</f>
        <v>64.304793036447776</v>
      </c>
      <c r="AF77" s="1">
        <f>[1]节奏总纲!AF77</f>
        <v>67.14262442756818</v>
      </c>
      <c r="AG77" s="1">
        <f>[1]节奏总纲!AG77</f>
        <v>71.680959487253048</v>
      </c>
      <c r="AH77" s="1">
        <f>[1]节奏总纲!AH77</f>
        <v>80.24075196383977</v>
      </c>
      <c r="AL77" s="1">
        <f>[1]节奏总纲!AL77</f>
        <v>74</v>
      </c>
      <c r="AM77" s="1">
        <f>[1]节奏总纲!AM77</f>
        <v>19825.014596370729</v>
      </c>
      <c r="AN77" s="1">
        <f>[1]节奏总纲!AN77</f>
        <v>15860.011677096583</v>
      </c>
      <c r="AO77" s="1">
        <f>[1]节奏总纲!AO77</f>
        <v>11895.008757822437</v>
      </c>
      <c r="AP77" s="1">
        <f>[1]节奏总纲!AP77</f>
        <v>7930.0058385482916</v>
      </c>
      <c r="AQ77" s="1">
        <f>[1]节奏总纲!AQ77</f>
        <v>3965.0029192741458</v>
      </c>
      <c r="AS77" s="1">
        <f>[1]节奏总纲!AS77</f>
        <v>74</v>
      </c>
      <c r="AT77" s="1">
        <f>[1]节奏总纲!AT77</f>
        <v>2690.58944063335</v>
      </c>
      <c r="AU77" s="1">
        <f>[1]节奏总纲!AU77</f>
        <v>2152.4715525066786</v>
      </c>
      <c r="AV77" s="1">
        <f>[1]节奏总纲!AV77</f>
        <v>1614.3536643800107</v>
      </c>
      <c r="AW77" s="1">
        <f>[1]节奏总纲!AW77</f>
        <v>1076.2357762533393</v>
      </c>
      <c r="AX77" s="1">
        <f>[1]节奏总纲!AX77</f>
        <v>538.11788812666964</v>
      </c>
      <c r="AZ77" s="1">
        <f>[1]节奏总纲!AZ77</f>
        <v>74</v>
      </c>
      <c r="BA77" s="1">
        <f>[1]节奏总纲!BA77</f>
        <v>36.021306837933537</v>
      </c>
      <c r="BB77" s="1">
        <f>[1]节奏总纲!BB77</f>
        <v>37.498964956033646</v>
      </c>
      <c r="BC77" s="1">
        <f>[1]节奏总纲!BC77</f>
        <v>39.430405216734592</v>
      </c>
      <c r="BD77" s="1">
        <f>[1]节奏总纲!BD77</f>
        <v>42.167148737437564</v>
      </c>
      <c r="BE77" s="1">
        <f>[1]节奏总纲!BE77</f>
        <v>46.850331714610157</v>
      </c>
      <c r="BI77" s="1">
        <f>[1]节奏总纲!BI77</f>
        <v>74</v>
      </c>
      <c r="BJ77" s="1">
        <f>[1]节奏总纲!BJ77</f>
        <v>3.2999999999999985</v>
      </c>
      <c r="BK77" s="1">
        <f>[1]节奏总纲!BK77</f>
        <v>3.3659999999999983</v>
      </c>
      <c r="BL77" s="1">
        <f>[1]节奏总纲!BL77</f>
        <v>3.4979999999999984</v>
      </c>
      <c r="BM77" s="1">
        <f>[1]节奏总纲!BM77</f>
        <v>3.7619999999999978</v>
      </c>
      <c r="BN77" s="1">
        <f>[1]节奏总纲!BN77</f>
        <v>4.6199999999999974</v>
      </c>
      <c r="BP77" s="1">
        <f>[1]节奏总纲!BP77</f>
        <v>74</v>
      </c>
      <c r="BQ77" s="1">
        <f>[1]节奏总纲!BQ77</f>
        <v>142.74455401431342</v>
      </c>
      <c r="BR77" s="1">
        <f>[1]节奏总纲!BR77</f>
        <v>141.95854268233577</v>
      </c>
      <c r="BS77" s="1">
        <f>[1]节奏总纲!BS77</f>
        <v>141.12063409703663</v>
      </c>
      <c r="BT77" s="1">
        <f>[1]节奏总纲!BT77</f>
        <v>140.18479766698579</v>
      </c>
      <c r="BU77" s="1">
        <f>[1]节奏总纲!BU77</f>
        <v>139.16271061168544</v>
      </c>
      <c r="BW77" s="1">
        <f>[1]节奏总纲!BW77</f>
        <v>74</v>
      </c>
      <c r="BX77" s="1">
        <f>[1]节奏总纲!BX77</f>
        <v>41.505708681037625</v>
      </c>
      <c r="BY77" s="1">
        <f>[1]节奏总纲!BY77</f>
        <v>42.044081480508389</v>
      </c>
      <c r="BZ77" s="1">
        <f>[1]节奏总纲!BZ77</f>
        <v>42.612813526599879</v>
      </c>
      <c r="CA77" s="1">
        <f>[1]节奏总纲!CA77</f>
        <v>43.245114997782593</v>
      </c>
      <c r="CB77" s="1">
        <f>[1]节奏总纲!CB77</f>
        <v>43.954310083598529</v>
      </c>
      <c r="CC77" s="1">
        <f>[1]节奏总纲!CC77</f>
        <v>43.954310083598529</v>
      </c>
    </row>
    <row r="78" spans="6:81" x14ac:dyDescent="0.15">
      <c r="F78" s="1">
        <f>[1]节奏总纲!F78</f>
        <v>76</v>
      </c>
      <c r="G78" s="1">
        <f>[1]节奏总纲!G78</f>
        <v>193.01172051333091</v>
      </c>
      <c r="I78" s="1">
        <f>[1]节奏总纲!I78</f>
        <v>76</v>
      </c>
      <c r="J78" s="1">
        <f>[1]节奏总纲!J78</f>
        <v>26535.88112606269</v>
      </c>
      <c r="K78" s="13">
        <f>[1]节奏总纲!K78</f>
        <v>1.41</v>
      </c>
      <c r="N78" s="1">
        <f>[1]节奏总纲!N78</f>
        <v>85</v>
      </c>
      <c r="O78" s="1">
        <f>[1]节奏总纲!O78</f>
        <v>75</v>
      </c>
      <c r="P78" s="1">
        <f>[1]节奏总纲!P78</f>
        <v>180.01933598375612</v>
      </c>
      <c r="Q78" s="1">
        <f>[1]节奏总纲!Q78</f>
        <v>155.75272949314578</v>
      </c>
      <c r="R78" s="1">
        <f>[1]节奏总纲!R78</f>
        <v>127.38168214210583</v>
      </c>
      <c r="S78" s="1">
        <f>[1]节奏总纲!S78</f>
        <v>93.214012172388934</v>
      </c>
      <c r="T78" s="1">
        <f>[1]节奏总纲!T78</f>
        <v>51.755559095329879</v>
      </c>
      <c r="V78" s="1">
        <f>[1]节奏总纲!V78</f>
        <v>75</v>
      </c>
      <c r="W78" s="1">
        <f>[1]节奏总纲!W78</f>
        <v>12.122323404825693</v>
      </c>
      <c r="X78" s="1">
        <f>[1]节奏总纲!X78</f>
        <v>10.588972417402516</v>
      </c>
      <c r="Y78" s="1">
        <f>[1]节奏总纲!Y78</f>
        <v>8.6784942488020249</v>
      </c>
      <c r="Z78" s="1">
        <f>[1]节奏总纲!Z78</f>
        <v>6.3440978640503403</v>
      </c>
      <c r="AA78" s="1">
        <f>[1]节奏总纲!AA78</f>
        <v>3.585906186434741</v>
      </c>
      <c r="AC78" s="1">
        <f>[1]节奏总纲!AC78</f>
        <v>75</v>
      </c>
      <c r="AD78" s="1">
        <f>[1]节奏总纲!AD78</f>
        <v>62.470630686057078</v>
      </c>
      <c r="AE78" s="1">
        <f>[1]节奏总纲!AE78</f>
        <v>64.495279642868965</v>
      </c>
      <c r="AF78" s="1">
        <f>[1]节奏总纲!AF78</f>
        <v>67.344310856946692</v>
      </c>
      <c r="AG78" s="1">
        <f>[1]节奏总纲!AG78</f>
        <v>71.882008108111634</v>
      </c>
      <c r="AH78" s="1">
        <f>[1]节奏总纲!AH78</f>
        <v>80.437605572866573</v>
      </c>
      <c r="AL78" s="1">
        <f>[1]节奏总纲!AL78</f>
        <v>75</v>
      </c>
      <c r="AM78" s="1">
        <f>[1]节奏总纲!AM78</f>
        <v>22936.899999999998</v>
      </c>
      <c r="AN78" s="1">
        <f>[1]节奏总纲!AN78</f>
        <v>18349.52</v>
      </c>
      <c r="AO78" s="1">
        <f>[1]节奏总纲!AO78</f>
        <v>13762.139999999998</v>
      </c>
      <c r="AP78" s="1">
        <f>[1]节奏总纲!AP78</f>
        <v>9174.76</v>
      </c>
      <c r="AQ78" s="1">
        <f>[1]节奏总纲!AQ78</f>
        <v>4587.38</v>
      </c>
      <c r="AS78" s="1">
        <f>[1]节奏总纲!AS78</f>
        <v>75</v>
      </c>
      <c r="AT78" s="1">
        <f>[1]节奏总纲!AT78</f>
        <v>3111.8854036292687</v>
      </c>
      <c r="AU78" s="1">
        <f>[1]节奏总纲!AU78</f>
        <v>2489.5083229034171</v>
      </c>
      <c r="AV78" s="1">
        <f>[1]节奏总纲!AV78</f>
        <v>1867.1312421775601</v>
      </c>
      <c r="AW78" s="1">
        <f>[1]节奏总纲!AW78</f>
        <v>1244.7541614517086</v>
      </c>
      <c r="AX78" s="1">
        <f>[1]节奏总纲!AX78</f>
        <v>622.37708072585428</v>
      </c>
      <c r="AZ78" s="1">
        <f>[1]节奏总纲!AZ78</f>
        <v>75</v>
      </c>
      <c r="BA78" s="1">
        <f>[1]节奏总纲!BA78</f>
        <v>36.105477566569242</v>
      </c>
      <c r="BB78" s="1">
        <f>[1]节奏总纲!BB78</f>
        <v>37.589718547105562</v>
      </c>
      <c r="BC78" s="1">
        <f>[1]节奏总纲!BC78</f>
        <v>39.520459727922798</v>
      </c>
      <c r="BD78" s="1">
        <f>[1]节奏总纲!BD78</f>
        <v>42.253930624755228</v>
      </c>
      <c r="BE78" s="1">
        <f>[1]节奏总纲!BE78</f>
        <v>46.946651928703787</v>
      </c>
      <c r="BI78" s="1">
        <f>[1]节奏总纲!BI78</f>
        <v>75</v>
      </c>
      <c r="BJ78" s="1">
        <f>[1]节奏总纲!BJ78</f>
        <v>3.3333333333333317</v>
      </c>
      <c r="BK78" s="1">
        <f>[1]节奏总纲!BK78</f>
        <v>3.3999999999999986</v>
      </c>
      <c r="BL78" s="1">
        <f>[1]节奏总纲!BL78</f>
        <v>3.5333333333333319</v>
      </c>
      <c r="BM78" s="1">
        <f>[1]节奏总纲!BM78</f>
        <v>3.7999999999999976</v>
      </c>
      <c r="BN78" s="1">
        <f>[1]节奏总纲!BN78</f>
        <v>4.6666666666666643</v>
      </c>
      <c r="BP78" s="1">
        <f>[1]节奏总纲!BP78</f>
        <v>75</v>
      </c>
      <c r="BQ78" s="1">
        <f>[1]节奏总纲!BQ78</f>
        <v>144.85011188259233</v>
      </c>
      <c r="BR78" s="1">
        <f>[1]节奏总纲!BR78</f>
        <v>144.04377283559913</v>
      </c>
      <c r="BS78" s="1">
        <f>[1]节奏总纲!BS78</f>
        <v>143.16904869712448</v>
      </c>
      <c r="BT78" s="1">
        <f>[1]节奏总纲!BT78</f>
        <v>142.25753558451294</v>
      </c>
      <c r="BU78" s="1">
        <f>[1]节奏总纲!BU78</f>
        <v>141.29248112662486</v>
      </c>
      <c r="BW78" s="1">
        <f>[1]节奏总纲!BW78</f>
        <v>75</v>
      </c>
      <c r="BX78" s="1">
        <f>[1]节奏总纲!BX78</f>
        <v>41.993343869731824</v>
      </c>
      <c r="BY78" s="1">
        <f>[1]节奏总纲!BY78</f>
        <v>42.503546986076806</v>
      </c>
      <c r="BZ78" s="1">
        <f>[1]节奏总纲!BZ78</f>
        <v>43.099163240208767</v>
      </c>
      <c r="CA78" s="1">
        <f>[1]节奏总纲!CA78</f>
        <v>43.720246163774526</v>
      </c>
      <c r="CB78" s="1">
        <f>[1]节奏总纲!CB78</f>
        <v>44.424142211876969</v>
      </c>
      <c r="CC78" s="1">
        <f>[1]节奏总纲!CC78</f>
        <v>44.424142211876969</v>
      </c>
    </row>
    <row r="79" spans="6:81" x14ac:dyDescent="0.15">
      <c r="F79" s="1">
        <f>[1]节奏总纲!F79</f>
        <v>77</v>
      </c>
      <c r="G79" s="1">
        <f>[1]节奏总纲!G79</f>
        <v>206.93661346719625</v>
      </c>
      <c r="I79" s="1">
        <f>[1]节奏总纲!I79</f>
        <v>77</v>
      </c>
      <c r="J79" s="1">
        <f>[1]节奏总纲!J79</f>
        <v>30698.011006346387</v>
      </c>
      <c r="K79" s="13">
        <f>[1]节奏总纲!K79</f>
        <v>1.42</v>
      </c>
      <c r="N79" s="1">
        <f>[1]节奏总纲!N79</f>
        <v>86</v>
      </c>
      <c r="O79" s="1">
        <f>[1]节奏总纲!O79</f>
        <v>76</v>
      </c>
      <c r="P79" s="1">
        <f>[1]节奏总纲!P79</f>
        <v>193.01172051333091</v>
      </c>
      <c r="Q79" s="1">
        <f>[1]节奏总纲!Q79</f>
        <v>166.97443941608256</v>
      </c>
      <c r="R79" s="1">
        <f>[1]节奏总纲!R79</f>
        <v>136.51718991907896</v>
      </c>
      <c r="S79" s="1">
        <f>[1]节奏总纲!S79</f>
        <v>100.0379747420594</v>
      </c>
      <c r="T79" s="1">
        <f>[1]节奏总纲!T79</f>
        <v>55.664580196044632</v>
      </c>
      <c r="V79" s="1">
        <f>[1]节奏总纲!V79</f>
        <v>76</v>
      </c>
      <c r="W79" s="1">
        <f>[1]节奏总纲!W79</f>
        <v>12.992384529574792</v>
      </c>
      <c r="X79" s="1">
        <f>[1]节奏总纲!X79</f>
        <v>11.221709922936782</v>
      </c>
      <c r="Y79" s="1">
        <f>[1]节奏总纲!Y79</f>
        <v>9.1355077769731281</v>
      </c>
      <c r="Z79" s="1">
        <f>[1]节奏总纲!Z79</f>
        <v>6.8239625696704707</v>
      </c>
      <c r="AA79" s="1">
        <f>[1]节奏总纲!AA79</f>
        <v>3.9090211007147531</v>
      </c>
      <c r="AC79" s="1">
        <f>[1]节奏总纲!AC79</f>
        <v>76</v>
      </c>
      <c r="AD79" s="1">
        <f>[1]节奏总纲!AD79</f>
        <v>62.660148539464579</v>
      </c>
      <c r="AE79" s="1">
        <f>[1]节奏总纲!AE79</f>
        <v>64.685766249290154</v>
      </c>
      <c r="AF79" s="1">
        <f>[1]节奏总纲!AF79</f>
        <v>67.545997286325218</v>
      </c>
      <c r="AG79" s="1">
        <f>[1]节奏总纲!AG79</f>
        <v>72.076954583856178</v>
      </c>
      <c r="AH79" s="1">
        <f>[1]节奏总纲!AH79</f>
        <v>80.634459181893376</v>
      </c>
      <c r="AL79" s="1">
        <f>[1]节奏总纲!AL79</f>
        <v>76</v>
      </c>
      <c r="AM79" s="1">
        <f>[1]节奏总纲!AM79</f>
        <v>26535.88112606269</v>
      </c>
      <c r="AN79" s="1">
        <f>[1]节奏总纲!AN79</f>
        <v>21228.704900850153</v>
      </c>
      <c r="AO79" s="1">
        <f>[1]节奏总纲!AO79</f>
        <v>15921.528675637614</v>
      </c>
      <c r="AP79" s="1">
        <f>[1]节奏总纲!AP79</f>
        <v>10614.352450425076</v>
      </c>
      <c r="AQ79" s="1">
        <f>[1]节奏总纲!AQ79</f>
        <v>5307.1762252125382</v>
      </c>
      <c r="AS79" s="1">
        <f>[1]节奏总纲!AS79</f>
        <v>76</v>
      </c>
      <c r="AT79" s="1">
        <f>[1]节奏总纲!AT79</f>
        <v>3598.9811260626921</v>
      </c>
      <c r="AU79" s="1">
        <f>[1]节奏总纲!AU79</f>
        <v>2879.1849008501522</v>
      </c>
      <c r="AV79" s="1">
        <f>[1]节奏总纲!AV79</f>
        <v>2159.388675637616</v>
      </c>
      <c r="AW79" s="1">
        <f>[1]节奏总纲!AW79</f>
        <v>1439.5924504250761</v>
      </c>
      <c r="AX79" s="1">
        <f>[1]节奏总纲!AX79</f>
        <v>719.79622521253805</v>
      </c>
      <c r="AZ79" s="1">
        <f>[1]节奏总纲!AZ79</f>
        <v>76</v>
      </c>
      <c r="BA79" s="1">
        <f>[1]节奏总纲!BA79</f>
        <v>36.189648295204947</v>
      </c>
      <c r="BB79" s="1">
        <f>[1]节奏总纲!BB79</f>
        <v>37.680472138177471</v>
      </c>
      <c r="BC79" s="1">
        <f>[1]节奏总纲!BC79</f>
        <v>39.610514239111005</v>
      </c>
      <c r="BD79" s="1">
        <f>[1]节奏总纲!BD79</f>
        <v>42.340712512072891</v>
      </c>
      <c r="BE79" s="1">
        <f>[1]节奏总纲!BE79</f>
        <v>47.037096473408994</v>
      </c>
      <c r="BI79" s="1">
        <f>[1]节奏总纲!BI79</f>
        <v>76</v>
      </c>
      <c r="BJ79" s="1">
        <f>[1]节奏总纲!BJ79</f>
        <v>3.3666666666666649</v>
      </c>
      <c r="BK79" s="1">
        <f>[1]节奏总纲!BK79</f>
        <v>3.4339999999999984</v>
      </c>
      <c r="BL79" s="1">
        <f>[1]节奏总纲!BL79</f>
        <v>3.5686666666666649</v>
      </c>
      <c r="BM79" s="1">
        <f>[1]节奏总纲!BM79</f>
        <v>3.8379999999999979</v>
      </c>
      <c r="BN79" s="1">
        <f>[1]节奏总纲!BN79</f>
        <v>4.7133333333333303</v>
      </c>
      <c r="BP79" s="1">
        <f>[1]节奏总纲!BP79</f>
        <v>76</v>
      </c>
      <c r="BQ79" s="1">
        <f>[1]节奏总纲!BQ79</f>
        <v>146.95567436878142</v>
      </c>
      <c r="BR79" s="1">
        <f>[1]节奏总纲!BR79</f>
        <v>146.1345285871148</v>
      </c>
      <c r="BS79" s="1">
        <f>[1]节奏总纲!BS79</f>
        <v>145.25314650323406</v>
      </c>
      <c r="BT79" s="1">
        <f>[1]节奏总纲!BT79</f>
        <v>144.32236845404299</v>
      </c>
      <c r="BU79" s="1">
        <f>[1]节奏总纲!BU79</f>
        <v>143.33605108914449</v>
      </c>
      <c r="BW79" s="1">
        <f>[1]节奏总纲!BW79</f>
        <v>76</v>
      </c>
      <c r="BX79" s="1">
        <f>[1]节奏总纲!BX79</f>
        <v>42.445257628160959</v>
      </c>
      <c r="BY79" s="1">
        <f>[1]节奏总纲!BY79</f>
        <v>42.990467569098698</v>
      </c>
      <c r="BZ79" s="1">
        <f>[1]节奏总纲!BZ79</f>
        <v>43.55528950171113</v>
      </c>
      <c r="CA79" s="1">
        <f>[1]节奏总纲!CA79</f>
        <v>44.199643027024372</v>
      </c>
      <c r="CB79" s="1">
        <f>[1]节奏总纲!CB79</f>
        <v>44.929489637728736</v>
      </c>
      <c r="CC79" s="1">
        <f>[1]节奏总纲!CC79</f>
        <v>44.929489637728736</v>
      </c>
    </row>
    <row r="80" spans="6:81" x14ac:dyDescent="0.15">
      <c r="F80" s="1">
        <f>[1]节奏总纲!F80</f>
        <v>78</v>
      </c>
      <c r="G80" s="1">
        <f>[1]节奏总纲!G80</f>
        <v>221.86094420380775</v>
      </c>
      <c r="I80" s="1">
        <f>[1]节奏总纲!I80</f>
        <v>78</v>
      </c>
      <c r="J80" s="1">
        <f>[1]节奏总纲!J80</f>
        <v>35511.190322760085</v>
      </c>
      <c r="K80" s="13">
        <f>[1]节奏总纲!K80</f>
        <v>1.43</v>
      </c>
      <c r="N80" s="1">
        <f>[1]节奏总纲!N80</f>
        <v>87</v>
      </c>
      <c r="O80" s="1">
        <f>[1]节奏总纲!O80</f>
        <v>77</v>
      </c>
      <c r="P80" s="1">
        <f>[1]节奏总纲!P80</f>
        <v>206.93661346719625</v>
      </c>
      <c r="Q80" s="1">
        <f>[1]节奏总纲!Q80</f>
        <v>179.12433261720508</v>
      </c>
      <c r="R80" s="1">
        <f>[1]节奏总纲!R80</f>
        <v>146.53181599612165</v>
      </c>
      <c r="S80" s="1">
        <f>[1]节奏总纲!S80</f>
        <v>107.42079605082158</v>
      </c>
      <c r="T80" s="1">
        <f>[1]节奏总纲!T80</f>
        <v>59.535663694512365</v>
      </c>
      <c r="V80" s="1">
        <f>[1]节奏总纲!V80</f>
        <v>77</v>
      </c>
      <c r="W80" s="1">
        <f>[1]节奏总纲!W80</f>
        <v>13.924892953865339</v>
      </c>
      <c r="X80" s="1">
        <f>[1]节奏总纲!X80</f>
        <v>12.149893201122524</v>
      </c>
      <c r="Y80" s="1">
        <f>[1]节奏总纲!Y80</f>
        <v>10.014626077042692</v>
      </c>
      <c r="Z80" s="1">
        <f>[1]节奏总纲!Z80</f>
        <v>7.3828213087621748</v>
      </c>
      <c r="AA80" s="1">
        <f>[1]节奏总纲!AA80</f>
        <v>3.8710834984677334</v>
      </c>
      <c r="AC80" s="1">
        <f>[1]节奏总纲!AC80</f>
        <v>77</v>
      </c>
      <c r="AD80" s="1">
        <f>[1]节奏总纲!AD80</f>
        <v>62.849666392872081</v>
      </c>
      <c r="AE80" s="1">
        <f>[1]节奏总纲!AE80</f>
        <v>64.876252855711357</v>
      </c>
      <c r="AF80" s="1">
        <f>[1]节奏总纲!AF80</f>
        <v>67.747683715703729</v>
      </c>
      <c r="AG80" s="1">
        <f>[1]节奏总纲!AG80</f>
        <v>72.263232241847945</v>
      </c>
      <c r="AH80" s="1">
        <f>[1]节奏总纲!AH80</f>
        <v>80.83131279092018</v>
      </c>
      <c r="AL80" s="1">
        <f>[1]节奏总纲!AL80</f>
        <v>77</v>
      </c>
      <c r="AM80" s="1">
        <f>[1]节奏总纲!AM80</f>
        <v>30698.011006346387</v>
      </c>
      <c r="AN80" s="1">
        <f>[1]节奏总纲!AN80</f>
        <v>24558.40880507711</v>
      </c>
      <c r="AO80" s="1">
        <f>[1]节奏总纲!AO80</f>
        <v>18418.806603807832</v>
      </c>
      <c r="AP80" s="1">
        <f>[1]节奏总纲!AP80</f>
        <v>12279.204402538555</v>
      </c>
      <c r="AQ80" s="1">
        <f>[1]节奏总纲!AQ80</f>
        <v>6139.6022012692774</v>
      </c>
      <c r="AS80" s="1">
        <f>[1]节奏总纲!AS80</f>
        <v>77</v>
      </c>
      <c r="AT80" s="1">
        <f>[1]节奏总纲!AT80</f>
        <v>4162.1298802836973</v>
      </c>
      <c r="AU80" s="1">
        <f>[1]节奏总纲!AU80</f>
        <v>3329.7039042269571</v>
      </c>
      <c r="AV80" s="1">
        <f>[1]节奏总纲!AV80</f>
        <v>2497.2779281702187</v>
      </c>
      <c r="AW80" s="1">
        <f>[1]节奏总纲!AW80</f>
        <v>1664.8519521134785</v>
      </c>
      <c r="AX80" s="1">
        <f>[1]节奏总纲!AX80</f>
        <v>832.42597605673927</v>
      </c>
      <c r="AZ80" s="1">
        <f>[1]节奏总纲!AZ80</f>
        <v>77</v>
      </c>
      <c r="BA80" s="1">
        <f>[1]节奏总纲!BA80</f>
        <v>36.273819023840659</v>
      </c>
      <c r="BB80" s="1">
        <f>[1]节奏总纲!BB80</f>
        <v>37.771225729249387</v>
      </c>
      <c r="BC80" s="1">
        <f>[1]节奏总纲!BC80</f>
        <v>39.700568750299212</v>
      </c>
      <c r="BD80" s="1">
        <f>[1]节奏总纲!BD80</f>
        <v>42.427494399390554</v>
      </c>
      <c r="BE80" s="1">
        <f>[1]节奏总纲!BE80</f>
        <v>47.12024662670057</v>
      </c>
      <c r="BI80" s="1">
        <f>[1]节奏总纲!BI80</f>
        <v>77</v>
      </c>
      <c r="BJ80" s="1">
        <f>[1]节奏总纲!BJ80</f>
        <v>3.3999999999999981</v>
      </c>
      <c r="BK80" s="1">
        <f>[1]节奏总纲!BK80</f>
        <v>3.4679999999999982</v>
      </c>
      <c r="BL80" s="1">
        <f>[1]节奏总纲!BL80</f>
        <v>3.6039999999999983</v>
      </c>
      <c r="BM80" s="1">
        <f>[1]节奏总纲!BM80</f>
        <v>3.8759999999999977</v>
      </c>
      <c r="BN80" s="1">
        <f>[1]节奏总纲!BN80</f>
        <v>4.7599999999999971</v>
      </c>
      <c r="BP80" s="1">
        <f>[1]节奏总纲!BP80</f>
        <v>77</v>
      </c>
      <c r="BQ80" s="1">
        <f>[1]节奏总纲!BQ80</f>
        <v>149.05713970651243</v>
      </c>
      <c r="BR80" s="1">
        <f>[1]节奏总纲!BR80</f>
        <v>148.27357279823164</v>
      </c>
      <c r="BS80" s="1">
        <f>[1]节奏总纲!BS80</f>
        <v>147.45018844840658</v>
      </c>
      <c r="BT80" s="1">
        <f>[1]节奏总纲!BT80</f>
        <v>146.55064673623977</v>
      </c>
      <c r="BU80" s="1">
        <f>[1]节奏总纲!BU80</f>
        <v>145.53468456757108</v>
      </c>
      <c r="BW80" s="1">
        <f>[1]节奏总纲!BW80</f>
        <v>77</v>
      </c>
      <c r="BX80" s="1">
        <f>[1]节奏总纲!BX80</f>
        <v>42.928629024654093</v>
      </c>
      <c r="BY80" s="1">
        <f>[1]节奏总纲!BY80</f>
        <v>43.44674694915556</v>
      </c>
      <c r="BZ80" s="1">
        <f>[1]节奏总纲!BZ80</f>
        <v>44.047735983456604</v>
      </c>
      <c r="CA80" s="1">
        <f>[1]节奏总纲!CA80</f>
        <v>44.676858376824399</v>
      </c>
      <c r="CB80" s="1">
        <f>[1]节奏总纲!CB80</f>
        <v>45.371092241532111</v>
      </c>
      <c r="CC80" s="1">
        <f>[1]节奏总纲!CC80</f>
        <v>45.371092241532111</v>
      </c>
    </row>
    <row r="81" spans="6:81" x14ac:dyDescent="0.15">
      <c r="F81" s="1">
        <f>[1]节奏总纲!F81</f>
        <v>79</v>
      </c>
      <c r="G81" s="1">
        <f>[1]节奏总纲!G81</f>
        <v>237.85644583342264</v>
      </c>
      <c r="I81" s="1">
        <f>[1]节奏总纲!I81</f>
        <v>79</v>
      </c>
      <c r="J81" s="1">
        <f>[1]节奏总纲!J81</f>
        <v>41077.009235645834</v>
      </c>
      <c r="K81" s="13">
        <f>[1]节奏总纲!K81</f>
        <v>1.44</v>
      </c>
      <c r="N81" s="1">
        <f>[1]节奏总纲!N81</f>
        <v>88</v>
      </c>
      <c r="O81" s="1">
        <f>[1]节奏总纲!O81</f>
        <v>78</v>
      </c>
      <c r="P81" s="1">
        <f>[1]节奏总纲!P81</f>
        <v>221.86094420380775</v>
      </c>
      <c r="Q81" s="1">
        <f>[1]节奏总纲!Q81</f>
        <v>192.04283330281601</v>
      </c>
      <c r="R81" s="1">
        <f>[1]节奏总纲!R81</f>
        <v>157.23285115723854</v>
      </c>
      <c r="S81" s="1">
        <f>[1]节奏总纲!S81</f>
        <v>115.1680161361966</v>
      </c>
      <c r="T81" s="1">
        <f>[1]节奏总纲!T81</f>
        <v>63.651904892072437</v>
      </c>
      <c r="V81" s="1">
        <f>[1]节奏总纲!V81</f>
        <v>78</v>
      </c>
      <c r="W81" s="1">
        <f>[1]节奏总纲!W81</f>
        <v>14.924330736611495</v>
      </c>
      <c r="X81" s="1">
        <f>[1]节奏总纲!X81</f>
        <v>12.918500685610923</v>
      </c>
      <c r="Y81" s="1">
        <f>[1]节奏总纲!Y81</f>
        <v>10.701035161116891</v>
      </c>
      <c r="Z81" s="1">
        <f>[1]节奏总纲!Z81</f>
        <v>7.7472200853750195</v>
      </c>
      <c r="AA81" s="1">
        <f>[1]节奏总纲!AA81</f>
        <v>4.1162411975600719</v>
      </c>
      <c r="AC81" s="1">
        <f>[1]节奏总纲!AC81</f>
        <v>78</v>
      </c>
      <c r="AD81" s="1">
        <f>[1]节奏总纲!AD81</f>
        <v>63.036560194527354</v>
      </c>
      <c r="AE81" s="1">
        <f>[1]节奏总纲!AE81</f>
        <v>65.061438622789353</v>
      </c>
      <c r="AF81" s="1">
        <f>[1]节奏总纲!AF81</f>
        <v>67.949370145082256</v>
      </c>
      <c r="AG81" s="1">
        <f>[1]节奏总纲!AG81</f>
        <v>72.449509899839711</v>
      </c>
      <c r="AH81" s="1">
        <f>[1]节奏总纲!AH81</f>
        <v>81.026624803116562</v>
      </c>
      <c r="AL81" s="1">
        <f>[1]节奏总纲!AL81</f>
        <v>78</v>
      </c>
      <c r="AM81" s="1">
        <f>[1]节奏总纲!AM81</f>
        <v>35511.190322760085</v>
      </c>
      <c r="AN81" s="1">
        <f>[1]节奏总纲!AN81</f>
        <v>28408.952258208068</v>
      </c>
      <c r="AO81" s="1">
        <f>[1]节奏总纲!AO81</f>
        <v>21306.714193656051</v>
      </c>
      <c r="AP81" s="1">
        <f>[1]节奏总纲!AP81</f>
        <v>14204.476129104034</v>
      </c>
      <c r="AQ81" s="1">
        <f>[1]节奏总纲!AQ81</f>
        <v>7102.238064552017</v>
      </c>
      <c r="AS81" s="1">
        <f>[1]节奏总纲!AS81</f>
        <v>78</v>
      </c>
      <c r="AT81" s="1">
        <f>[1]节奏总纲!AT81</f>
        <v>4813.179316413698</v>
      </c>
      <c r="AU81" s="1">
        <f>[1]节奏总纲!AU81</f>
        <v>3850.5434531309584</v>
      </c>
      <c r="AV81" s="1">
        <f>[1]节奏总纲!AV81</f>
        <v>2887.9075898482188</v>
      </c>
      <c r="AW81" s="1">
        <f>[1]节奏总纲!AW81</f>
        <v>1925.2717265654792</v>
      </c>
      <c r="AX81" s="1">
        <f>[1]节奏总纲!AX81</f>
        <v>962.63586328273959</v>
      </c>
      <c r="AZ81" s="1">
        <f>[1]节奏总纲!AZ81</f>
        <v>78</v>
      </c>
      <c r="BA81" s="1">
        <f>[1]节奏总纲!BA81</f>
        <v>36.357989752476364</v>
      </c>
      <c r="BB81" s="1">
        <f>[1]节奏总纲!BB81</f>
        <v>37.861979320321296</v>
      </c>
      <c r="BC81" s="1">
        <f>[1]节奏总纲!BC81</f>
        <v>39.790623261487418</v>
      </c>
      <c r="BD81" s="1">
        <f>[1]节奏总纲!BD81</f>
        <v>42.51427628670821</v>
      </c>
      <c r="BE81" s="1">
        <f>[1]节奏总纲!BE81</f>
        <v>47.203396779992147</v>
      </c>
      <c r="BI81" s="1">
        <f>[1]节奏总纲!BI81</f>
        <v>78</v>
      </c>
      <c r="BJ81" s="1">
        <f>[1]节奏总纲!BJ81</f>
        <v>3.4333333333333313</v>
      </c>
      <c r="BK81" s="1">
        <f>[1]节奏总纲!BK81</f>
        <v>3.501999999999998</v>
      </c>
      <c r="BL81" s="1">
        <f>[1]节奏总纲!BL81</f>
        <v>3.6393333333333313</v>
      </c>
      <c r="BM81" s="1">
        <f>[1]节奏总纲!BM81</f>
        <v>3.9139999999999975</v>
      </c>
      <c r="BN81" s="1">
        <f>[1]节奏总纲!BN81</f>
        <v>4.806666666666664</v>
      </c>
      <c r="BP81" s="1">
        <f>[1]节奏总纲!BP81</f>
        <v>78</v>
      </c>
      <c r="BQ81" s="1">
        <f>[1]节奏总纲!BQ81</f>
        <v>151.15563986695878</v>
      </c>
      <c r="BR81" s="1">
        <f>[1]节奏总纲!BR81</f>
        <v>150.36857275778672</v>
      </c>
      <c r="BS81" s="1">
        <f>[1]节奏总纲!BS81</f>
        <v>149.53271887048692</v>
      </c>
      <c r="BT81" s="1">
        <f>[1]节奏总纲!BT81</f>
        <v>148.64897064481843</v>
      </c>
      <c r="BU81" s="1">
        <f>[1]节奏总纲!BU81</f>
        <v>147.71229603325094</v>
      </c>
      <c r="BW81" s="1">
        <f>[1]节奏总纲!BW81</f>
        <v>78</v>
      </c>
      <c r="BX81" s="1">
        <f>[1]节奏总纲!BX81</f>
        <v>43.385499964596733</v>
      </c>
      <c r="BY81" s="1">
        <f>[1]节奏总纲!BY81</f>
        <v>43.930502277742427</v>
      </c>
      <c r="BZ81" s="1">
        <f>[1]节奏总纲!BZ81</f>
        <v>44.508869383463988</v>
      </c>
      <c r="CA81" s="1">
        <f>[1]节奏总纲!CA81</f>
        <v>45.153317888009887</v>
      </c>
      <c r="CB81" s="1">
        <f>[1]节奏总纲!CB81</f>
        <v>45.830400612131918</v>
      </c>
      <c r="CC81" s="1">
        <f>[1]节奏总纲!CC81</f>
        <v>45.830400612131918</v>
      </c>
    </row>
    <row r="82" spans="6:81" x14ac:dyDescent="0.15">
      <c r="F82" s="1">
        <f>[1]节奏总纲!F82</f>
        <v>80</v>
      </c>
      <c r="G82" s="1">
        <f>[1]节奏总纲!G82</f>
        <v>255</v>
      </c>
      <c r="I82" s="1">
        <f>[1]节奏总纲!I82</f>
        <v>80</v>
      </c>
      <c r="J82" s="1">
        <f>[1]节奏总纲!J82</f>
        <v>47512.875</v>
      </c>
      <c r="K82" s="13">
        <f>[1]节奏总纲!K82</f>
        <v>1.45</v>
      </c>
      <c r="N82" s="1">
        <f>[1]节奏总纲!N82</f>
        <v>89</v>
      </c>
      <c r="O82" s="1">
        <f>[1]节奏总纲!O82</f>
        <v>79</v>
      </c>
      <c r="P82" s="1">
        <f>[1]节奏总纲!P82</f>
        <v>237.85644583342264</v>
      </c>
      <c r="Q82" s="1">
        <f>[1]节奏总纲!Q82</f>
        <v>206.07882467007735</v>
      </c>
      <c r="R82" s="1">
        <f>[1]节奏总纲!R82</f>
        <v>168.73536267423003</v>
      </c>
      <c r="S82" s="1">
        <f>[1]节奏总纲!S82</f>
        <v>123.11449636337954</v>
      </c>
      <c r="T82" s="1">
        <f>[1]节奏总纲!T82</f>
        <v>68.122086086692235</v>
      </c>
      <c r="V82" s="1">
        <f>[1]节奏总纲!V82</f>
        <v>79</v>
      </c>
      <c r="W82" s="1">
        <f>[1]节奏总纲!W82</f>
        <v>15.995501629614893</v>
      </c>
      <c r="X82" s="1">
        <f>[1]节奏总纲!X82</f>
        <v>14.035991367261346</v>
      </c>
      <c r="Y82" s="1">
        <f>[1]节奏总纲!Y82</f>
        <v>11.50251151699149</v>
      </c>
      <c r="Z82" s="1">
        <f>[1]节奏总纲!Z82</f>
        <v>7.9464802271829456</v>
      </c>
      <c r="AA82" s="1">
        <f>[1]节奏总纲!AA82</f>
        <v>4.4701811946197978</v>
      </c>
      <c r="AC82" s="1">
        <f>[1]节奏总纲!AC82</f>
        <v>79</v>
      </c>
      <c r="AD82" s="1">
        <f>[1]节奏总纲!AD82</f>
        <v>63.213386604241791</v>
      </c>
      <c r="AE82" s="1">
        <f>[1]节奏总纲!AE82</f>
        <v>65.23679566619937</v>
      </c>
      <c r="AF82" s="1">
        <f>[1]节奏总纲!AF82</f>
        <v>68.132712808893615</v>
      </c>
      <c r="AG82" s="1">
        <f>[1]节奏总纲!AG82</f>
        <v>72.635787557831478</v>
      </c>
      <c r="AH82" s="1">
        <f>[1]节奏总纲!AH82</f>
        <v>81.212704266341873</v>
      </c>
      <c r="AL82" s="1">
        <f>[1]节奏总纲!AL82</f>
        <v>79</v>
      </c>
      <c r="AM82" s="1">
        <f>[1]节奏总纲!AM82</f>
        <v>41077.009235645834</v>
      </c>
      <c r="AN82" s="1">
        <f>[1]节奏总纲!AN82</f>
        <v>32861.60738851667</v>
      </c>
      <c r="AO82" s="1">
        <f>[1]节奏总纲!AO82</f>
        <v>24646.205541387499</v>
      </c>
      <c r="AP82" s="1">
        <f>[1]节奏总纲!AP82</f>
        <v>16430.803694258335</v>
      </c>
      <c r="AQ82" s="1">
        <f>[1]节奏总纲!AQ82</f>
        <v>8215.4018471291674</v>
      </c>
      <c r="AS82" s="1">
        <f>[1]节奏总纲!AS82</f>
        <v>79</v>
      </c>
      <c r="AT82" s="1">
        <f>[1]节奏总纲!AT82</f>
        <v>5565.8189128857484</v>
      </c>
      <c r="AU82" s="1">
        <f>[1]节奏总纲!AU82</f>
        <v>4452.6551303086017</v>
      </c>
      <c r="AV82" s="1">
        <f>[1]节奏总纲!AV82</f>
        <v>3339.4913477314476</v>
      </c>
      <c r="AW82" s="1">
        <f>[1]节奏总纲!AW82</f>
        <v>2226.3275651543008</v>
      </c>
      <c r="AX82" s="1">
        <f>[1]节奏总纲!AX82</f>
        <v>1113.1637825771504</v>
      </c>
      <c r="AZ82" s="1">
        <f>[1]节奏总纲!AZ82</f>
        <v>79</v>
      </c>
      <c r="BA82" s="1">
        <f>[1]节奏总纲!BA82</f>
        <v>36.442160481112069</v>
      </c>
      <c r="BB82" s="1">
        <f>[1]节奏总纲!BB82</f>
        <v>37.952732911393213</v>
      </c>
      <c r="BC82" s="1">
        <f>[1]节奏总纲!BC82</f>
        <v>39.880677772675625</v>
      </c>
      <c r="BD82" s="1">
        <f>[1]节奏总纲!BD82</f>
        <v>42.601058174025873</v>
      </c>
      <c r="BE82" s="1">
        <f>[1]节奏总纲!BE82</f>
        <v>47.286546933283724</v>
      </c>
      <c r="BI82" s="1">
        <f>[1]节奏总纲!BI82</f>
        <v>79</v>
      </c>
      <c r="BJ82" s="1">
        <f>[1]节奏总纲!BJ82</f>
        <v>3.4666666666666646</v>
      </c>
      <c r="BK82" s="1">
        <f>[1]节奏总纲!BK82</f>
        <v>3.5359999999999978</v>
      </c>
      <c r="BL82" s="1">
        <f>[1]节奏总纲!BL82</f>
        <v>3.6746666666666647</v>
      </c>
      <c r="BM82" s="1">
        <f>[1]节奏总纲!BM82</f>
        <v>3.9519999999999973</v>
      </c>
      <c r="BN82" s="1">
        <f>[1]节奏总纲!BN82</f>
        <v>4.8533333333333299</v>
      </c>
      <c r="BP82" s="1">
        <f>[1]节奏总纲!BP82</f>
        <v>79</v>
      </c>
      <c r="BQ82" s="1">
        <f>[1]节奏总纲!BQ82</f>
        <v>153.254142755516</v>
      </c>
      <c r="BR82" s="1">
        <f>[1]节奏总纲!BR82</f>
        <v>152.42090057971816</v>
      </c>
      <c r="BS82" s="1">
        <f>[1]节奏总纲!BS82</f>
        <v>151.57476523052998</v>
      </c>
      <c r="BT82" s="1">
        <f>[1]节奏总纲!BT82</f>
        <v>150.68887650130068</v>
      </c>
      <c r="BU82" s="1">
        <f>[1]节奏总纲!BU82</f>
        <v>149.76122007031191</v>
      </c>
      <c r="BW82" s="1">
        <f>[1]节奏总纲!BW82</f>
        <v>79</v>
      </c>
      <c r="BX82" s="1">
        <f>[1]节奏总纲!BX82</f>
        <v>43.864683073228825</v>
      </c>
      <c r="BY82" s="1">
        <f>[1]节奏总纲!BY82</f>
        <v>44.393651798323852</v>
      </c>
      <c r="BZ82" s="1">
        <f>[1]节奏总纲!BZ82</f>
        <v>45.003918944161271</v>
      </c>
      <c r="CA82" s="1">
        <f>[1]节奏总纲!CA82</f>
        <v>45.596669566151888</v>
      </c>
      <c r="CB82" s="1">
        <f>[1]节奏总纲!CB82</f>
        <v>46.284169788056381</v>
      </c>
      <c r="CC82" s="1">
        <f>[1]节奏总纲!CC82</f>
        <v>46.284169788056381</v>
      </c>
    </row>
    <row r="83" spans="6:81" x14ac:dyDescent="0.15">
      <c r="F83" s="1">
        <f>[1]节奏总纲!F83</f>
        <v>81</v>
      </c>
      <c r="G83" s="1">
        <f>[1]节奏总纲!G83</f>
        <v>273.37400640929098</v>
      </c>
      <c r="K83" s="13"/>
      <c r="N83" s="1">
        <f>[1]节奏总纲!N83</f>
        <v>90</v>
      </c>
      <c r="O83" s="1">
        <f>[1]节奏总纲!O83</f>
        <v>80</v>
      </c>
      <c r="P83" s="1">
        <f>[1]节奏总纲!P83</f>
        <v>255</v>
      </c>
      <c r="Q83" s="1">
        <f>[1]节奏总纲!Q83</f>
        <v>221.08500000000001</v>
      </c>
      <c r="R83" s="1">
        <f>[1]节奏总纲!R83</f>
        <v>180.33600000000001</v>
      </c>
      <c r="S83" s="1">
        <f>[1]节奏总纲!S83</f>
        <v>131.58000000000001</v>
      </c>
      <c r="T83" s="1">
        <f>[1]节奏总纲!T83</f>
        <v>72.777000000000001</v>
      </c>
      <c r="V83" s="1">
        <f>[1]节奏总纲!V83</f>
        <v>80</v>
      </c>
      <c r="W83" s="1">
        <f>[1]节奏总纲!W83</f>
        <v>17.14355416657736</v>
      </c>
      <c r="X83" s="1">
        <f>[1]节奏总纲!X83</f>
        <v>15.006175329922655</v>
      </c>
      <c r="Y83" s="1">
        <f>[1]节奏总纲!Y83</f>
        <v>11.600637325769981</v>
      </c>
      <c r="Z83" s="1">
        <f>[1]节奏总纲!Z83</f>
        <v>8.4655036366204683</v>
      </c>
      <c r="AA83" s="1">
        <f>[1]节奏总纲!AA83</f>
        <v>4.6549139133077659</v>
      </c>
      <c r="AC83" s="1">
        <f>[1]节奏总纲!AC83</f>
        <v>80</v>
      </c>
      <c r="AD83" s="1">
        <f>[1]节奏总纲!AD83</f>
        <v>63.39021301395622</v>
      </c>
      <c r="AE83" s="1">
        <f>[1]节奏总纲!AE83</f>
        <v>65.412152709609373</v>
      </c>
      <c r="AF83" s="1">
        <f>[1]节奏总纲!AF83</f>
        <v>68.309907165737044</v>
      </c>
      <c r="AG83" s="1">
        <f>[1]节奏总纲!AG83</f>
        <v>72.822065215823244</v>
      </c>
      <c r="AH83" s="1">
        <f>[1]节奏总纲!AH83</f>
        <v>81.398783729567185</v>
      </c>
      <c r="AL83" s="1">
        <f>[1]节奏总纲!AL83</f>
        <v>80</v>
      </c>
      <c r="AM83" s="1">
        <f>[1]节奏总纲!AM83</f>
        <v>47512.875</v>
      </c>
      <c r="AN83" s="1">
        <f>[1]节奏总纲!AN83</f>
        <v>38010.300000000003</v>
      </c>
      <c r="AO83" s="1">
        <f>[1]节奏总纲!AO83</f>
        <v>28507.724999999999</v>
      </c>
      <c r="AP83" s="1">
        <f>[1]节奏总纲!AP83</f>
        <v>19005.150000000001</v>
      </c>
      <c r="AQ83" s="1">
        <f>[1]节奏总纲!AQ83</f>
        <v>9502.5750000000007</v>
      </c>
      <c r="AS83" s="1">
        <f>[1]节奏总纲!AS83</f>
        <v>80</v>
      </c>
      <c r="AT83" s="1">
        <f>[1]节奏总纲!AT83</f>
        <v>6435.8657643541665</v>
      </c>
      <c r="AU83" s="1">
        <f>[1]节奏总纲!AU83</f>
        <v>5148.6926114833332</v>
      </c>
      <c r="AV83" s="1">
        <f>[1]节奏总纲!AV83</f>
        <v>3861.5194586124999</v>
      </c>
      <c r="AW83" s="1">
        <f>[1]节奏总纲!AW83</f>
        <v>2574.3463057416666</v>
      </c>
      <c r="AX83" s="1">
        <f>[1]节奏总纲!AX83</f>
        <v>1287.1731528708333</v>
      </c>
      <c r="AZ83" s="1">
        <f>[1]节奏总纲!AZ83</f>
        <v>80</v>
      </c>
      <c r="BA83" s="1">
        <f>[1]节奏总纲!BA83</f>
        <v>36.526331209747774</v>
      </c>
      <c r="BB83" s="1">
        <f>[1]节奏总纲!BB83</f>
        <v>38.037513426486328</v>
      </c>
      <c r="BC83" s="1">
        <f>[1]节奏总纲!BC83</f>
        <v>39.970732283863832</v>
      </c>
      <c r="BD83" s="1">
        <f>[1]节奏总纲!BD83</f>
        <v>42.687840061343536</v>
      </c>
      <c r="BE83" s="1">
        <f>[1]节奏总纲!BE83</f>
        <v>47.3696970865753</v>
      </c>
      <c r="BI83" s="1">
        <f>[1]节奏总纲!BI83</f>
        <v>80</v>
      </c>
      <c r="BJ83" s="1">
        <f>[1]节奏总纲!BJ83</f>
        <v>3.4999999999999978</v>
      </c>
      <c r="BK83" s="1">
        <f>[1]节奏总纲!BK83</f>
        <v>3.5699999999999976</v>
      </c>
      <c r="BL83" s="1">
        <f>[1]节奏总纲!BL83</f>
        <v>3.7099999999999977</v>
      </c>
      <c r="BM83" s="1">
        <f>[1]节奏总纲!BM83</f>
        <v>3.9899999999999971</v>
      </c>
      <c r="BN83" s="1">
        <f>[1]节奏总纲!BN83</f>
        <v>4.8999999999999968</v>
      </c>
      <c r="BP83" s="1">
        <f>[1]节奏总纲!BP83</f>
        <v>80</v>
      </c>
      <c r="BQ83" s="1">
        <f>[1]节奏总纲!BQ83</f>
        <v>155.35264798579232</v>
      </c>
      <c r="BR83" s="1">
        <f>[1]节奏总纲!BR83</f>
        <v>154.14666602127767</v>
      </c>
      <c r="BS83" s="1">
        <f>[1]节奏总纲!BS83</f>
        <v>153.14946182958477</v>
      </c>
      <c r="BT83" s="1">
        <f>[1]节奏总纲!BT83</f>
        <v>152.12605579164665</v>
      </c>
      <c r="BU83" s="1">
        <f>[1]节奏总纲!BU83</f>
        <v>151.0810487166913</v>
      </c>
      <c r="BW83" s="1">
        <f>[1]节奏总纲!BW83</f>
        <v>80</v>
      </c>
      <c r="BX83" s="1">
        <f>[1]节奏总纲!BX83</f>
        <v>44.326465623783335</v>
      </c>
      <c r="BY83" s="1">
        <f>[1]节奏总纲!BY83</f>
        <v>44.878640998911052</v>
      </c>
      <c r="BZ83" s="1">
        <f>[1]节奏总纲!BZ83</f>
        <v>45.435402391663246</v>
      </c>
      <c r="CA83" s="1">
        <f>[1]节奏总纲!CA83</f>
        <v>46.059542756901394</v>
      </c>
      <c r="CB83" s="1">
        <f>[1]节奏总纲!CB83</f>
        <v>46.732532092773639</v>
      </c>
      <c r="CC83" s="1">
        <f>[1]节奏总纲!CC83</f>
        <v>46.732532092773639</v>
      </c>
    </row>
    <row r="84" spans="6:81" x14ac:dyDescent="0.15">
      <c r="F84" s="1">
        <f>[1]节奏总纲!F84</f>
        <v>82</v>
      </c>
      <c r="G84" s="1">
        <f>[1]节奏总纲!G84</f>
        <v>293.06677887924064</v>
      </c>
      <c r="K84" s="13"/>
      <c r="N84" s="1">
        <f>[1]节奏总纲!N84</f>
        <v>91</v>
      </c>
      <c r="O84" s="1">
        <f>[1]节奏总纲!O84</f>
        <v>81</v>
      </c>
      <c r="P84" s="1">
        <f>[1]节奏总纲!P84</f>
        <v>273.37400640929098</v>
      </c>
      <c r="Q84" s="1">
        <f>[1]节奏总纲!Q84</f>
        <v>236.35916594147301</v>
      </c>
      <c r="R84" s="1">
        <f>[1]节奏总纲!R84</f>
        <v>192.67399971726829</v>
      </c>
      <c r="S84" s="1">
        <f>[1]节奏总纲!S84</f>
        <v>140.76027590014394</v>
      </c>
      <c r="T84" s="1">
        <f>[1]节奏总纲!T84</f>
        <v>77.856917025366073</v>
      </c>
      <c r="V84" s="1">
        <f>[1]节奏总纲!V84</f>
        <v>81</v>
      </c>
      <c r="W84" s="1">
        <f>[1]节奏总纲!W84</f>
        <v>18.374006409290985</v>
      </c>
      <c r="X84" s="1">
        <f>[1]节奏总纲!X84</f>
        <v>15.274165941473001</v>
      </c>
      <c r="Y84" s="1">
        <f>[1]节奏总纲!Y84</f>
        <v>12.337999717268275</v>
      </c>
      <c r="Z84" s="1">
        <f>[1]节奏总纲!Z84</f>
        <v>9.1802759001439256</v>
      </c>
      <c r="AA84" s="1">
        <f>[1]节奏总纲!AA84</f>
        <v>5.0799170253660719</v>
      </c>
      <c r="AC84" s="1">
        <f>[1]节奏总纲!AC84</f>
        <v>81</v>
      </c>
      <c r="AD84" s="1">
        <f>[1]节奏总纲!AD84</f>
        <v>63.567039423670657</v>
      </c>
      <c r="AE84" s="1">
        <f>[1]节奏总纲!AE84</f>
        <v>65.58750975301939</v>
      </c>
      <c r="AF84" s="1">
        <f>[1]节奏总纲!AF84</f>
        <v>68.487101522580488</v>
      </c>
      <c r="AG84" s="1">
        <f>[1]节奏总纲!AG84</f>
        <v>73.007572199822363</v>
      </c>
      <c r="AH84" s="1">
        <f>[1]节奏总纲!AH84</f>
        <v>81.584863192792497</v>
      </c>
      <c r="AZ84" s="1">
        <f>[1]节奏总纲!AZ84</f>
        <v>81</v>
      </c>
      <c r="BA84" s="1">
        <f>[1]节奏总纲!BA84</f>
        <v>36.610501938383479</v>
      </c>
      <c r="BB84" s="1">
        <f>[1]节奏总纲!BB84</f>
        <v>38.11580158428373</v>
      </c>
      <c r="BC84" s="1">
        <f>[1]节奏总纲!BC84</f>
        <v>40.052446592012309</v>
      </c>
      <c r="BD84" s="1">
        <f>[1]节奏总纲!BD84</f>
        <v>42.774621948661192</v>
      </c>
      <c r="BE84" s="1">
        <f>[1]节奏总纲!BE84</f>
        <v>47.452847239866877</v>
      </c>
      <c r="BI84" s="1">
        <f>[1]节奏总纲!BI84</f>
        <v>81</v>
      </c>
      <c r="BJ84" s="1">
        <f>[1]节奏总纲!BJ84</f>
        <v>3.4999999999999978</v>
      </c>
      <c r="BK84" s="1">
        <f>[1]节奏总纲!BK84</f>
        <v>3.5699999999999976</v>
      </c>
      <c r="BL84" s="1">
        <f>[1]节奏总纲!BL84</f>
        <v>3.7099999999999977</v>
      </c>
      <c r="BM84" s="1">
        <f>[1]节奏总纲!BM84</f>
        <v>3.9899999999999971</v>
      </c>
      <c r="BN84" s="1">
        <f>[1]节奏总纲!BN84</f>
        <v>4.8999999999999968</v>
      </c>
      <c r="BW84" s="1">
        <f>[1]节奏总纲!BW84</f>
        <v>81</v>
      </c>
      <c r="BX84" s="1">
        <f>[1]节奏总纲!BX84</f>
        <v>44.801533759886318</v>
      </c>
      <c r="BY84" s="1">
        <f>[1]节奏总纲!BY84</f>
        <v>45.321339851414862</v>
      </c>
      <c r="BZ84" s="1">
        <f>[1]节奏总纲!BZ84</f>
        <v>45.894311889804285</v>
      </c>
      <c r="CA84" s="1">
        <f>[1]节奏总纲!CA84</f>
        <v>46.501665826971653</v>
      </c>
      <c r="CB84" s="1">
        <f>[1]节奏总纲!CB84</f>
        <v>47.191499408717924</v>
      </c>
      <c r="CC84" s="1">
        <f>[1]节奏总纲!CC84</f>
        <v>47.191499408717924</v>
      </c>
    </row>
    <row r="85" spans="6:81" x14ac:dyDescent="0.15">
      <c r="F85" s="1">
        <f>[1]节奏总纲!F85</f>
        <v>83</v>
      </c>
      <c r="G85" s="1">
        <f>[1]节奏总纲!G85</f>
        <v>314.1729698162988</v>
      </c>
      <c r="K85" s="13"/>
      <c r="N85" s="1">
        <f>[1]节奏总纲!N85</f>
        <v>92</v>
      </c>
      <c r="O85" s="1">
        <f>[1]节奏总纲!O85</f>
        <v>82</v>
      </c>
      <c r="P85" s="1">
        <f>[1]节奏总纲!P85</f>
        <v>293.06677887924064</v>
      </c>
      <c r="Q85" s="1">
        <f>[1]节奏总纲!Q85</f>
        <v>253.15108359588808</v>
      </c>
      <c r="R85" s="1">
        <f>[1]节奏总纲!R85</f>
        <v>206.37762568676126</v>
      </c>
      <c r="S85" s="1">
        <f>[1]节奏总纲!S85</f>
        <v>150.81216441125721</v>
      </c>
      <c r="T85" s="1">
        <f>[1]节奏总纲!T85</f>
        <v>83.230965201704336</v>
      </c>
      <c r="V85" s="1">
        <f>[1]节奏总纲!V85</f>
        <v>82</v>
      </c>
      <c r="W85" s="1">
        <f>[1]节奏总纲!W85</f>
        <v>19.692772469949659</v>
      </c>
      <c r="X85" s="1">
        <f>[1]节奏总纲!X85</f>
        <v>16.791917654415073</v>
      </c>
      <c r="Y85" s="1">
        <f>[1]节奏总纲!Y85</f>
        <v>13.703625969492975</v>
      </c>
      <c r="Z85" s="1">
        <f>[1]节奏总纲!Z85</f>
        <v>10.051888511113276</v>
      </c>
      <c r="AA85" s="1">
        <f>[1]节奏总纲!AA85</f>
        <v>5.3740481763382633</v>
      </c>
      <c r="AC85" s="1">
        <f>[1]节奏总纲!AC85</f>
        <v>82</v>
      </c>
      <c r="AD85" s="1">
        <f>[1]节奏总纲!AD85</f>
        <v>63.743865833385094</v>
      </c>
      <c r="AE85" s="1">
        <f>[1]节奏总纲!AE85</f>
        <v>65.762866796429392</v>
      </c>
      <c r="AF85" s="1">
        <f>[1]节奏总纲!AF85</f>
        <v>68.664295879423918</v>
      </c>
      <c r="AG85" s="1">
        <f>[1]节奏总纲!AG85</f>
        <v>73.176642436293761</v>
      </c>
      <c r="AH85" s="1">
        <f>[1]节奏总纲!AH85</f>
        <v>81.770942656017823</v>
      </c>
      <c r="AZ85" s="1">
        <f>[1]节奏总纲!AZ85</f>
        <v>82</v>
      </c>
      <c r="BA85" s="1">
        <f>[1]节奏总纲!BA85</f>
        <v>36.694672667019191</v>
      </c>
      <c r="BB85" s="1">
        <f>[1]节奏总纲!BB85</f>
        <v>38.194089742081125</v>
      </c>
      <c r="BC85" s="1">
        <f>[1]节奏总纲!BC85</f>
        <v>40.130145246845366</v>
      </c>
      <c r="BD85" s="1">
        <f>[1]节奏总纲!BD85</f>
        <v>42.861403835978855</v>
      </c>
      <c r="BE85" s="1">
        <f>[1]节奏总纲!BE85</f>
        <v>47.535997393158453</v>
      </c>
      <c r="BI85" s="1">
        <f>[1]节奏总纲!BI85</f>
        <v>82</v>
      </c>
      <c r="BJ85" s="1">
        <f>[1]节奏总纲!BJ85</f>
        <v>3.4999999999999978</v>
      </c>
      <c r="BK85" s="1">
        <f>[1]节奏总纲!BK85</f>
        <v>3.5699999999999976</v>
      </c>
      <c r="BL85" s="1">
        <f>[1]节奏总纲!BL85</f>
        <v>3.7099999999999977</v>
      </c>
      <c r="BM85" s="1">
        <f>[1]节奏总纲!BM85</f>
        <v>3.9899999999999971</v>
      </c>
      <c r="BN85" s="1">
        <f>[1]节奏总纲!BN85</f>
        <v>4.8999999999999968</v>
      </c>
      <c r="BW85" s="1">
        <f>[1]节奏总纲!BW85</f>
        <v>82</v>
      </c>
      <c r="BX85" s="1">
        <f>[1]节奏总纲!BX85</f>
        <v>45.268177050953859</v>
      </c>
      <c r="BY85" s="1">
        <f>[1]节奏总纲!BY85</f>
        <v>45.789768933125814</v>
      </c>
      <c r="BZ85" s="1">
        <f>[1]节奏总纲!BZ85</f>
        <v>46.348748235109454</v>
      </c>
      <c r="CA85" s="1">
        <f>[1]节奏总纲!CA85</f>
        <v>46.985765853689557</v>
      </c>
      <c r="CB85" s="1">
        <f>[1]节奏总纲!CB85</f>
        <v>47.638352338376762</v>
      </c>
      <c r="CC85" s="1">
        <f>[1]节奏总纲!CC85</f>
        <v>47.638352338376762</v>
      </c>
    </row>
    <row r="86" spans="6:81" x14ac:dyDescent="0.15">
      <c r="F86" s="1">
        <f>[1]节奏总纲!F86</f>
        <v>84</v>
      </c>
      <c r="G86" s="1">
        <f>[1]节奏总纲!G86</f>
        <v>336.79402515786086</v>
      </c>
      <c r="K86" s="13"/>
      <c r="N86" s="1">
        <f>[1]节奏总纲!N86</f>
        <v>93</v>
      </c>
      <c r="O86" s="1">
        <f>[1]节奏总纲!O86</f>
        <v>83</v>
      </c>
      <c r="P86" s="1">
        <f>[1]节奏总纲!P86</f>
        <v>314.1729698162988</v>
      </c>
      <c r="Q86" s="1">
        <f>[1]节奏总纲!Q86</f>
        <v>271.53969781222702</v>
      </c>
      <c r="R86" s="1">
        <f>[1]节奏总纲!R86</f>
        <v>221.55477831445393</v>
      </c>
      <c r="S86" s="1">
        <f>[1]节奏总纲!S86</f>
        <v>161.57915837652246</v>
      </c>
      <c r="T86" s="1">
        <f>[1]节奏总纲!T86</f>
        <v>89.193706130847232</v>
      </c>
      <c r="V86" s="1">
        <f>[1]节奏总纲!V86</f>
        <v>83</v>
      </c>
      <c r="W86" s="1">
        <f>[1]节奏总纲!W86</f>
        <v>21.106190937058159</v>
      </c>
      <c r="X86" s="1">
        <f>[1]节奏总纲!X86</f>
        <v>18.388614216338937</v>
      </c>
      <c r="Y86" s="1">
        <f>[1]节奏总纲!Y86</f>
        <v>15.177152627692664</v>
      </c>
      <c r="Z86" s="1">
        <f>[1]节奏总纲!Z86</f>
        <v>10.766993965265243</v>
      </c>
      <c r="AA86" s="1">
        <f>[1]节奏总纲!AA86</f>
        <v>5.9627409291428961</v>
      </c>
      <c r="AC86" s="1">
        <f>[1]节奏总纲!AC86</f>
        <v>83</v>
      </c>
      <c r="AD86" s="1">
        <f>[1]节奏总纲!AD86</f>
        <v>63.920692243099523</v>
      </c>
      <c r="AE86" s="1">
        <f>[1]节奏总纲!AE86</f>
        <v>65.938223839839395</v>
      </c>
      <c r="AF86" s="1">
        <f>[1]节奏总纲!AF86</f>
        <v>68.841490236267347</v>
      </c>
      <c r="AG86" s="1">
        <f>[1]节奏总纲!AG86</f>
        <v>73.34571267276516</v>
      </c>
      <c r="AH86" s="1">
        <f>[1]节奏总纲!AH86</f>
        <v>81.957022119243135</v>
      </c>
      <c r="AZ86" s="1">
        <f>[1]节奏总纲!AZ86</f>
        <v>83</v>
      </c>
      <c r="BA86" s="1">
        <f>[1]节奏总纲!BA86</f>
        <v>36.778843395654896</v>
      </c>
      <c r="BB86" s="1">
        <f>[1]节奏总纲!BB86</f>
        <v>38.272377899878528</v>
      </c>
      <c r="BC86" s="1">
        <f>[1]节奏总纲!BC86</f>
        <v>40.207843901678423</v>
      </c>
      <c r="BD86" s="1">
        <f>[1]节奏总纲!BD86</f>
        <v>42.948185723296518</v>
      </c>
      <c r="BE86" s="1">
        <f>[1]节奏总纲!BE86</f>
        <v>47.619147546450023</v>
      </c>
      <c r="BI86" s="1">
        <f>[1]节奏总纲!BI86</f>
        <v>83</v>
      </c>
      <c r="BJ86" s="1">
        <f>[1]节奏总纲!BJ86</f>
        <v>3.4999999999999978</v>
      </c>
      <c r="BK86" s="1">
        <f>[1]节奏总纲!BK86</f>
        <v>3.5699999999999976</v>
      </c>
      <c r="BL86" s="1">
        <f>[1]节奏总纲!BL86</f>
        <v>3.7099999999999977</v>
      </c>
      <c r="BM86" s="1">
        <f>[1]节奏总纲!BM86</f>
        <v>3.9899999999999971</v>
      </c>
      <c r="BN86" s="1">
        <f>[1]节奏总纲!BN86</f>
        <v>4.8999999999999968</v>
      </c>
      <c r="BW86" s="1">
        <f>[1]节奏总纲!BW86</f>
        <v>83</v>
      </c>
      <c r="BX86" s="1">
        <f>[1]节奏总纲!BX86</f>
        <v>45.739201449359612</v>
      </c>
      <c r="BY86" s="1">
        <f>[1]节奏总纲!BY86</f>
        <v>46.261326328729815</v>
      </c>
      <c r="BZ86" s="1">
        <f>[1]节奏总纲!BZ86</f>
        <v>46.836037098586509</v>
      </c>
      <c r="CA86" s="1">
        <f>[1]节奏总纲!CA86</f>
        <v>47.435350717115057</v>
      </c>
      <c r="CB86" s="1">
        <f>[1]节奏总纲!CB86</f>
        <v>48.115820139041681</v>
      </c>
      <c r="CC86" s="1">
        <f>[1]节奏总纲!CC86</f>
        <v>48.115820139041681</v>
      </c>
    </row>
    <row r="87" spans="6:81" x14ac:dyDescent="0.15">
      <c r="F87" s="1">
        <f>[1]节奏总纲!F87</f>
        <v>85</v>
      </c>
      <c r="G87" s="1">
        <f>[1]节奏总纲!G87</f>
        <v>361.0386719675123</v>
      </c>
      <c r="K87" s="13"/>
      <c r="N87" s="1">
        <f>[1]节奏总纲!N87</f>
        <v>94</v>
      </c>
      <c r="O87" s="1">
        <f>[1]节奏总纲!O87</f>
        <v>84</v>
      </c>
      <c r="P87" s="1">
        <f>[1]节奏总纲!P87</f>
        <v>336.79402515786086</v>
      </c>
      <c r="Q87" s="1">
        <f>[1]节奏总纲!Q87</f>
        <v>291.2594729565181</v>
      </c>
      <c r="R87" s="1">
        <f>[1]节奏总纲!R87</f>
        <v>237.27139072371298</v>
      </c>
      <c r="S87" s="1">
        <f>[1]节奏总纲!S87</f>
        <v>172.97741132107731</v>
      </c>
      <c r="T87" s="1">
        <f>[1]节奏总纲!T87</f>
        <v>95.64950314483248</v>
      </c>
      <c r="V87" s="1">
        <f>[1]节奏总纲!V87</f>
        <v>84</v>
      </c>
      <c r="W87" s="1">
        <f>[1]节奏总纲!W87</f>
        <v>22.621055341562055</v>
      </c>
      <c r="X87" s="1">
        <f>[1]节奏总纲!X87</f>
        <v>19.719775144291077</v>
      </c>
      <c r="Y87" s="1">
        <f>[1]节奏总纲!Y87</f>
        <v>15.716612409259056</v>
      </c>
      <c r="Z87" s="1">
        <f>[1]节奏总纲!Z87</f>
        <v>11.398252944554855</v>
      </c>
      <c r="AA87" s="1">
        <f>[1]节奏总纲!AA87</f>
        <v>6.4557970139852472</v>
      </c>
      <c r="AC87" s="1">
        <f>[1]节奏总纲!AC87</f>
        <v>84</v>
      </c>
      <c r="AD87" s="1">
        <f>[1]节奏总纲!AD87</f>
        <v>64.090988120365651</v>
      </c>
      <c r="AE87" s="1">
        <f>[1]节奏总纲!AE87</f>
        <v>66.105889403880397</v>
      </c>
      <c r="AF87" s="1">
        <f>[1]节奏总纲!AF87</f>
        <v>69.01697485309198</v>
      </c>
      <c r="AG87" s="1">
        <f>[1]节奏总纲!AG87</f>
        <v>73.514782909236544</v>
      </c>
      <c r="AH87" s="1">
        <f>[1]节奏总纲!AH87</f>
        <v>82.128973371044353</v>
      </c>
      <c r="AZ87" s="1">
        <f>[1]节奏总纲!AZ87</f>
        <v>84</v>
      </c>
      <c r="BA87" s="1">
        <f>[1]节奏总纲!BA87</f>
        <v>36.863014124290601</v>
      </c>
      <c r="BB87" s="1">
        <f>[1]节奏总纲!BB87</f>
        <v>38.35066605767593</v>
      </c>
      <c r="BC87" s="1">
        <f>[1]节奏总纲!BC87</f>
        <v>40.28554255651148</v>
      </c>
      <c r="BD87" s="1">
        <f>[1]节奏总纲!BD87</f>
        <v>43.030177309109042</v>
      </c>
      <c r="BE87" s="1">
        <f>[1]节奏总纲!BE87</f>
        <v>47.7022976997416</v>
      </c>
      <c r="BI87" s="1">
        <f>[1]节奏总纲!BI87</f>
        <v>84</v>
      </c>
      <c r="BJ87" s="1">
        <f>[1]节奏总纲!BJ87</f>
        <v>3.4999999999999978</v>
      </c>
      <c r="BK87" s="1">
        <f>[1]节奏总纲!BK87</f>
        <v>3.5699999999999976</v>
      </c>
      <c r="BL87" s="1">
        <f>[1]节奏总纲!BL87</f>
        <v>3.7099999999999977</v>
      </c>
      <c r="BM87" s="1">
        <f>[1]节奏总纲!BM87</f>
        <v>3.9899999999999971</v>
      </c>
      <c r="BN87" s="1">
        <f>[1]节奏总纲!BN87</f>
        <v>4.8999999999999968</v>
      </c>
      <c r="BW87" s="1">
        <f>[1]节奏总纲!BW87</f>
        <v>84</v>
      </c>
      <c r="BX87" s="1">
        <f>[1]节奏总纲!BX87</f>
        <v>46.210650393413601</v>
      </c>
      <c r="BY87" s="1">
        <f>[1]节奏总纲!BY87</f>
        <v>46.736179569673936</v>
      </c>
      <c r="BZ87" s="1">
        <f>[1]节奏总纲!BZ87</f>
        <v>47.294068993376605</v>
      </c>
      <c r="CA87" s="1">
        <f>[1]节奏总纲!CA87</f>
        <v>47.909233956913006</v>
      </c>
      <c r="CB87" s="1">
        <f>[1]节奏总纲!CB87</f>
        <v>48.579255981153665</v>
      </c>
      <c r="CC87" s="1">
        <f>[1]节奏总纲!CC87</f>
        <v>48.579255981153665</v>
      </c>
    </row>
    <row r="88" spans="6:81" x14ac:dyDescent="0.15">
      <c r="F88" s="1">
        <f>[1]节奏总纲!F88</f>
        <v>86</v>
      </c>
      <c r="G88" s="1">
        <f>[1]节奏总纲!G88</f>
        <v>387.02344102666189</v>
      </c>
      <c r="N88" s="1">
        <f>[1]节奏总纲!N88</f>
        <v>95</v>
      </c>
      <c r="O88" s="1">
        <f>[1]节奏总纲!O88</f>
        <v>85</v>
      </c>
      <c r="P88" s="1">
        <f>[1]节奏总纲!P88</f>
        <v>361.0386719675123</v>
      </c>
      <c r="Q88" s="1">
        <f>[1]节奏总纲!Q88</f>
        <v>311.72078937675008</v>
      </c>
      <c r="R88" s="1">
        <f>[1]节奏总纲!R88</f>
        <v>253.91849799475142</v>
      </c>
      <c r="S88" s="1">
        <f>[1]节奏总纲!S88</f>
        <v>185.57387739130132</v>
      </c>
      <c r="T88" s="1">
        <f>[1]节奏总纲!T88</f>
        <v>102.53498283877349</v>
      </c>
      <c r="V88" s="1">
        <f>[1]节奏总纲!V88</f>
        <v>85</v>
      </c>
      <c r="W88" s="1">
        <f>[1]节奏总纲!W88</f>
        <v>24.244646809651442</v>
      </c>
      <c r="X88" s="1">
        <f>[1]节奏总纲!X88</f>
        <v>20.461316420231981</v>
      </c>
      <c r="Y88" s="1">
        <f>[1]节奏总纲!Y88</f>
        <v>16.647107271038436</v>
      </c>
      <c r="Z88" s="1">
        <f>[1]节奏总纲!Z88</f>
        <v>12.596466070224011</v>
      </c>
      <c r="AA88" s="1">
        <f>[1]节奏总纲!AA88</f>
        <v>6.8854796939410079</v>
      </c>
      <c r="AC88" s="1">
        <f>[1]节奏总纲!AC88</f>
        <v>85</v>
      </c>
      <c r="AD88" s="1">
        <f>[1]节奏总纲!AD88</f>
        <v>64.255972994404218</v>
      </c>
      <c r="AE88" s="1">
        <f>[1]节奏总纲!AE88</f>
        <v>66.269371604948859</v>
      </c>
      <c r="AF88" s="1">
        <f>[1]节奏总纲!AF88</f>
        <v>69.17795498031839</v>
      </c>
      <c r="AG88" s="1">
        <f>[1]节奏总纲!AG88</f>
        <v>73.683853145707943</v>
      </c>
      <c r="AH88" s="1">
        <f>[1]节奏总纲!AH88</f>
        <v>82.296681479091191</v>
      </c>
      <c r="AZ88" s="1">
        <f>[1]节奏总纲!AZ88</f>
        <v>85</v>
      </c>
      <c r="BA88" s="1">
        <f>[1]节奏总纲!BA88</f>
        <v>36.947184852926306</v>
      </c>
      <c r="BB88" s="1">
        <f>[1]节奏总纲!BB88</f>
        <v>38.428954215473325</v>
      </c>
      <c r="BC88" s="1">
        <f>[1]节奏总纲!BC88</f>
        <v>40.363241211344537</v>
      </c>
      <c r="BD88" s="1">
        <f>[1]节奏总纲!BD88</f>
        <v>43.105070725978337</v>
      </c>
      <c r="BE88" s="1">
        <f>[1]节奏总纲!BE88</f>
        <v>47.785447853033176</v>
      </c>
      <c r="BI88" s="1">
        <f>[1]节奏总纲!BI88</f>
        <v>85</v>
      </c>
      <c r="BJ88" s="1">
        <f>[1]节奏总纲!BJ88</f>
        <v>3.4999999999999978</v>
      </c>
      <c r="BK88" s="1">
        <f>[1]节奏总纲!BK88</f>
        <v>3.5699999999999976</v>
      </c>
      <c r="BL88" s="1">
        <f>[1]节奏总纲!BL88</f>
        <v>3.7099999999999977</v>
      </c>
      <c r="BM88" s="1">
        <f>[1]节奏总纲!BM88</f>
        <v>3.9899999999999971</v>
      </c>
      <c r="BN88" s="1">
        <f>[1]节奏总纲!BN88</f>
        <v>4.8999999999999968</v>
      </c>
      <c r="BW88" s="1">
        <f>[1]节奏总纲!BW88</f>
        <v>85</v>
      </c>
      <c r="BX88" s="1">
        <f>[1]节奏总纲!BX88</f>
        <v>46.67770030767965</v>
      </c>
      <c r="BY88" s="1">
        <f>[1]节奏总纲!BY88</f>
        <v>47.197592678461184</v>
      </c>
      <c r="BZ88" s="1">
        <f>[1]节奏总纲!BZ88</f>
        <v>47.755472167192657</v>
      </c>
      <c r="CA88" s="1">
        <f>[1]节奏总纲!CA88</f>
        <v>48.373763930639598</v>
      </c>
      <c r="CB88" s="1">
        <f>[1]节奏总纲!CB88</f>
        <v>49.063491154445543</v>
      </c>
      <c r="CC88" s="1">
        <f>[1]节奏总纲!CC88</f>
        <v>49.063491154445543</v>
      </c>
    </row>
    <row r="89" spans="6:81" x14ac:dyDescent="0.15">
      <c r="F89" s="1">
        <f>[1]节奏总纲!F89</f>
        <v>87</v>
      </c>
      <c r="G89" s="1">
        <f>[1]节奏总纲!G89</f>
        <v>414.87322693439216</v>
      </c>
      <c r="N89" s="1">
        <f>[1]节奏总纲!N89</f>
        <v>96</v>
      </c>
      <c r="O89" s="1">
        <f>[1]节奏总纲!O89</f>
        <v>86</v>
      </c>
      <c r="P89" s="1">
        <f>[1]节奏总纲!P89</f>
        <v>387.02344102666189</v>
      </c>
      <c r="Q89" s="1">
        <f>[1]节奏总纲!Q89</f>
        <v>334.00122960600919</v>
      </c>
      <c r="R89" s="1">
        <f>[1]节奏总纲!R89</f>
        <v>272.23228841815398</v>
      </c>
      <c r="S89" s="1">
        <f>[1]节奏总纲!S89</f>
        <v>199.39447681693619</v>
      </c>
      <c r="T89" s="1">
        <f>[1]节奏总纲!T89</f>
        <v>108.94709864900531</v>
      </c>
      <c r="V89" s="1">
        <f>[1]节奏总纲!V89</f>
        <v>86</v>
      </c>
      <c r="W89" s="1">
        <f>[1]节奏总纲!W89</f>
        <v>25.984769059149585</v>
      </c>
      <c r="X89" s="1">
        <f>[1]节奏总纲!X89</f>
        <v>22.280440229259113</v>
      </c>
      <c r="Y89" s="1">
        <f>[1]节奏总纲!Y89</f>
        <v>18.313790423402565</v>
      </c>
      <c r="Z89" s="1">
        <f>[1]节奏总纲!Z89</f>
        <v>13.820599425634867</v>
      </c>
      <c r="AA89" s="1">
        <f>[1]节奏总纲!AA89</f>
        <v>6.4121158102318248</v>
      </c>
      <c r="AC89" s="1">
        <f>[1]节奏总纲!AC89</f>
        <v>86</v>
      </c>
      <c r="AD89" s="1">
        <f>[1]节奏总纲!AD89</f>
        <v>64.420957868442798</v>
      </c>
      <c r="AE89" s="1">
        <f>[1]节奏总纲!AE89</f>
        <v>66.43285380601732</v>
      </c>
      <c r="AF89" s="1">
        <f>[1]节奏总纲!AF89</f>
        <v>69.338935107544785</v>
      </c>
      <c r="AG89" s="1">
        <f>[1]节奏总纲!AG89</f>
        <v>73.852923382179341</v>
      </c>
      <c r="AH89" s="1">
        <f>[1]节奏总纲!AH89</f>
        <v>82.464389587138029</v>
      </c>
      <c r="AZ89" s="1">
        <f>[1]节奏总纲!AZ89</f>
        <v>86</v>
      </c>
      <c r="BA89" s="1">
        <f>[1]节奏总纲!BA89</f>
        <v>37.027046282459708</v>
      </c>
      <c r="BB89" s="1">
        <f>[1]节奏总纲!BB89</f>
        <v>38.507242373270728</v>
      </c>
      <c r="BC89" s="1">
        <f>[1]节奏总纲!BC89</f>
        <v>40.440939866177594</v>
      </c>
      <c r="BD89" s="1">
        <f>[1]节奏总纲!BD89</f>
        <v>43.179964142847631</v>
      </c>
      <c r="BE89" s="1">
        <f>[1]节奏总纲!BE89</f>
        <v>47.868598006324753</v>
      </c>
      <c r="BI89" s="1">
        <f>[1]节奏总纲!BI89</f>
        <v>86</v>
      </c>
      <c r="BJ89" s="1">
        <f>[1]节奏总纲!BJ89</f>
        <v>3.4999999999999978</v>
      </c>
      <c r="BK89" s="1">
        <f>[1]节奏总纲!BK89</f>
        <v>3.5699999999999976</v>
      </c>
      <c r="BL89" s="1">
        <f>[1]节奏总纲!BL89</f>
        <v>3.7099999999999977</v>
      </c>
      <c r="BM89" s="1">
        <f>[1]节奏总纲!BM89</f>
        <v>3.9899999999999971</v>
      </c>
      <c r="BN89" s="1">
        <f>[1]节奏总纲!BN89</f>
        <v>4.8999999999999968</v>
      </c>
      <c r="BW89" s="1">
        <f>[1]节奏总纲!BW89</f>
        <v>86</v>
      </c>
      <c r="BX89" s="1">
        <f>[1]节奏总纲!BX89</f>
        <v>47.153896513009251</v>
      </c>
      <c r="BY89" s="1">
        <f>[1]节奏总纲!BY89</f>
        <v>47.660748183577851</v>
      </c>
      <c r="BZ89" s="1">
        <f>[1]节奏总纲!BZ89</f>
        <v>48.227116435634038</v>
      </c>
      <c r="CA89" s="1">
        <f>[1]节奏总纲!CA89</f>
        <v>48.869826703325636</v>
      </c>
      <c r="CB89" s="1">
        <f>[1]节奏总纲!CB89</f>
        <v>49.460909841064307</v>
      </c>
      <c r="CC89" s="1">
        <f>[1]节奏总纲!CC89</f>
        <v>49.460909841064307</v>
      </c>
    </row>
    <row r="90" spans="6:81" x14ac:dyDescent="0.15">
      <c r="F90" s="1">
        <f>[1]节奏总纲!F90</f>
        <v>88</v>
      </c>
      <c r="G90" s="1">
        <f>[1]节奏总纲!G90</f>
        <v>444.72188840761549</v>
      </c>
      <c r="N90" s="1">
        <f>[1]节奏总纲!N90</f>
        <v>97</v>
      </c>
      <c r="O90" s="1">
        <f>[1]节奏总纲!O90</f>
        <v>87</v>
      </c>
      <c r="P90" s="1">
        <f>[1]节奏总纲!P90</f>
        <v>414.87322693439216</v>
      </c>
      <c r="Q90" s="1">
        <f>[1]节奏总纲!Q90</f>
        <v>358.28451878054108</v>
      </c>
      <c r="R90" s="1">
        <f>[1]节奏总纲!R90</f>
        <v>292.4026503433596</v>
      </c>
      <c r="S90" s="1">
        <f>[1]节奏总纲!S90</f>
        <v>212.58104148118252</v>
      </c>
      <c r="T90" s="1">
        <f>[1]节奏总纲!T90</f>
        <v>115.74963031469542</v>
      </c>
      <c r="V90" s="1">
        <f>[1]节奏总纲!V90</f>
        <v>87</v>
      </c>
      <c r="W90" s="1">
        <f>[1]节奏总纲!W90</f>
        <v>27.849785907730279</v>
      </c>
      <c r="X90" s="1">
        <f>[1]节奏总纲!X90</f>
        <v>24.283289174531888</v>
      </c>
      <c r="Y90" s="1">
        <f>[1]节奏总纲!Y90</f>
        <v>20.170361925205611</v>
      </c>
      <c r="Z90" s="1">
        <f>[1]节奏总纲!Z90</f>
        <v>13.186564664246333</v>
      </c>
      <c r="AA90" s="1">
        <f>[1]节奏总纲!AA90</f>
        <v>6.8025316656901111</v>
      </c>
      <c r="AC90" s="1">
        <f>[1]节奏总纲!AC90</f>
        <v>87</v>
      </c>
      <c r="AD90" s="1">
        <f>[1]节奏总纲!AD90</f>
        <v>64.585942742481365</v>
      </c>
      <c r="AE90" s="1">
        <f>[1]节奏总纲!AE90</f>
        <v>66.596336007085796</v>
      </c>
      <c r="AF90" s="1">
        <f>[1]节奏总纲!AF90</f>
        <v>69.49991523477118</v>
      </c>
      <c r="AG90" s="1">
        <f>[1]节奏总纲!AG90</f>
        <v>74.02050499447661</v>
      </c>
      <c r="AH90" s="1">
        <f>[1]节奏总纲!AH90</f>
        <v>82.632097695184868</v>
      </c>
      <c r="AZ90" s="1">
        <f>[1]节奏总纲!AZ90</f>
        <v>87</v>
      </c>
      <c r="BA90" s="1">
        <f>[1]节奏总纲!BA90</f>
        <v>37.099649155317238</v>
      </c>
      <c r="BB90" s="1">
        <f>[1]节奏总纲!BB90</f>
        <v>38.58553053106813</v>
      </c>
      <c r="BC90" s="1">
        <f>[1]节奏总纲!BC90</f>
        <v>40.518638521010651</v>
      </c>
      <c r="BD90" s="1">
        <f>[1]节奏总纲!BD90</f>
        <v>43.254857559716925</v>
      </c>
      <c r="BE90" s="1">
        <f>[1]节奏总纲!BE90</f>
        <v>47.951748159616329</v>
      </c>
      <c r="BI90" s="1">
        <f>[1]节奏总纲!BI90</f>
        <v>87</v>
      </c>
      <c r="BJ90" s="1">
        <f>[1]节奏总纲!BJ90</f>
        <v>3.4999999999999978</v>
      </c>
      <c r="BK90" s="1">
        <f>[1]节奏总纲!BK90</f>
        <v>3.5699999999999976</v>
      </c>
      <c r="BL90" s="1">
        <f>[1]节奏总纲!BL90</f>
        <v>3.7099999999999977</v>
      </c>
      <c r="BM90" s="1">
        <f>[1]节奏总纲!BM90</f>
        <v>3.9899999999999971</v>
      </c>
      <c r="BN90" s="1">
        <f>[1]节奏总纲!BN90</f>
        <v>4.8999999999999968</v>
      </c>
      <c r="BW90" s="1">
        <f>[1]节奏总纲!BW90</f>
        <v>87</v>
      </c>
      <c r="BX90" s="1">
        <f>[1]节奏总纲!BX90</f>
        <v>47.617039306482319</v>
      </c>
      <c r="BY90" s="1">
        <f>[1]节奏总纲!BY90</f>
        <v>48.142913866891206</v>
      </c>
      <c r="BZ90" s="1">
        <f>[1]节奏总纲!BZ90</f>
        <v>48.709766300257584</v>
      </c>
      <c r="CA90" s="1">
        <f>[1]节奏总纲!CA90</f>
        <v>49.296256903639559</v>
      </c>
      <c r="CB90" s="1">
        <f>[1]节奏总纲!CB90</f>
        <v>49.882526243554615</v>
      </c>
      <c r="CC90" s="1">
        <f>[1]节奏总纲!CC90</f>
        <v>49.882526243554615</v>
      </c>
    </row>
    <row r="91" spans="6:81" x14ac:dyDescent="0.15">
      <c r="F91" s="1">
        <f>[1]节奏总纲!F91</f>
        <v>89</v>
      </c>
      <c r="G91" s="1">
        <f>[1]节奏总纲!G91</f>
        <v>476.71289166684534</v>
      </c>
      <c r="N91" s="1">
        <f>[1]节奏总纲!N91</f>
        <v>98</v>
      </c>
      <c r="O91" s="1">
        <f>[1]节奏总纲!O91</f>
        <v>88</v>
      </c>
      <c r="P91" s="1">
        <f>[1]节奏总纲!P91</f>
        <v>444.72188840761549</v>
      </c>
      <c r="Q91" s="1">
        <f>[1]节奏总纲!Q91</f>
        <v>384.7733778502689</v>
      </c>
      <c r="R91" s="1">
        <f>[1]节奏总纲!R91</f>
        <v>312.90632068359827</v>
      </c>
      <c r="S91" s="1">
        <f>[1]节奏总纲!S91</f>
        <v>226.0076636887502</v>
      </c>
      <c r="T91" s="1">
        <f>[1]节奏总纲!T91</f>
        <v>123.1879630889095</v>
      </c>
      <c r="V91" s="1">
        <f>[1]节奏总纲!V91</f>
        <v>88</v>
      </c>
      <c r="W91" s="1">
        <f>[1]节奏总纲!W91</f>
        <v>29.848661473223331</v>
      </c>
      <c r="X91" s="1">
        <f>[1]节奏总纲!X91</f>
        <v>26.488859069727823</v>
      </c>
      <c r="Y91" s="1">
        <f>[1]节奏总纲!Y91</f>
        <v>20.503670340238671</v>
      </c>
      <c r="Z91" s="1">
        <f>[1]节奏总纲!Z91</f>
        <v>13.426622207567675</v>
      </c>
      <c r="AA91" s="1">
        <f>[1]节奏总纲!AA91</f>
        <v>7.438332774214075</v>
      </c>
      <c r="AC91" s="1">
        <f>[1]节奏总纲!AC91</f>
        <v>88</v>
      </c>
      <c r="AD91" s="1">
        <f>[1]节奏总纲!AD91</f>
        <v>64.750927616519931</v>
      </c>
      <c r="AE91" s="1">
        <f>[1]节奏总纲!AE91</f>
        <v>66.759818208154257</v>
      </c>
      <c r="AF91" s="1">
        <f>[1]节奏总纲!AF91</f>
        <v>69.660895361997589</v>
      </c>
      <c r="AG91" s="1">
        <f>[1]节奏总纲!AG91</f>
        <v>74.178131818877702</v>
      </c>
      <c r="AH91" s="1">
        <f>[1]节奏总纲!AH91</f>
        <v>82.799805803231706</v>
      </c>
      <c r="AZ91" s="1">
        <f>[1]节奏总纲!AZ91</f>
        <v>88</v>
      </c>
      <c r="BA91" s="1">
        <f>[1]节奏总纲!BA91</f>
        <v>37.172252028174768</v>
      </c>
      <c r="BB91" s="1">
        <f>[1]节奏总纲!BB91</f>
        <v>38.663818688865533</v>
      </c>
      <c r="BC91" s="1">
        <f>[1]节奏总纲!BC91</f>
        <v>40.596337175843701</v>
      </c>
      <c r="BD91" s="1">
        <f>[1]节奏总纲!BD91</f>
        <v>43.329750976586219</v>
      </c>
      <c r="BE91" s="1">
        <f>[1]节奏总纲!BE91</f>
        <v>48.030128751164234</v>
      </c>
      <c r="BI91" s="1">
        <f>[1]节奏总纲!BI91</f>
        <v>88</v>
      </c>
      <c r="BJ91" s="1">
        <f>[1]节奏总纲!BJ91</f>
        <v>3.4999999999999978</v>
      </c>
      <c r="BK91" s="1">
        <f>[1]节奏总纲!BK91</f>
        <v>3.5699999999999976</v>
      </c>
      <c r="BL91" s="1">
        <f>[1]节奏总纲!BL91</f>
        <v>3.7099999999999977</v>
      </c>
      <c r="BM91" s="1">
        <f>[1]节奏总纲!BM91</f>
        <v>3.9899999999999971</v>
      </c>
      <c r="BN91" s="1">
        <f>[1]节奏总纲!BN91</f>
        <v>4.8999999999999968</v>
      </c>
      <c r="BW91" s="1">
        <f>[1]节奏总纲!BW91</f>
        <v>88</v>
      </c>
      <c r="BX91" s="1">
        <f>[1]节奏总纲!BX91</f>
        <v>48.097921847068633</v>
      </c>
      <c r="BY91" s="1">
        <f>[1]节奏总纲!BY91</f>
        <v>48.618296173791954</v>
      </c>
      <c r="BZ91" s="1">
        <f>[1]节奏总纲!BZ91</f>
        <v>49.173016331799893</v>
      </c>
      <c r="CA91" s="1">
        <f>[1]节奏总纲!CA91</f>
        <v>49.712343474857072</v>
      </c>
      <c r="CB91" s="1">
        <f>[1]节奏总纲!CB91</f>
        <v>50.296637451558702</v>
      </c>
      <c r="CC91" s="1">
        <f>[1]节奏总纲!CC91</f>
        <v>50.296637451558702</v>
      </c>
    </row>
    <row r="92" spans="6:81" x14ac:dyDescent="0.15">
      <c r="F92" s="1">
        <f>[1]节奏总纲!F92</f>
        <v>90</v>
      </c>
      <c r="G92" s="1">
        <f>[1]节奏总纲!G92</f>
        <v>511</v>
      </c>
      <c r="N92" s="1">
        <f>[1]节奏总纲!N92</f>
        <v>99</v>
      </c>
      <c r="O92" s="1">
        <f>[1]节奏总纲!O92</f>
        <v>89</v>
      </c>
      <c r="P92" s="1">
        <f>[1]节奏总纲!P92</f>
        <v>476.71289166684534</v>
      </c>
      <c r="Q92" s="1">
        <f>[1]节奏总纲!Q92</f>
        <v>411.78459582182103</v>
      </c>
      <c r="R92" s="1">
        <f>[1]节奏总纲!R92</f>
        <v>332.60258451595797</v>
      </c>
      <c r="S92" s="1">
        <f>[1]节奏总纲!S92</f>
        <v>240.31096868925673</v>
      </c>
      <c r="T92" s="1">
        <f>[1]节奏总纲!T92</f>
        <v>130.61933231671563</v>
      </c>
      <c r="V92" s="1">
        <f>[1]节奏总纲!V92</f>
        <v>89</v>
      </c>
      <c r="W92" s="1">
        <f>[1]节奏总纲!W92</f>
        <v>31.991003259229842</v>
      </c>
      <c r="X92" s="1">
        <f>[1]节奏总纲!X92</f>
        <v>27.011217971552128</v>
      </c>
      <c r="Y92" s="1">
        <f>[1]节奏总纲!Y92</f>
        <v>19.696263832359705</v>
      </c>
      <c r="Z92" s="1">
        <f>[1]节奏总纲!Z92</f>
        <v>14.303305000506526</v>
      </c>
      <c r="AA92" s="1">
        <f>[1]节奏总纲!AA92</f>
        <v>7.4313692278061296</v>
      </c>
      <c r="AC92" s="1">
        <f>[1]节奏总纲!AC92</f>
        <v>89</v>
      </c>
      <c r="AD92" s="1">
        <f>[1]节奏总纲!AD92</f>
        <v>64.915912490558512</v>
      </c>
      <c r="AE92" s="1">
        <f>[1]节奏总纲!AE92</f>
        <v>66.923300409222719</v>
      </c>
      <c r="AF92" s="1">
        <f>[1]节奏总纲!AF92</f>
        <v>69.821875489223984</v>
      </c>
      <c r="AG92" s="1">
        <f>[1]节奏总纲!AG92</f>
        <v>74.335758643278794</v>
      </c>
      <c r="AH92" s="1">
        <f>[1]节奏总纲!AH92</f>
        <v>82.967513911278544</v>
      </c>
      <c r="AZ92" s="1">
        <f>[1]节奏总纲!AZ92</f>
        <v>89</v>
      </c>
      <c r="BA92" s="1">
        <f>[1]节奏总纲!BA92</f>
        <v>37.244854901032298</v>
      </c>
      <c r="BB92" s="1">
        <f>[1]节奏总纲!BB92</f>
        <v>38.742106846662928</v>
      </c>
      <c r="BC92" s="1">
        <f>[1]节奏总纲!BC92</f>
        <v>40.674035830676758</v>
      </c>
      <c r="BD92" s="1">
        <f>[1]节奏总纲!BD92</f>
        <v>43.404644393455513</v>
      </c>
      <c r="BE92" s="1">
        <f>[1]节奏总纲!BE92</f>
        <v>48.101914750802706</v>
      </c>
      <c r="BI92" s="1">
        <f>[1]节奏总纲!BI92</f>
        <v>89</v>
      </c>
      <c r="BJ92" s="1">
        <f>[1]节奏总纲!BJ92</f>
        <v>3.4999999999999978</v>
      </c>
      <c r="BK92" s="1">
        <f>[1]节奏总纲!BK92</f>
        <v>3.5699999999999976</v>
      </c>
      <c r="BL92" s="1">
        <f>[1]节奏总纲!BL92</f>
        <v>3.7099999999999977</v>
      </c>
      <c r="BM92" s="1">
        <f>[1]节奏总纲!BM92</f>
        <v>3.9899999999999971</v>
      </c>
      <c r="BN92" s="1">
        <f>[1]节奏总纲!BN92</f>
        <v>4.8999999999999968</v>
      </c>
      <c r="BW92" s="1">
        <f>[1]节奏总纲!BW92</f>
        <v>89</v>
      </c>
      <c r="BX92" s="1">
        <f>[1]节奏总纲!BX92</f>
        <v>48.557223076748912</v>
      </c>
      <c r="BY92" s="1">
        <f>[1]节奏总纲!BY92</f>
        <v>49.088974957750068</v>
      </c>
      <c r="BZ92" s="1">
        <f>[1]节奏总纲!BZ92</f>
        <v>49.579936789633926</v>
      </c>
      <c r="CA92" s="1">
        <f>[1]节奏总纲!CA92</f>
        <v>50.13435118838489</v>
      </c>
      <c r="CB92" s="1">
        <f>[1]节奏总纲!CB92</f>
        <v>50.6943349274338</v>
      </c>
      <c r="CC92" s="1">
        <f>[1]节奏总纲!CC92</f>
        <v>50.6943349274338</v>
      </c>
    </row>
    <row r="93" spans="6:81" x14ac:dyDescent="0.15">
      <c r="F93" s="1">
        <f>[1]节奏总纲!F93</f>
        <v>91</v>
      </c>
      <c r="G93" s="1">
        <f>[1]节奏总纲!G93</f>
        <v>547.74801281858208</v>
      </c>
      <c r="N93" s="1">
        <f>[1]节奏总纲!N93</f>
        <v>100</v>
      </c>
      <c r="O93" s="1">
        <f>[1]节奏总纲!O93</f>
        <v>90</v>
      </c>
      <c r="P93" s="1">
        <f>[1]节奏总纲!P93</f>
        <v>511</v>
      </c>
      <c r="Q93" s="1">
        <f>[1]节奏总纲!Q93</f>
        <v>438.13140000000004</v>
      </c>
      <c r="R93" s="1">
        <f>[1]节奏总纲!R93</f>
        <v>354.12299999999999</v>
      </c>
      <c r="S93" s="1">
        <f>[1]节奏总纲!S93</f>
        <v>254.88680000000002</v>
      </c>
      <c r="T93" s="1">
        <f>[1]节奏总纲!T93</f>
        <v>138.48100000000002</v>
      </c>
      <c r="V93" s="1">
        <f>[1]节奏总纲!V93</f>
        <v>90</v>
      </c>
      <c r="W93" s="1">
        <f>[1]节奏总纲!W93</f>
        <v>34.287108333154663</v>
      </c>
      <c r="X93" s="1">
        <f>[1]节奏总纲!X93</f>
        <v>26.346804178179013</v>
      </c>
      <c r="Y93" s="1">
        <f>[1]节奏总纲!Y93</f>
        <v>21.520415484042019</v>
      </c>
      <c r="Z93" s="1">
        <f>[1]节奏总纲!Z93</f>
        <v>14.575831310743297</v>
      </c>
      <c r="AA93" s="1">
        <f>[1]节奏总纲!AA93</f>
        <v>7.861667683284395</v>
      </c>
      <c r="AC93" s="1">
        <f>[1]节奏总纲!AC93</f>
        <v>90</v>
      </c>
      <c r="AD93" s="1">
        <f>[1]节奏总纲!AD93</f>
        <v>65.075479910097457</v>
      </c>
      <c r="AE93" s="1">
        <f>[1]节奏总纲!AE93</f>
        <v>67.083433628014333</v>
      </c>
      <c r="AF93" s="1">
        <f>[1]节奏总纲!AF93</f>
        <v>69.982855616450394</v>
      </c>
      <c r="AG93" s="1">
        <f>[1]节奏总纲!AG93</f>
        <v>74.493385467679886</v>
      </c>
      <c r="AH93" s="1">
        <f>[1]节奏总纲!AH93</f>
        <v>83.124894550960335</v>
      </c>
      <c r="AZ93" s="1">
        <f>[1]节奏总纲!AZ93</f>
        <v>90</v>
      </c>
      <c r="BA93" s="1">
        <f>[1]节奏总纲!BA93</f>
        <v>37.317457773889828</v>
      </c>
      <c r="BB93" s="1">
        <f>[1]节奏总纲!BB93</f>
        <v>38.82039500446033</v>
      </c>
      <c r="BC93" s="1">
        <f>[1]节奏总纲!BC93</f>
        <v>40.751734485509814</v>
      </c>
      <c r="BD93" s="1">
        <f>[1]节奏总纲!BD93</f>
        <v>43.479537810324807</v>
      </c>
      <c r="BE93" s="1">
        <f>[1]节奏总纲!BE93</f>
        <v>48.173700750441178</v>
      </c>
      <c r="BI93" s="1">
        <f>[1]节奏总纲!BI93</f>
        <v>90</v>
      </c>
      <c r="BJ93" s="1">
        <f>[1]节奏总纲!BJ93</f>
        <v>3.4999999999999978</v>
      </c>
      <c r="BK93" s="1">
        <f>[1]节奏总纲!BK93</f>
        <v>3.5699999999999976</v>
      </c>
      <c r="BL93" s="1">
        <f>[1]节奏总纲!BL93</f>
        <v>3.7099999999999977</v>
      </c>
      <c r="BM93" s="1">
        <f>[1]节奏总纲!BM93</f>
        <v>3.9899999999999971</v>
      </c>
      <c r="BN93" s="1">
        <f>[1]节奏总纲!BN93</f>
        <v>4.8999999999999968</v>
      </c>
      <c r="BW93" s="1">
        <f>[1]节奏总纲!BW93</f>
        <v>90</v>
      </c>
      <c r="BX93" s="1">
        <f>[1]节奏总纲!BX93</f>
        <v>49.042729140195462</v>
      </c>
      <c r="BY93" s="1">
        <f>[1]节奏总纲!BY93</f>
        <v>49.497214321439728</v>
      </c>
      <c r="BZ93" s="1">
        <f>[1]节奏总纲!BZ93</f>
        <v>50.021192353066951</v>
      </c>
      <c r="CA93" s="1">
        <f>[1]节奏总纲!CA93</f>
        <v>50.524371596694976</v>
      </c>
      <c r="CB93" s="1">
        <f>[1]节奏总纲!CB93</f>
        <v>51.099355476740961</v>
      </c>
      <c r="CC93" s="1">
        <f>[1]节奏总纲!CC93</f>
        <v>51.099355476740961</v>
      </c>
    </row>
    <row r="94" spans="6:81" x14ac:dyDescent="0.15">
      <c r="F94" s="1">
        <f>[1]节奏总纲!F94</f>
        <v>92</v>
      </c>
      <c r="G94" s="1">
        <f>[1]节奏总纲!G94</f>
        <v>587.1335577584814</v>
      </c>
      <c r="N94" s="1">
        <f>[1]节奏总纲!N94</f>
        <v>101</v>
      </c>
      <c r="O94" s="1">
        <f>[1]节奏总纲!O94</f>
        <v>91</v>
      </c>
      <c r="P94" s="1">
        <f>[1]节奏总纲!P94</f>
        <v>547.74801281858208</v>
      </c>
      <c r="Q94" s="1">
        <f>[1]节奏总纲!Q94</f>
        <v>469.6391461906523</v>
      </c>
      <c r="R94" s="1">
        <f>[1]节奏总纲!R94</f>
        <v>378.43910205635837</v>
      </c>
      <c r="S94" s="1">
        <f>[1]节奏总纲!S94</f>
        <v>272.61418597980827</v>
      </c>
      <c r="T94" s="1">
        <f>[1]节奏总纲!T94</f>
        <v>147.89196346101718</v>
      </c>
      <c r="V94" s="1">
        <f>[1]节奏总纲!V94</f>
        <v>91</v>
      </c>
      <c r="W94" s="1">
        <f>[1]节奏总纲!W94</f>
        <v>36.748012818582083</v>
      </c>
      <c r="X94" s="1">
        <f>[1]节奏总纲!X94</f>
        <v>31.507746190652256</v>
      </c>
      <c r="Y94" s="1">
        <f>[1]节奏总纲!Y94</f>
        <v>24.316102056358375</v>
      </c>
      <c r="Z94" s="1">
        <f>[1]节奏总纲!Z94</f>
        <v>17.727385979808247</v>
      </c>
      <c r="AA94" s="1">
        <f>[1]节奏总纲!AA94</f>
        <v>9.4109634610171611</v>
      </c>
      <c r="AC94" s="1">
        <f>[1]节奏总纲!AC94</f>
        <v>91</v>
      </c>
      <c r="AD94" s="1">
        <f>[1]节奏总纲!AD94</f>
        <v>65.229416240679981</v>
      </c>
      <c r="AE94" s="1">
        <f>[1]节奏总纲!AE94</f>
        <v>67.240606973055961</v>
      </c>
      <c r="AF94" s="1">
        <f>[1]节奏总纲!AF94</f>
        <v>70.137942795989005</v>
      </c>
      <c r="AG94" s="1">
        <f>[1]节奏总纲!AG94</f>
        <v>74.651012292080978</v>
      </c>
      <c r="AH94" s="1">
        <f>[1]节奏总纲!AH94</f>
        <v>83.279794092850153</v>
      </c>
      <c r="AZ94" s="1">
        <f>[1]节奏总纲!AZ94</f>
        <v>91</v>
      </c>
      <c r="BA94" s="1">
        <f>[1]节奏总纲!BA94</f>
        <v>37.390060646747358</v>
      </c>
      <c r="BB94" s="1">
        <f>[1]节奏总纲!BB94</f>
        <v>38.898683162257733</v>
      </c>
      <c r="BC94" s="1">
        <f>[1]节奏总纲!BC94</f>
        <v>40.829433140342871</v>
      </c>
      <c r="BD94" s="1">
        <f>[1]节奏总纲!BD94</f>
        <v>43.554431227194108</v>
      </c>
      <c r="BE94" s="1">
        <f>[1]节奏总纲!BE94</f>
        <v>48.24548675007965</v>
      </c>
      <c r="BI94" s="1">
        <f>[1]节奏总纲!BI94</f>
        <v>91</v>
      </c>
      <c r="BJ94" s="1">
        <f>[1]节奏总纲!BJ94</f>
        <v>3.4999999999999978</v>
      </c>
      <c r="BK94" s="1">
        <f>[1]节奏总纲!BK94</f>
        <v>3.5699999999999976</v>
      </c>
      <c r="BL94" s="1">
        <f>[1]节奏总纲!BL94</f>
        <v>3.7099999999999977</v>
      </c>
      <c r="BM94" s="1">
        <f>[1]节奏总纲!BM94</f>
        <v>3.9899999999999971</v>
      </c>
      <c r="BN94" s="1">
        <f>[1]节奏总纲!BN94</f>
        <v>4.8999999999999968</v>
      </c>
      <c r="BW94" s="1">
        <f>[1]节奏总纲!BW94</f>
        <v>91</v>
      </c>
      <c r="BX94" s="1">
        <f>[1]节奏总纲!BX94</f>
        <v>49.498252634231747</v>
      </c>
      <c r="BY94" s="1">
        <f>[1]节奏总纲!BY94</f>
        <v>49.985421626173121</v>
      </c>
      <c r="BZ94" s="1">
        <f>[1]节奏总纲!BZ94</f>
        <v>50.454959541611018</v>
      </c>
      <c r="CA94" s="1">
        <f>[1]节奏总纲!CA94</f>
        <v>50.998721372753316</v>
      </c>
      <c r="CB94" s="1">
        <f>[1]节奏总纲!CB94</f>
        <v>51.534250551986972</v>
      </c>
      <c r="CC94" s="1">
        <f>[1]节奏总纲!CC94</f>
        <v>51.534250551986972</v>
      </c>
    </row>
    <row r="95" spans="6:81" x14ac:dyDescent="0.15">
      <c r="F95" s="1">
        <f>[1]节奏总纲!F95</f>
        <v>93</v>
      </c>
      <c r="G95" s="1">
        <f>[1]节奏总纲!G95</f>
        <v>629.34593963259704</v>
      </c>
      <c r="N95" s="1">
        <f>[1]节奏总纲!N95</f>
        <v>102</v>
      </c>
      <c r="O95" s="1">
        <f>[1]节奏总纲!O95</f>
        <v>92</v>
      </c>
      <c r="P95" s="1">
        <f>[1]节奏总纲!P95</f>
        <v>587.1335577584814</v>
      </c>
      <c r="Q95" s="1">
        <f>[1]节奏总纲!Q95</f>
        <v>502.29275866238083</v>
      </c>
      <c r="R95" s="1">
        <f>[1]节奏总纲!R95</f>
        <v>405.12215485335213</v>
      </c>
      <c r="S95" s="1">
        <f>[1]节奏总纲!S95</f>
        <v>291.57052478286187</v>
      </c>
      <c r="T95" s="1">
        <f>[1]节奏总纲!T95</f>
        <v>157.64536025815227</v>
      </c>
      <c r="V95" s="1">
        <f>[1]节奏总纲!V95</f>
        <v>92</v>
      </c>
      <c r="W95" s="1">
        <f>[1]节奏总纲!W95</f>
        <v>39.385544939899319</v>
      </c>
      <c r="X95" s="1">
        <f>[1]节奏总纲!X95</f>
        <v>32.653612471728536</v>
      </c>
      <c r="Y95" s="1">
        <f>[1]节奏总纲!Y95</f>
        <v>26.683052796993763</v>
      </c>
      <c r="Z95" s="1">
        <f>[1]节奏总纲!Z95</f>
        <v>18.956338803053598</v>
      </c>
      <c r="AA95" s="1">
        <f>[1]节奏总纲!AA95</f>
        <v>9.7533967971350819</v>
      </c>
      <c r="AC95" s="1">
        <f>[1]节奏总纲!AC95</f>
        <v>92</v>
      </c>
      <c r="AD95" s="1">
        <f>[1]节奏总纲!AD95</f>
        <v>65.38335257126252</v>
      </c>
      <c r="AE95" s="1">
        <f>[1]节奏总纲!AE95</f>
        <v>67.397780318097588</v>
      </c>
      <c r="AF95" s="1">
        <f>[1]节奏总纲!AF95</f>
        <v>70.292327570459079</v>
      </c>
      <c r="AG95" s="1">
        <f>[1]节奏总纲!AG95</f>
        <v>74.808639116482055</v>
      </c>
      <c r="AH95" s="1">
        <f>[1]节奏总纲!AH95</f>
        <v>83.434693634739986</v>
      </c>
      <c r="AZ95" s="1">
        <f>[1]节奏总纲!AZ95</f>
        <v>92</v>
      </c>
      <c r="BA95" s="1">
        <f>[1]节奏总纲!BA95</f>
        <v>37.462663519604888</v>
      </c>
      <c r="BB95" s="1">
        <f>[1]节奏总纲!BB95</f>
        <v>38.976971320055128</v>
      </c>
      <c r="BC95" s="1">
        <f>[1]节奏总纲!BC95</f>
        <v>40.907131795175928</v>
      </c>
      <c r="BD95" s="1">
        <f>[1]节奏总纲!BD95</f>
        <v>43.629324644063402</v>
      </c>
      <c r="BE95" s="1">
        <f>[1]节奏总纲!BE95</f>
        <v>48.317272749718121</v>
      </c>
      <c r="BI95" s="1">
        <f>[1]节奏总纲!BI95</f>
        <v>92</v>
      </c>
      <c r="BJ95" s="1">
        <f>[1]节奏总纲!BJ95</f>
        <v>3.4999999999999978</v>
      </c>
      <c r="BK95" s="1">
        <f>[1]节奏总纲!BK95</f>
        <v>3.5699999999999976</v>
      </c>
      <c r="BL95" s="1">
        <f>[1]节奏总纲!BL95</f>
        <v>3.7099999999999977</v>
      </c>
      <c r="BM95" s="1">
        <f>[1]节奏总纲!BM95</f>
        <v>3.9899999999999971</v>
      </c>
      <c r="BN95" s="1">
        <f>[1]节奏总纲!BN95</f>
        <v>4.8999999999999968</v>
      </c>
      <c r="BW95" s="1">
        <f>[1]节奏总纲!BW95</f>
        <v>92</v>
      </c>
      <c r="BX95" s="1">
        <f>[1]节奏总纲!BX95</f>
        <v>49.986470626701646</v>
      </c>
      <c r="BY95" s="1">
        <f>[1]节奏总纲!BY95</f>
        <v>50.424285339835969</v>
      </c>
      <c r="BZ95" s="1">
        <f>[1]节奏总纲!BZ95</f>
        <v>50.930950009437595</v>
      </c>
      <c r="CA95" s="1">
        <f>[1]节奏总纲!CA95</f>
        <v>51.436896660010483</v>
      </c>
      <c r="CB95" s="1">
        <f>[1]节奏总纲!CB95</f>
        <v>51.984969997617021</v>
      </c>
      <c r="CC95" s="1">
        <f>[1]节奏总纲!CC95</f>
        <v>51.984969997617021</v>
      </c>
    </row>
    <row r="96" spans="6:81" x14ac:dyDescent="0.15">
      <c r="F96" s="1">
        <f>[1]节奏总纲!F96</f>
        <v>94</v>
      </c>
      <c r="G96" s="1">
        <f>[1]节奏总纲!G96</f>
        <v>674.58805031572183</v>
      </c>
      <c r="N96" s="1">
        <f>[1]节奏总纲!N96</f>
        <v>103</v>
      </c>
      <c r="O96" s="1">
        <f>[1]节奏总纲!O96</f>
        <v>93</v>
      </c>
      <c r="P96" s="1">
        <f>[1]节奏总纲!P96</f>
        <v>629.34593963259704</v>
      </c>
      <c r="Q96" s="1">
        <f>[1]节奏总纲!Q96</f>
        <v>538.34251676172357</v>
      </c>
      <c r="R96" s="1">
        <f>[1]节奏总纲!R96</f>
        <v>433.68228700082267</v>
      </c>
      <c r="S96" s="1">
        <f>[1]节奏总纲!S96</f>
        <v>311.52624011813555</v>
      </c>
      <c r="T96" s="1">
        <f>[1]节奏总纲!T96</f>
        <v>168.35003885171972</v>
      </c>
      <c r="V96" s="1">
        <f>[1]节奏总纲!V96</f>
        <v>93</v>
      </c>
      <c r="W96" s="1">
        <f>[1]节奏总纲!W96</f>
        <v>42.212381874115636</v>
      </c>
      <c r="X96" s="1">
        <f>[1]节奏总纲!X96</f>
        <v>36.049758099342739</v>
      </c>
      <c r="Y96" s="1">
        <f>[1]节奏总纲!Y96</f>
        <v>28.56013214747054</v>
      </c>
      <c r="Z96" s="1">
        <f>[1]节奏总纲!Z96</f>
        <v>19.95571533527368</v>
      </c>
      <c r="AA96" s="1">
        <f>[1]节奏总纲!AA96</f>
        <v>10.704678593567451</v>
      </c>
      <c r="AC96" s="1">
        <f>[1]节奏总纲!AC96</f>
        <v>93</v>
      </c>
      <c r="AD96" s="1">
        <f>[1]节奏总纲!AD96</f>
        <v>65.537288901845059</v>
      </c>
      <c r="AE96" s="1">
        <f>[1]节奏总纲!AE96</f>
        <v>67.554953663139216</v>
      </c>
      <c r="AF96" s="1">
        <f>[1]节奏总纲!AF96</f>
        <v>70.446712344929153</v>
      </c>
      <c r="AG96" s="1">
        <f>[1]节奏总纲!AG96</f>
        <v>74.966265940883147</v>
      </c>
      <c r="AH96" s="1">
        <f>[1]节奏总纲!AH96</f>
        <v>83.589593176629805</v>
      </c>
      <c r="AZ96" s="1">
        <f>[1]节奏总纲!AZ96</f>
        <v>93</v>
      </c>
      <c r="BA96" s="1">
        <f>[1]节奏总纲!BA96</f>
        <v>37.535266392462418</v>
      </c>
      <c r="BB96" s="1">
        <f>[1]节奏总纲!BB96</f>
        <v>39.047673544184711</v>
      </c>
      <c r="BC96" s="1">
        <f>[1]节奏总纲!BC96</f>
        <v>40.984830450008985</v>
      </c>
      <c r="BD96" s="1">
        <f>[1]节奏总纲!BD96</f>
        <v>43.704218060932696</v>
      </c>
      <c r="BE96" s="1">
        <f>[1]节奏总纲!BE96</f>
        <v>48.389058749356593</v>
      </c>
      <c r="BI96" s="1">
        <f>[1]节奏总纲!BI96</f>
        <v>93</v>
      </c>
      <c r="BJ96" s="1">
        <f>[1]节奏总纲!BJ96</f>
        <v>3.4999999999999978</v>
      </c>
      <c r="BK96" s="1">
        <f>[1]节奏总纲!BK96</f>
        <v>3.5699999999999976</v>
      </c>
      <c r="BL96" s="1">
        <f>[1]节奏总纲!BL96</f>
        <v>3.7099999999999977</v>
      </c>
      <c r="BM96" s="1">
        <f>[1]节奏总纲!BM96</f>
        <v>3.9899999999999971</v>
      </c>
      <c r="BN96" s="1">
        <f>[1]节奏总纲!BN96</f>
        <v>4.8999999999999968</v>
      </c>
      <c r="BW96" s="1">
        <f>[1]节奏总纲!BW96</f>
        <v>93</v>
      </c>
      <c r="BX96" s="1">
        <f>[1]节奏总纲!BX96</f>
        <v>50.440125995524625</v>
      </c>
      <c r="BY96" s="1">
        <f>[1]节奏总纲!BY96</f>
        <v>50.90659544186844</v>
      </c>
      <c r="BZ96" s="1">
        <f>[1]节奏总纲!BZ96</f>
        <v>51.380310631705122</v>
      </c>
      <c r="CA96" s="1">
        <f>[1]节奏总纲!CA96</f>
        <v>51.897988787201882</v>
      </c>
      <c r="CB96" s="1">
        <f>[1]节奏总纲!CB96</f>
        <v>52.414208810757216</v>
      </c>
      <c r="CC96" s="1">
        <f>[1]节奏总纲!CC96</f>
        <v>52.414208810757216</v>
      </c>
    </row>
    <row r="97" spans="6:81" x14ac:dyDescent="0.15">
      <c r="F97" s="1">
        <f>[1]节奏总纲!F97</f>
        <v>95</v>
      </c>
      <c r="G97" s="1">
        <f>[1]节奏总纲!G97</f>
        <v>723.0773439350246</v>
      </c>
      <c r="N97" s="1">
        <f>[1]节奏总纲!N97</f>
        <v>104</v>
      </c>
      <c r="O97" s="1">
        <f>[1]节奏总纲!O97</f>
        <v>94</v>
      </c>
      <c r="P97" s="1">
        <f>[1]节奏总纲!P97</f>
        <v>674.58805031572183</v>
      </c>
      <c r="Q97" s="1">
        <f>[1]节奏总纲!Q97</f>
        <v>576.30057138472114</v>
      </c>
      <c r="R97" s="1">
        <f>[1]节奏总纲!R97</f>
        <v>464.04911981218504</v>
      </c>
      <c r="S97" s="1">
        <f>[1]节奏总纲!S97</f>
        <v>332.70682641571403</v>
      </c>
      <c r="T97" s="1">
        <f>[1]节奏总纲!T97</f>
        <v>179.6427977990767</v>
      </c>
      <c r="V97" s="1">
        <f>[1]节奏总纲!V97</f>
        <v>94</v>
      </c>
      <c r="W97" s="1">
        <f>[1]节奏总纲!W97</f>
        <v>45.242110683124793</v>
      </c>
      <c r="X97" s="1">
        <f>[1]节奏总纲!X97</f>
        <v>37.958054622997565</v>
      </c>
      <c r="Y97" s="1">
        <f>[1]节奏总纲!Y97</f>
        <v>30.366832811362372</v>
      </c>
      <c r="Z97" s="1">
        <f>[1]节奏总纲!Z97</f>
        <v>21.180586297578486</v>
      </c>
      <c r="AA97" s="1">
        <f>[1]节奏总纲!AA97</f>
        <v>11.292758947356987</v>
      </c>
      <c r="AC97" s="1">
        <f>[1]节奏总纲!AC97</f>
        <v>94</v>
      </c>
      <c r="AD97" s="1">
        <f>[1]节奏总纲!AD97</f>
        <v>65.691225232427584</v>
      </c>
      <c r="AE97" s="1">
        <f>[1]节奏总纲!AE97</f>
        <v>67.712127008180858</v>
      </c>
      <c r="AF97" s="1">
        <f>[1]节奏总纲!AF97</f>
        <v>70.601097119399213</v>
      </c>
      <c r="AG97" s="1">
        <f>[1]节奏总纲!AG97</f>
        <v>75.115180559621535</v>
      </c>
      <c r="AH97" s="1">
        <f>[1]节奏总纲!AH97</f>
        <v>83.744492718519624</v>
      </c>
      <c r="AZ97" s="1">
        <f>[1]节奏总纲!AZ97</f>
        <v>94</v>
      </c>
      <c r="BA97" s="1">
        <f>[1]节奏总纲!BA97</f>
        <v>37.607869265319941</v>
      </c>
      <c r="BB97" s="1">
        <f>[1]节奏总纲!BB97</f>
        <v>39.115214427575864</v>
      </c>
      <c r="BC97" s="1">
        <f>[1]节奏总纲!BC97</f>
        <v>41.053954370816207</v>
      </c>
      <c r="BD97" s="1">
        <f>[1]节奏总纲!BD97</f>
        <v>43.77911147780199</v>
      </c>
      <c r="BE97" s="1">
        <f>[1]节奏总纲!BE97</f>
        <v>48.460844748995065</v>
      </c>
      <c r="BI97" s="1">
        <f>[1]节奏总纲!BI97</f>
        <v>94</v>
      </c>
      <c r="BJ97" s="1">
        <f>[1]节奏总纲!BJ97</f>
        <v>3.4999999999999978</v>
      </c>
      <c r="BK97" s="1">
        <f>[1]节奏总纲!BK97</f>
        <v>3.5699999999999976</v>
      </c>
      <c r="BL97" s="1">
        <f>[1]节奏总纲!BL97</f>
        <v>3.7099999999999977</v>
      </c>
      <c r="BM97" s="1">
        <f>[1]节奏总纲!BM97</f>
        <v>3.9899999999999971</v>
      </c>
      <c r="BN97" s="1">
        <f>[1]节奏总纲!BN97</f>
        <v>4.8999999999999968</v>
      </c>
      <c r="BW97" s="1">
        <f>[1]节奏总纲!BW97</f>
        <v>94</v>
      </c>
      <c r="BX97" s="1">
        <f>[1]节奏总纲!BX97</f>
        <v>50.924361744560407</v>
      </c>
      <c r="BY97" s="1">
        <f>[1]节奏总纲!BY97</f>
        <v>51.357869409358393</v>
      </c>
      <c r="BZ97" s="1">
        <f>[1]节奏总纲!BZ97</f>
        <v>51.84807662595162</v>
      </c>
      <c r="CA97" s="1">
        <f>[1]节奏总纲!CA97</f>
        <v>52.334530106928973</v>
      </c>
      <c r="CB97" s="1">
        <f>[1]节奏总纲!CB97</f>
        <v>52.864865346365669</v>
      </c>
      <c r="CC97" s="1">
        <f>[1]节奏总纲!CC97</f>
        <v>52.864865346365669</v>
      </c>
    </row>
    <row r="98" spans="6:81" x14ac:dyDescent="0.15">
      <c r="F98" s="1">
        <f>[1]节奏总纲!F98</f>
        <v>96</v>
      </c>
      <c r="G98" s="1">
        <f>[1]节奏总纲!G98</f>
        <v>775.04688205332377</v>
      </c>
      <c r="N98" s="1">
        <f>[1]节奏总纲!N98</f>
        <v>105</v>
      </c>
      <c r="O98" s="1">
        <f>[1]节奏总纲!O98</f>
        <v>95</v>
      </c>
      <c r="P98" s="1">
        <f>[1]节奏总纲!P98</f>
        <v>723.0773439350246</v>
      </c>
      <c r="Q98" s="1">
        <f>[1]节奏总纲!Q98</f>
        <v>618.15882133005255</v>
      </c>
      <c r="R98" s="1">
        <f>[1]节奏总纲!R98</f>
        <v>495.95875020503337</v>
      </c>
      <c r="S98" s="1">
        <f>[1]节奏总纲!S98</f>
        <v>355.39251454406457</v>
      </c>
      <c r="T98" s="1">
        <f>[1]节奏总纲!T98</f>
        <v>192.84472762747106</v>
      </c>
      <c r="V98" s="1">
        <f>[1]节奏总纲!V98</f>
        <v>95</v>
      </c>
      <c r="W98" s="1">
        <f>[1]节奏总纲!W98</f>
        <v>48.489293619302771</v>
      </c>
      <c r="X98" s="1">
        <f>[1]节奏总纲!X98</f>
        <v>41.858249945331409</v>
      </c>
      <c r="Y98" s="1">
        <f>[1]节奏总纲!Y98</f>
        <v>31.909630392848328</v>
      </c>
      <c r="Z98" s="1">
        <f>[1]节奏总纲!Z98</f>
        <v>22.685688128350534</v>
      </c>
      <c r="AA98" s="1">
        <f>[1]节奏总纲!AA98</f>
        <v>13.201929828394356</v>
      </c>
      <c r="AC98" s="1">
        <f>[1]节奏总纲!AC98</f>
        <v>95</v>
      </c>
      <c r="AD98" s="1">
        <f>[1]节奏总纲!AD98</f>
        <v>65.845161563010123</v>
      </c>
      <c r="AE98" s="1">
        <f>[1]节奏总纲!AE98</f>
        <v>67.869300353222485</v>
      </c>
      <c r="AF98" s="1">
        <f>[1]节奏总纲!AF98</f>
        <v>70.755481893869288</v>
      </c>
      <c r="AG98" s="1">
        <f>[1]节奏总纲!AG98</f>
        <v>75.261722981240993</v>
      </c>
      <c r="AH98" s="1">
        <f>[1]节奏总纲!AH98</f>
        <v>83.899392260409456</v>
      </c>
      <c r="AZ98" s="1">
        <f>[1]节奏总纲!AZ98</f>
        <v>95</v>
      </c>
      <c r="BA98" s="1">
        <f>[1]节奏总纲!BA98</f>
        <v>37.680472138177471</v>
      </c>
      <c r="BB98" s="1">
        <f>[1]节奏总纲!BB98</f>
        <v>39.182755310967018</v>
      </c>
      <c r="BC98" s="1">
        <f>[1]节奏总纲!BC98</f>
        <v>41.120998062635785</v>
      </c>
      <c r="BD98" s="1">
        <f>[1]节奏总纲!BD98</f>
        <v>43.854004894671284</v>
      </c>
      <c r="BE98" s="1">
        <f>[1]节奏总纲!BE98</f>
        <v>48.532630748633537</v>
      </c>
      <c r="BI98" s="1">
        <f>[1]节奏总纲!BI98</f>
        <v>95</v>
      </c>
      <c r="BJ98" s="1">
        <f>[1]节奏总纲!BJ98</f>
        <v>3.4999999999999978</v>
      </c>
      <c r="BK98" s="1">
        <f>[1]节奏总纲!BK98</f>
        <v>3.5699999999999976</v>
      </c>
      <c r="BL98" s="1">
        <f>[1]节奏总纲!BL98</f>
        <v>3.7099999999999977</v>
      </c>
      <c r="BM98" s="1">
        <f>[1]节奏总纲!BM98</f>
        <v>3.9899999999999971</v>
      </c>
      <c r="BN98" s="1">
        <f>[1]节奏总纲!BN98</f>
        <v>4.8999999999999968</v>
      </c>
      <c r="BW98" s="1">
        <f>[1]节奏总纲!BW98</f>
        <v>95</v>
      </c>
      <c r="BX98" s="1">
        <f>[1]节奏总纲!BX98</f>
        <v>51.382838700936844</v>
      </c>
      <c r="BY98" s="1">
        <f>[1]节奏总纲!BY98</f>
        <v>51.841452913721341</v>
      </c>
      <c r="BZ98" s="1">
        <f>[1]节奏总纲!BZ98</f>
        <v>52.293273390033363</v>
      </c>
      <c r="CA98" s="1">
        <f>[1]节奏总纲!CA98</f>
        <v>52.787185373346801</v>
      </c>
      <c r="CB98" s="1">
        <f>[1]节奏总纲!CB98</f>
        <v>53.338289705589766</v>
      </c>
      <c r="CC98" s="1">
        <f>[1]节奏总纲!CC98</f>
        <v>53.338289705589766</v>
      </c>
    </row>
    <row r="99" spans="6:81" x14ac:dyDescent="0.15">
      <c r="F99" s="1">
        <f>[1]节奏总纲!F99</f>
        <v>97</v>
      </c>
      <c r="G99" s="1">
        <f>[1]节奏总纲!G99</f>
        <v>830.74645386878444</v>
      </c>
      <c r="N99" s="1">
        <f>[1]节奏总纲!N99</f>
        <v>106</v>
      </c>
      <c r="O99" s="1">
        <f>[1]节奏总纲!O99</f>
        <v>96</v>
      </c>
      <c r="P99" s="1">
        <f>[1]节奏总纲!P99</f>
        <v>775.04688205332377</v>
      </c>
      <c r="Q99" s="1">
        <f>[1]节奏总纲!Q99</f>
        <v>661.0374857032798</v>
      </c>
      <c r="R99" s="1">
        <f>[1]节奏总纲!R99</f>
        <v>529.97705794806279</v>
      </c>
      <c r="S99" s="1">
        <f>[1]节奏总纲!S99</f>
        <v>380.70302846459265</v>
      </c>
      <c r="T99" s="1">
        <f>[1]节奏总纲!T99</f>
        <v>206.86001282003213</v>
      </c>
      <c r="V99" s="1">
        <f>[1]节奏总纲!V99</f>
        <v>96</v>
      </c>
      <c r="W99" s="1">
        <f>[1]节奏总纲!W99</f>
        <v>51.96953811829917</v>
      </c>
      <c r="X99" s="1">
        <f>[1]节奏总纲!X99</f>
        <v>42.878664373227252</v>
      </c>
      <c r="Y99" s="1">
        <f>[1]节奏总纲!Y99</f>
        <v>34.018307743029425</v>
      </c>
      <c r="Z99" s="1">
        <f>[1]节奏总纲!Z99</f>
        <v>25.310513920528081</v>
      </c>
      <c r="AA99" s="1">
        <f>[1]节奏总纲!AA99</f>
        <v>14.015285192561066</v>
      </c>
      <c r="AC99" s="1">
        <f>[1]节奏总纲!AC99</f>
        <v>96</v>
      </c>
      <c r="AD99" s="1">
        <f>[1]节奏总纲!AD99</f>
        <v>65.999097893592648</v>
      </c>
      <c r="AE99" s="1">
        <f>[1]节奏总纲!AE99</f>
        <v>68.025215371037646</v>
      </c>
      <c r="AF99" s="1">
        <f>[1]节奏总纲!AF99</f>
        <v>70.909866668339362</v>
      </c>
      <c r="AG99" s="1">
        <f>[1]节奏总纲!AG99</f>
        <v>75.408265402860437</v>
      </c>
      <c r="AH99" s="1">
        <f>[1]节奏总纲!AH99</f>
        <v>84.050903767166133</v>
      </c>
      <c r="AZ99" s="1">
        <f>[1]节奏总纲!AZ99</f>
        <v>96</v>
      </c>
      <c r="BA99" s="1">
        <f>[1]节奏总纲!BA99</f>
        <v>37.753075011035001</v>
      </c>
      <c r="BB99" s="1">
        <f>[1]节奏总纲!BB99</f>
        <v>39.250296194358178</v>
      </c>
      <c r="BC99" s="1">
        <f>[1]节奏总纲!BC99</f>
        <v>41.188041754455355</v>
      </c>
      <c r="BD99" s="1">
        <f>[1]节奏总纲!BD99</f>
        <v>43.928898311540578</v>
      </c>
      <c r="BE99" s="1">
        <f>[1]节奏总纲!BE99</f>
        <v>48.604416748272008</v>
      </c>
      <c r="BI99" s="1">
        <f>[1]节奏总纲!BI99</f>
        <v>96</v>
      </c>
      <c r="BJ99" s="1">
        <f>[1]节奏总纲!BJ99</f>
        <v>3.4999999999999978</v>
      </c>
      <c r="BK99" s="1">
        <f>[1]节奏总纲!BK99</f>
        <v>3.5699999999999976</v>
      </c>
      <c r="BL99" s="1">
        <f>[1]节奏总纲!BL99</f>
        <v>3.7099999999999977</v>
      </c>
      <c r="BM99" s="1">
        <f>[1]节奏总纲!BM99</f>
        <v>3.9899999999999971</v>
      </c>
      <c r="BN99" s="1">
        <f>[1]节奏总纲!BN99</f>
        <v>4.8999999999999968</v>
      </c>
      <c r="BW99" s="1">
        <f>[1]节奏总纲!BW99</f>
        <v>96</v>
      </c>
      <c r="BX99" s="1">
        <f>[1]节奏总纲!BX99</f>
        <v>51.863157135581275</v>
      </c>
      <c r="BY99" s="1">
        <f>[1]节奏总纲!BY99</f>
        <v>52.290870529884771</v>
      </c>
      <c r="BZ99" s="1">
        <f>[1]节奏总纲!BZ99</f>
        <v>52.745792648501016</v>
      </c>
      <c r="CA99" s="1">
        <f>[1]节奏总纲!CA99</f>
        <v>53.252362918407712</v>
      </c>
      <c r="CB99" s="1">
        <f>[1]节奏总纲!CB99</f>
        <v>53.821316321108398</v>
      </c>
      <c r="CC99" s="1">
        <f>[1]节奏总纲!CC99</f>
        <v>53.821316321108398</v>
      </c>
    </row>
    <row r="100" spans="6:81" x14ac:dyDescent="0.15">
      <c r="F100" s="1">
        <f>[1]节奏总纲!F100</f>
        <v>98</v>
      </c>
      <c r="G100" s="1">
        <f>[1]节奏总纲!G100</f>
        <v>890.4437768152311</v>
      </c>
      <c r="N100" s="1">
        <f>[1]节奏总纲!N100</f>
        <v>107</v>
      </c>
      <c r="O100" s="1">
        <f>[1]节奏总纲!O100</f>
        <v>97</v>
      </c>
      <c r="P100" s="1">
        <f>[1]节奏总纲!P100</f>
        <v>830.74645386878444</v>
      </c>
      <c r="Q100" s="1">
        <f>[1]节奏总纲!Q100</f>
        <v>707.71290405081743</v>
      </c>
      <c r="R100" s="1">
        <f>[1]节奏总纲!R100</f>
        <v>569.31054483627804</v>
      </c>
      <c r="S100" s="1">
        <f>[1]节奏总纲!S100</f>
        <v>409.80722569347137</v>
      </c>
      <c r="T100" s="1">
        <f>[1]节奏总纲!T100</f>
        <v>223.30464679992923</v>
      </c>
      <c r="V100" s="1">
        <f>[1]节奏总纲!V100</f>
        <v>97</v>
      </c>
      <c r="W100" s="1">
        <f>[1]节奏总纲!W100</f>
        <v>55.699571815460672</v>
      </c>
      <c r="X100" s="1">
        <f>[1]节奏总纲!X100</f>
        <v>46.675418347537629</v>
      </c>
      <c r="Y100" s="1">
        <f>[1]节奏总纲!Y100</f>
        <v>39.333486888215248</v>
      </c>
      <c r="Z100" s="1">
        <f>[1]节奏总纲!Z100</f>
        <v>29.104197228878718</v>
      </c>
      <c r="AA100" s="1">
        <f>[1]节奏总纲!AA100</f>
        <v>16.444633979897105</v>
      </c>
      <c r="AC100" s="1">
        <f>[1]节奏总纲!AC100</f>
        <v>97</v>
      </c>
      <c r="AD100" s="1">
        <f>[1]节奏总纲!AD100</f>
        <v>66.142785979989682</v>
      </c>
      <c r="AE100" s="1">
        <f>[1]节奏总纲!AE100</f>
        <v>68.174918074940805</v>
      </c>
      <c r="AF100" s="1">
        <f>[1]节奏总纲!AF100</f>
        <v>71.061795050376986</v>
      </c>
      <c r="AG100" s="1">
        <f>[1]节奏总纲!AG100</f>
        <v>75.554807824479894</v>
      </c>
      <c r="AH100" s="1">
        <f>[1]节奏总纲!AH100</f>
        <v>84.196136930932482</v>
      </c>
      <c r="AZ100" s="1">
        <f>[1]节奏总纲!AZ100</f>
        <v>97</v>
      </c>
      <c r="BA100" s="1">
        <f>[1]节奏总纲!BA100</f>
        <v>37.825677883892531</v>
      </c>
      <c r="BB100" s="1">
        <f>[1]节奏总纲!BB100</f>
        <v>39.317837077749331</v>
      </c>
      <c r="BC100" s="1">
        <f>[1]节奏总纲!BC100</f>
        <v>41.255085446274933</v>
      </c>
      <c r="BD100" s="1">
        <f>[1]节奏总纲!BD100</f>
        <v>44.003272544984547</v>
      </c>
      <c r="BE100" s="1">
        <f>[1]节奏总纲!BE100</f>
        <v>48.67620274791048</v>
      </c>
      <c r="BI100" s="1">
        <f>[1]节奏总纲!BI100</f>
        <v>97</v>
      </c>
      <c r="BJ100" s="1">
        <f>[1]节奏总纲!BJ100</f>
        <v>3.4999999999999978</v>
      </c>
      <c r="BK100" s="1">
        <f>[1]节奏总纲!BK100</f>
        <v>3.5699999999999976</v>
      </c>
      <c r="BL100" s="1">
        <f>[1]节奏总纲!BL100</f>
        <v>3.7099999999999977</v>
      </c>
      <c r="BM100" s="1">
        <f>[1]节奏总纲!BM100</f>
        <v>3.9899999999999971</v>
      </c>
      <c r="BN100" s="1">
        <f>[1]节奏总纲!BN100</f>
        <v>4.8999999999999968</v>
      </c>
      <c r="BW100" s="1">
        <f>[1]节奏总纲!BW100</f>
        <v>97</v>
      </c>
      <c r="BX100" s="1">
        <f>[1]节奏总纲!BX100</f>
        <v>52.326384257945534</v>
      </c>
      <c r="BY100" s="1">
        <f>[1]节奏总纲!BY100</f>
        <v>52.756535794428025</v>
      </c>
      <c r="BZ100" s="1">
        <f>[1]节奏总纲!BZ100</f>
        <v>53.232327712261743</v>
      </c>
      <c r="CA100" s="1">
        <f>[1]节奏总纲!CA100</f>
        <v>53.753890418265996</v>
      </c>
      <c r="CB100" s="1">
        <f>[1]节奏总纲!CB100</f>
        <v>54.335165952675545</v>
      </c>
      <c r="CC100" s="1">
        <f>[1]节奏总纲!CC100</f>
        <v>54.335165952675545</v>
      </c>
    </row>
    <row r="101" spans="6:81" x14ac:dyDescent="0.15">
      <c r="F101" s="1">
        <f>[1]节奏总纲!F101</f>
        <v>99</v>
      </c>
      <c r="G101" s="1">
        <f>[1]节奏总纲!G101</f>
        <v>954.42578333369079</v>
      </c>
      <c r="N101" s="1">
        <f>[1]节奏总纲!N101</f>
        <v>108</v>
      </c>
      <c r="O101" s="1">
        <f>[1]节奏总纲!O101</f>
        <v>98</v>
      </c>
      <c r="P101" s="1">
        <f>[1]节奏总纲!P101</f>
        <v>890.4437768152311</v>
      </c>
      <c r="Q101" s="1">
        <f>[1]节奏总纲!Q101</f>
        <v>760.34994102252585</v>
      </c>
      <c r="R101" s="1">
        <f>[1]节奏总纲!R101</f>
        <v>612.98149595960513</v>
      </c>
      <c r="S101" s="1">
        <f>[1]节奏总纲!S101</f>
        <v>441.9272464333992</v>
      </c>
      <c r="T101" s="1">
        <f>[1]节奏总纲!T101</f>
        <v>240.77599725083846</v>
      </c>
      <c r="V101" s="1">
        <f>[1]节奏总纲!V101</f>
        <v>98</v>
      </c>
      <c r="W101" s="1">
        <f>[1]节奏总纲!W101</f>
        <v>59.697322946446661</v>
      </c>
      <c r="X101" s="1">
        <f>[1]节奏总纲!X101</f>
        <v>52.637036971708426</v>
      </c>
      <c r="Y101" s="1">
        <f>[1]节奏总纲!Y101</f>
        <v>43.670951123327086</v>
      </c>
      <c r="Z101" s="1">
        <f>[1]节奏总纲!Z101</f>
        <v>32.120020739927838</v>
      </c>
      <c r="AA101" s="1">
        <f>[1]节奏总纲!AA101</f>
        <v>17.471350450909227</v>
      </c>
      <c r="AC101" s="1">
        <f>[1]节奏总纲!AC101</f>
        <v>98</v>
      </c>
      <c r="AD101" s="1">
        <f>[1]节奏总纲!AD101</f>
        <v>66.286413655019302</v>
      </c>
      <c r="AE101" s="1">
        <f>[1]节奏总纲!AE101</f>
        <v>68.324620778843951</v>
      </c>
      <c r="AF101" s="1">
        <f>[1]节奏总纲!AF101</f>
        <v>71.210277551293188</v>
      </c>
      <c r="AG101" s="1">
        <f>[1]节奏总纲!AG101</f>
        <v>75.701350246099338</v>
      </c>
      <c r="AH101" s="1">
        <f>[1]节奏总纲!AH101</f>
        <v>84.341370094698831</v>
      </c>
      <c r="AZ101" s="1">
        <f>[1]节奏总纲!AZ101</f>
        <v>98</v>
      </c>
      <c r="BA101" s="1">
        <f>[1]节奏总纲!BA101</f>
        <v>37.898280756750061</v>
      </c>
      <c r="BB101" s="1">
        <f>[1]节奏总纲!BB101</f>
        <v>39.385377961140485</v>
      </c>
      <c r="BC101" s="1">
        <f>[1]节奏总纲!BC101</f>
        <v>41.322129138094503</v>
      </c>
      <c r="BD101" s="1">
        <f>[1]节奏总纲!BD101</f>
        <v>44.067911160744309</v>
      </c>
      <c r="BE101" s="1">
        <f>[1]节奏总纲!BE101</f>
        <v>48.747988747548945</v>
      </c>
      <c r="BI101" s="1">
        <f>[1]节奏总纲!BI101</f>
        <v>98</v>
      </c>
      <c r="BJ101" s="1">
        <f>[1]节奏总纲!BJ101</f>
        <v>3.4999999999999978</v>
      </c>
      <c r="BK101" s="1">
        <f>[1]节奏总纲!BK101</f>
        <v>3.5699999999999976</v>
      </c>
      <c r="BL101" s="1">
        <f>[1]节奏总纲!BL101</f>
        <v>3.7099999999999977</v>
      </c>
      <c r="BM101" s="1">
        <f>[1]节奏总纲!BM101</f>
        <v>3.9899999999999971</v>
      </c>
      <c r="BN101" s="1">
        <f>[1]节奏总纲!BN101</f>
        <v>4.8999999999999968</v>
      </c>
      <c r="BW101" s="1">
        <f>[1]节奏总纲!BW101</f>
        <v>98</v>
      </c>
      <c r="BX101" s="1">
        <f>[1]节奏总纲!BX101</f>
        <v>52.802848669690398</v>
      </c>
      <c r="BY101" s="1">
        <f>[1]节奏总纲!BY101</f>
        <v>53.243263351667181</v>
      </c>
      <c r="BZ101" s="1">
        <f>[1]节奏总纲!BZ101</f>
        <v>53.734023573310566</v>
      </c>
      <c r="CA101" s="1">
        <f>[1]节奏总纲!CA101</f>
        <v>54.265483052665907</v>
      </c>
      <c r="CB101" s="1">
        <f>[1]节奏总纲!CB101</f>
        <v>54.855218110725374</v>
      </c>
      <c r="CC101" s="1">
        <f>[1]节奏总纲!CC101</f>
        <v>54.855218110725374</v>
      </c>
    </row>
    <row r="102" spans="6:81" x14ac:dyDescent="0.15">
      <c r="F102" s="1">
        <f>[1]节奏总纲!F102</f>
        <v>100</v>
      </c>
      <c r="G102" s="1">
        <f>[1]节奏总纲!G102</f>
        <v>1023</v>
      </c>
      <c r="N102" s="1">
        <f>[1]节奏总纲!N102</f>
        <v>109</v>
      </c>
      <c r="O102" s="1">
        <f>[1]节奏总纲!O102</f>
        <v>99</v>
      </c>
      <c r="P102" s="1">
        <f>[1]节奏总纲!P102</f>
        <v>954.42578333369079</v>
      </c>
      <c r="Q102" s="1">
        <f>[1]节奏总纲!Q102</f>
        <v>816.51125764197252</v>
      </c>
      <c r="R102" s="1">
        <f>[1]节奏总纲!R102</f>
        <v>658.6492330785801</v>
      </c>
      <c r="S102" s="1">
        <f>[1]节奏总纲!S102</f>
        <v>475.39948267851139</v>
      </c>
      <c r="T102" s="1">
        <f>[1]节奏总纲!T102</f>
        <v>257.59951892176309</v>
      </c>
      <c r="V102" s="1">
        <f>[1]节奏总纲!V102</f>
        <v>99</v>
      </c>
      <c r="W102" s="1">
        <f>[1]节奏总纲!W102</f>
        <v>63.982006518459684</v>
      </c>
      <c r="X102" s="1">
        <f>[1]节奏总纲!X102</f>
        <v>56.161316619446666</v>
      </c>
      <c r="Y102" s="1">
        <f>[1]节奏总纲!Y102</f>
        <v>45.667737118974969</v>
      </c>
      <c r="Z102" s="1">
        <f>[1]节奏总纲!Z102</f>
        <v>33.472236245112185</v>
      </c>
      <c r="AA102" s="1">
        <f>[1]节奏总纲!AA102</f>
        <v>16.823521670924634</v>
      </c>
      <c r="AC102" s="1">
        <f>[1]节奏总纲!AC102</f>
        <v>99</v>
      </c>
      <c r="AD102" s="1">
        <f>[1]节奏总纲!AD102</f>
        <v>66.430041330048923</v>
      </c>
      <c r="AE102" s="1">
        <f>[1]节奏总纲!AE102</f>
        <v>68.474323482747096</v>
      </c>
      <c r="AF102" s="1">
        <f>[1]节奏总纲!AF102</f>
        <v>71.358760052209377</v>
      </c>
      <c r="AG102" s="1">
        <f>[1]节奏总纲!AG102</f>
        <v>75.847892667718796</v>
      </c>
      <c r="AH102" s="1">
        <f>[1]节奏总纲!AH102</f>
        <v>84.48660325846518</v>
      </c>
      <c r="AZ102" s="1">
        <f>[1]节奏总纲!AZ102</f>
        <v>99</v>
      </c>
      <c r="BA102" s="1">
        <f>[1]节奏总纲!BA102</f>
        <v>37.970883629607592</v>
      </c>
      <c r="BB102" s="1">
        <f>[1]节奏总纲!BB102</f>
        <v>39.452918844531645</v>
      </c>
      <c r="BC102" s="1">
        <f>[1]节奏总纲!BC102</f>
        <v>41.389172829914081</v>
      </c>
      <c r="BD102" s="1">
        <f>[1]节奏总纲!BD102</f>
        <v>44.132549776504064</v>
      </c>
      <c r="BE102" s="1">
        <f>[1]节奏总纲!BE102</f>
        <v>48.819774747187417</v>
      </c>
      <c r="BI102" s="1">
        <f>[1]节奏总纲!BI102</f>
        <v>99</v>
      </c>
      <c r="BJ102" s="1">
        <f>[1]节奏总纲!BJ102</f>
        <v>3.4999999999999978</v>
      </c>
      <c r="BK102" s="1">
        <f>[1]节奏总纲!BK102</f>
        <v>3.5699999999999976</v>
      </c>
      <c r="BL102" s="1">
        <f>[1]节奏总纲!BL102</f>
        <v>3.7099999999999977</v>
      </c>
      <c r="BM102" s="1">
        <f>[1]节奏总纲!BM102</f>
        <v>3.9899999999999971</v>
      </c>
      <c r="BN102" s="1">
        <f>[1]节奏总纲!BN102</f>
        <v>4.8999999999999968</v>
      </c>
      <c r="BW102" s="1">
        <f>[1]节奏总纲!BW102</f>
        <v>99</v>
      </c>
      <c r="BX102" s="1">
        <f>[1]节奏总纲!BX102</f>
        <v>53.27075451697057</v>
      </c>
      <c r="BY102" s="1">
        <f>[1]节奏总纲!BY102</f>
        <v>53.72715308914038</v>
      </c>
      <c r="BZ102" s="1">
        <f>[1]节奏总纲!BZ102</f>
        <v>54.223397539416098</v>
      </c>
      <c r="CA102" s="1">
        <f>[1]节奏总纲!CA102</f>
        <v>54.763650287732681</v>
      </c>
      <c r="CB102" s="1">
        <f>[1]节奏总纲!CB102</f>
        <v>55.30747709307812</v>
      </c>
      <c r="CC102" s="1">
        <f>[1]节奏总纲!CC102</f>
        <v>55.30747709307812</v>
      </c>
    </row>
    <row r="103" spans="6:81" x14ac:dyDescent="0.15">
      <c r="F103" s="1">
        <f>[1]节奏总纲!F103</f>
        <v>101</v>
      </c>
      <c r="G103" s="1">
        <f>[1]节奏总纲!G103</f>
        <v>1096.4960256371633</v>
      </c>
      <c r="N103" s="1">
        <f>[1]节奏总纲!N103</f>
        <v>110</v>
      </c>
      <c r="O103" s="1">
        <f>[1]节奏总纲!O103</f>
        <v>100</v>
      </c>
      <c r="P103" s="1">
        <f>[1]节奏总纲!P103</f>
        <v>1023</v>
      </c>
      <c r="Q103" s="1">
        <f>[1]节奏总纲!Q103</f>
        <v>875.38110000000006</v>
      </c>
      <c r="R103" s="1">
        <f>[1]节奏总纲!R103</f>
        <v>706.6884</v>
      </c>
      <c r="S103" s="1">
        <f>[1]节奏总纲!S103</f>
        <v>508.22640000000001</v>
      </c>
      <c r="T103" s="1">
        <f>[1]节奏总纲!T103</f>
        <v>274.77780000000001</v>
      </c>
      <c r="V103" s="1">
        <f>[1]节奏总纲!V103</f>
        <v>100</v>
      </c>
      <c r="W103" s="1">
        <f>[1]节奏总纲!W103</f>
        <v>68.574216666309212</v>
      </c>
      <c r="X103" s="1">
        <f>[1]节奏总纲!X103</f>
        <v>58.86984235802754</v>
      </c>
      <c r="Y103" s="1">
        <f>[1]节奏总纲!Y103</f>
        <v>48.039166921419906</v>
      </c>
      <c r="Z103" s="1">
        <f>[1]节奏总纲!Z103</f>
        <v>32.826917321488622</v>
      </c>
      <c r="AA103" s="1">
        <f>[1]节奏总纲!AA103</f>
        <v>17.178281078236921</v>
      </c>
      <c r="AC103" s="1">
        <f>[1]节奏总纲!AC103</f>
        <v>100</v>
      </c>
      <c r="AD103" s="1">
        <f>[1]节奏总纲!AD103</f>
        <v>66.573669005078543</v>
      </c>
      <c r="AE103" s="1">
        <f>[1]节奏总纲!AE103</f>
        <v>68.624026186650241</v>
      </c>
      <c r="AF103" s="1">
        <f>[1]节奏总纲!AF103</f>
        <v>71.507242553125565</v>
      </c>
      <c r="AG103" s="1">
        <f>[1]节奏总纲!AG103</f>
        <v>75.994435089338239</v>
      </c>
      <c r="AH103" s="1">
        <f>[1]节奏总纲!AH103</f>
        <v>84.63183642223153</v>
      </c>
      <c r="AZ103" s="1">
        <f>[1]节奏总纲!AZ103</f>
        <v>100</v>
      </c>
      <c r="BA103" s="1">
        <f>[1]节奏总纲!BA103</f>
        <v>38.037513426486328</v>
      </c>
      <c r="BB103" s="1">
        <f>[1]节奏总纲!BB103</f>
        <v>39.520459727922798</v>
      </c>
      <c r="BC103" s="1">
        <f>[1]节奏总纲!BC103</f>
        <v>41.456216521733651</v>
      </c>
      <c r="BD103" s="1">
        <f>[1]节奏总纲!BD103</f>
        <v>44.197188392263818</v>
      </c>
      <c r="BE103" s="1">
        <f>[1]节奏总纲!BE103</f>
        <v>48.891560746825888</v>
      </c>
      <c r="BI103" s="1">
        <f>[1]节奏总纲!BI103</f>
        <v>100</v>
      </c>
      <c r="BJ103" s="1">
        <f>[1]节奏总纲!BJ103</f>
        <v>3.4999999999999978</v>
      </c>
      <c r="BK103" s="1">
        <f>[1]节奏总纲!BK103</f>
        <v>3.5699999999999976</v>
      </c>
      <c r="BL103" s="1">
        <f>[1]节奏总纲!BL103</f>
        <v>3.7099999999999977</v>
      </c>
      <c r="BM103" s="1">
        <f>[1]节奏总纲!BM103</f>
        <v>3.9899999999999971</v>
      </c>
      <c r="BN103" s="1">
        <f>[1]节奏总纲!BN103</f>
        <v>4.8999999999999968</v>
      </c>
      <c r="BW103" s="1">
        <f>[1]节奏总纲!BW103</f>
        <v>100</v>
      </c>
      <c r="BX103" s="1">
        <f>[1]节奏总纲!BX103</f>
        <v>53.743426622219623</v>
      </c>
      <c r="BY103" s="1">
        <f>[1]节奏总纲!BY103</f>
        <v>54.202428306858415</v>
      </c>
      <c r="BZ103" s="1">
        <f>[1]节奏总纲!BZ103</f>
        <v>54.700042099102475</v>
      </c>
      <c r="CA103" s="1">
        <f>[1]节奏总纲!CA103</f>
        <v>55.217844456964613</v>
      </c>
      <c r="CB103" s="1">
        <f>[1]节奏总纲!CB103</f>
        <v>55.74912762806774</v>
      </c>
      <c r="CC103" s="1">
        <f>[1]节奏总纲!CC103</f>
        <v>55.74912762806774</v>
      </c>
    </row>
    <row r="104" spans="6:81" x14ac:dyDescent="0.15">
      <c r="F104" s="1">
        <f>[1]节奏总纲!F104</f>
        <v>102</v>
      </c>
      <c r="G104" s="1">
        <f>[1]节奏总纲!G104</f>
        <v>1175.2671155169628</v>
      </c>
      <c r="N104" s="1">
        <f>[1]节奏总纲!N104</f>
        <v>111</v>
      </c>
      <c r="O104" s="1">
        <f>[1]节奏总纲!O104</f>
        <v>101</v>
      </c>
      <c r="P104" s="1">
        <f>[1]节奏总纲!P104</f>
        <v>1096.4960256371633</v>
      </c>
      <c r="Q104" s="1">
        <f>[1]节奏总纲!Q104</f>
        <v>939.14884595823037</v>
      </c>
      <c r="R104" s="1">
        <f>[1]节奏总纲!R104</f>
        <v>756.25330888195151</v>
      </c>
      <c r="S104" s="1">
        <f>[1]节奏总纲!S104</f>
        <v>541.99798547244984</v>
      </c>
      <c r="T104" s="1">
        <f>[1]节奏总纲!T104</f>
        <v>293.42233646050488</v>
      </c>
      <c r="V104" s="1">
        <f>[1]节奏总纲!V104</f>
        <v>101</v>
      </c>
      <c r="W104" s="1">
        <f>[1]节奏总纲!W104</f>
        <v>73.496025637163257</v>
      </c>
      <c r="X104" s="1">
        <f>[1]节奏总纲!X104</f>
        <v>63.767745958230307</v>
      </c>
      <c r="Y104" s="1">
        <f>[1]节奏总纲!Y104</f>
        <v>49.56490888195151</v>
      </c>
      <c r="Z104" s="1">
        <f>[1]节奏总纲!Z104</f>
        <v>33.771585472449829</v>
      </c>
      <c r="AA104" s="1">
        <f>[1]节奏总纲!AA104</f>
        <v>18.644536460504867</v>
      </c>
      <c r="AC104" s="1">
        <f>[1]节奏总纲!AC104</f>
        <v>101</v>
      </c>
      <c r="AD104" s="1">
        <f>[1]节奏总纲!AD104</f>
        <v>66.717296680108163</v>
      </c>
      <c r="AE104" s="1">
        <f>[1]节奏总纲!AE104</f>
        <v>68.773728890553386</v>
      </c>
      <c r="AF104" s="1">
        <f>[1]节奏总纲!AF104</f>
        <v>71.655725054041767</v>
      </c>
      <c r="AG104" s="1">
        <f>[1]节奏总纲!AG104</f>
        <v>76.130305911210229</v>
      </c>
      <c r="AH104" s="1">
        <f>[1]节奏总纲!AH104</f>
        <v>84.777069585997879</v>
      </c>
      <c r="AZ104" s="1">
        <f>[1]节奏总纲!AZ104</f>
        <v>101</v>
      </c>
      <c r="BA104" s="1">
        <f>[1]节奏总纲!BA104</f>
        <v>38.100143952724252</v>
      </c>
      <c r="BB104" s="1">
        <f>[1]节奏总纲!BB104</f>
        <v>39.588000611313952</v>
      </c>
      <c r="BC104" s="1">
        <f>[1]节奏总纲!BC104</f>
        <v>41.523260213553229</v>
      </c>
      <c r="BD104" s="1">
        <f>[1]节奏总纲!BD104</f>
        <v>44.261827008023573</v>
      </c>
      <c r="BE104" s="1">
        <f>[1]节奏总纲!BE104</f>
        <v>48.96334674646436</v>
      </c>
      <c r="BI104" s="1">
        <f>[1]节奏总纲!BI104</f>
        <v>101</v>
      </c>
      <c r="BJ104" s="1">
        <f>[1]节奏总纲!BJ104</f>
        <v>3.4999999999999978</v>
      </c>
      <c r="BK104" s="1">
        <f>[1]节奏总纲!BK104</f>
        <v>3.5699999999999976</v>
      </c>
      <c r="BL104" s="1">
        <f>[1]节奏总纲!BL104</f>
        <v>3.7099999999999977</v>
      </c>
      <c r="BM104" s="1">
        <f>[1]节奏总纲!BM104</f>
        <v>3.9899999999999971</v>
      </c>
      <c r="BN104" s="1">
        <f>[1]节奏总纲!BN104</f>
        <v>4.8999999999999968</v>
      </c>
      <c r="BW104" s="1">
        <f>[1]节奏总纲!BW104</f>
        <v>101</v>
      </c>
      <c r="BX104" s="1">
        <f>[1]节奏总纲!BX104</f>
        <v>54.215939989486415</v>
      </c>
      <c r="BY104" s="1">
        <f>[1]节奏总纲!BY104</f>
        <v>54.676955934140729</v>
      </c>
      <c r="BZ104" s="1">
        <f>[1]节奏总纲!BZ104</f>
        <v>55.165685304832408</v>
      </c>
      <c r="CA104" s="1">
        <f>[1]节奏总纲!CA104</f>
        <v>55.651975168978964</v>
      </c>
      <c r="CB104" s="1">
        <f>[1]节奏总纲!CB104</f>
        <v>56.197353484420169</v>
      </c>
      <c r="CC104" s="1">
        <f>[1]节奏总纲!CC104</f>
        <v>56.197353484420169</v>
      </c>
    </row>
    <row r="105" spans="6:81" x14ac:dyDescent="0.15">
      <c r="F105" s="1">
        <f>[1]节奏总纲!F105</f>
        <v>103</v>
      </c>
      <c r="G105" s="1">
        <f>[1]节奏总纲!G105</f>
        <v>1259.6918792651943</v>
      </c>
      <c r="N105" s="1">
        <f>[1]节奏总纲!N105</f>
        <v>112</v>
      </c>
      <c r="O105" s="1">
        <f>[1]节奏总纲!O105</f>
        <v>102</v>
      </c>
      <c r="P105" s="1">
        <f>[1]节奏总纲!P105</f>
        <v>1175.2671155169628</v>
      </c>
      <c r="Q105" s="1">
        <f>[1]节奏总纲!Q105</f>
        <v>1004.2657502092447</v>
      </c>
      <c r="R105" s="1">
        <f>[1]节奏总纲!R105</f>
        <v>806.23324124463659</v>
      </c>
      <c r="S105" s="1">
        <f>[1]节奏总纲!S105</f>
        <v>577.99636741124232</v>
      </c>
      <c r="T105" s="1">
        <f>[1]节奏总纲!T105</f>
        <v>313.56126641992563</v>
      </c>
      <c r="V105" s="1">
        <f>[1]节奏总纲!V105</f>
        <v>102</v>
      </c>
      <c r="W105" s="1">
        <f>[1]节奏总纲!W105</f>
        <v>78.771089879799547</v>
      </c>
      <c r="X105" s="1">
        <f>[1]节奏总纲!X105</f>
        <v>65.116904251014375</v>
      </c>
      <c r="Y105" s="1">
        <f>[1]节奏总纲!Y105</f>
        <v>49.979932362685076</v>
      </c>
      <c r="Z105" s="1">
        <f>[1]节奏总纲!Z105</f>
        <v>35.998381938792477</v>
      </c>
      <c r="AA105" s="1">
        <f>[1]节奏总纲!AA105</f>
        <v>20.13892995942075</v>
      </c>
      <c r="AC105" s="1">
        <f>[1]节奏总纲!AC105</f>
        <v>102</v>
      </c>
      <c r="AD105" s="1">
        <f>[1]节奏总纲!AD105</f>
        <v>66.860924355137783</v>
      </c>
      <c r="AE105" s="1">
        <f>[1]节奏总纲!AE105</f>
        <v>68.923431594456531</v>
      </c>
      <c r="AF105" s="1">
        <f>[1]节奏总纲!AF105</f>
        <v>71.804207554957955</v>
      </c>
      <c r="AG105" s="1">
        <f>[1]节奏总纲!AG105</f>
        <v>76.265755485049056</v>
      </c>
      <c r="AH105" s="1">
        <f>[1]节奏总纲!AH105</f>
        <v>84.922302749764228</v>
      </c>
      <c r="AZ105" s="1">
        <f>[1]节奏总纲!AZ105</f>
        <v>102</v>
      </c>
      <c r="BA105" s="1">
        <f>[1]节奏总纲!BA105</f>
        <v>38.16277447896217</v>
      </c>
      <c r="BB105" s="1">
        <f>[1]节奏总纲!BB105</f>
        <v>39.655541494705105</v>
      </c>
      <c r="BC105" s="1">
        <f>[1]节奏总纲!BC105</f>
        <v>41.590303905372799</v>
      </c>
      <c r="BD105" s="1">
        <f>[1]节奏总纲!BD105</f>
        <v>44.326465623783335</v>
      </c>
      <c r="BE105" s="1">
        <f>[1]节奏总纲!BE105</f>
        <v>49.030333272797542</v>
      </c>
      <c r="BI105" s="1">
        <f>[1]节奏总纲!BI105</f>
        <v>102</v>
      </c>
      <c r="BJ105" s="1">
        <f>[1]节奏总纲!BJ105</f>
        <v>3.4999999999999978</v>
      </c>
      <c r="BK105" s="1">
        <f>[1]节奏总纲!BK105</f>
        <v>3.5699999999999976</v>
      </c>
      <c r="BL105" s="1">
        <f>[1]节奏总纲!BL105</f>
        <v>3.7099999999999977</v>
      </c>
      <c r="BM105" s="1">
        <f>[1]节奏总纲!BM105</f>
        <v>3.9899999999999971</v>
      </c>
      <c r="BN105" s="1">
        <f>[1]节奏总纲!BN105</f>
        <v>4.8999999999999968</v>
      </c>
      <c r="BW105" s="1">
        <f>[1]节奏总纲!BW105</f>
        <v>102</v>
      </c>
      <c r="BX105" s="1">
        <f>[1]节奏总纲!BX105</f>
        <v>54.684879988131968</v>
      </c>
      <c r="BY105" s="1">
        <f>[1]节奏总纲!BY105</f>
        <v>55.13951273920545</v>
      </c>
      <c r="BZ105" s="1">
        <f>[1]节奏总纲!BZ105</f>
        <v>55.594010346323124</v>
      </c>
      <c r="CA105" s="1">
        <f>[1]节奏总纲!CA105</f>
        <v>56.09910300880712</v>
      </c>
      <c r="CB105" s="1">
        <f>[1]节奏总纲!CB105</f>
        <v>56.644593793802954</v>
      </c>
      <c r="CC105" s="1">
        <f>[1]节奏总纲!CC105</f>
        <v>56.644593793802954</v>
      </c>
    </row>
    <row r="106" spans="6:81" x14ac:dyDescent="0.15">
      <c r="F106" s="1">
        <f>[1]节奏总纲!F106</f>
        <v>104</v>
      </c>
      <c r="G106" s="1">
        <f>[1]节奏总纲!G106</f>
        <v>1350.1761006314437</v>
      </c>
      <c r="N106" s="1">
        <f>[1]节奏总纲!N106</f>
        <v>113</v>
      </c>
      <c r="O106" s="1">
        <f>[1]节奏总纲!O106</f>
        <v>103</v>
      </c>
      <c r="P106" s="1">
        <f>[1]节奏总纲!P106</f>
        <v>1259.6918792651943</v>
      </c>
      <c r="Q106" s="1">
        <f>[1]节奏总纲!Q106</f>
        <v>1073.383450321872</v>
      </c>
      <c r="R106" s="1">
        <f>[1]节奏总纲!R106</f>
        <v>861.50327622946634</v>
      </c>
      <c r="S106" s="1">
        <f>[1]节奏总纲!S106</f>
        <v>619.01258947091651</v>
      </c>
      <c r="T106" s="1">
        <f>[1]节奏总纲!T106</f>
        <v>335.8338550121008</v>
      </c>
      <c r="V106" s="1">
        <f>[1]节奏总纲!V106</f>
        <v>103</v>
      </c>
      <c r="W106" s="1">
        <f>[1]节奏总纲!W106</f>
        <v>84.424763748231499</v>
      </c>
      <c r="X106" s="1">
        <f>[1]节奏总纲!X106</f>
        <v>69.11770011262729</v>
      </c>
      <c r="Y106" s="1">
        <f>[1]节奏总纲!Y106</f>
        <v>55.270034984829749</v>
      </c>
      <c r="Z106" s="1">
        <f>[1]节奏总纲!Z106</f>
        <v>41.016222059674192</v>
      </c>
      <c r="AA106" s="1">
        <f>[1]节奏总纲!AA106</f>
        <v>22.272588592175168</v>
      </c>
      <c r="AC106" s="1">
        <f>[1]节奏总纲!AC106</f>
        <v>103</v>
      </c>
      <c r="AD106" s="1">
        <f>[1]节奏总纲!AD106</f>
        <v>67.004247194324648</v>
      </c>
      <c r="AE106" s="1">
        <f>[1]节奏总纲!AE106</f>
        <v>69.0655056802525</v>
      </c>
      <c r="AF106" s="1">
        <f>[1]节奏总纲!AF106</f>
        <v>71.952690055874157</v>
      </c>
      <c r="AG106" s="1">
        <f>[1]节奏总纲!AG106</f>
        <v>76.401205058887882</v>
      </c>
      <c r="AH106" s="1">
        <f>[1]节奏总纲!AH106</f>
        <v>85.072521641060263</v>
      </c>
      <c r="AZ106" s="1">
        <f>[1]节奏总纲!AZ106</f>
        <v>103</v>
      </c>
      <c r="BA106" s="1">
        <f>[1]节奏总纲!BA106</f>
        <v>38.225405005200088</v>
      </c>
      <c r="BB106" s="1">
        <f>[1]节奏总纲!BB106</f>
        <v>39.723082378096265</v>
      </c>
      <c r="BC106" s="1">
        <f>[1]节奏总纲!BC106</f>
        <v>41.657347597192377</v>
      </c>
      <c r="BD106" s="1">
        <f>[1]节奏总纲!BD106</f>
        <v>44.39110423954309</v>
      </c>
      <c r="BE106" s="1">
        <f>[1]节奏总纲!BE106</f>
        <v>49.09231260978715</v>
      </c>
      <c r="BI106" s="1">
        <f>[1]节奏总纲!BI106</f>
        <v>103</v>
      </c>
      <c r="BJ106" s="1">
        <f>[1]节奏总纲!BJ106</f>
        <v>3.4999999999999978</v>
      </c>
      <c r="BK106" s="1">
        <f>[1]节奏总纲!BK106</f>
        <v>3.5699999999999976</v>
      </c>
      <c r="BL106" s="1">
        <f>[1]节奏总纲!BL106</f>
        <v>3.7099999999999977</v>
      </c>
      <c r="BM106" s="1">
        <f>[1]节奏总纲!BM106</f>
        <v>3.9899999999999971</v>
      </c>
      <c r="BN106" s="1">
        <f>[1]节奏总纲!BN106</f>
        <v>4.8999999999999968</v>
      </c>
      <c r="BW106" s="1">
        <f>[1]节奏总纲!BW106</f>
        <v>103</v>
      </c>
      <c r="BX106" s="1">
        <f>[1]节奏总纲!BX106</f>
        <v>55.161930117011792</v>
      </c>
      <c r="BY106" s="1">
        <f>[1]节奏总纲!BY106</f>
        <v>55.583763667062648</v>
      </c>
      <c r="BZ106" s="1">
        <f>[1]节奏总纲!BZ106</f>
        <v>56.058453389976094</v>
      </c>
      <c r="CA106" s="1">
        <f>[1]节奏总纲!CA106</f>
        <v>56.554541998878705</v>
      </c>
      <c r="CB106" s="1">
        <f>[1]节奏总纲!CB106</f>
        <v>57.120261567759663</v>
      </c>
      <c r="CC106" s="1">
        <f>[1]节奏总纲!CC106</f>
        <v>57.120261567759663</v>
      </c>
    </row>
    <row r="107" spans="6:81" x14ac:dyDescent="0.15">
      <c r="F107" s="1">
        <f>[1]节奏总纲!F107</f>
        <v>105</v>
      </c>
      <c r="G107" s="1">
        <f>[1]节奏总纲!G107</f>
        <v>1447.1546878700494</v>
      </c>
      <c r="N107" s="1">
        <f>[1]节奏总纲!N107</f>
        <v>114</v>
      </c>
      <c r="O107" s="1">
        <f>[1]节奏总纲!O107</f>
        <v>104</v>
      </c>
      <c r="P107" s="1">
        <f>[1]节奏总纲!P107</f>
        <v>1350.1761006314437</v>
      </c>
      <c r="Q107" s="1">
        <f>[1]节奏总纲!Q107</f>
        <v>1150.7550905681794</v>
      </c>
      <c r="R107" s="1">
        <f>[1]节奏总纲!R107</f>
        <v>925.41069937279144</v>
      </c>
      <c r="S107" s="1">
        <f>[1]节奏总纲!S107</f>
        <v>665.09674717104917</v>
      </c>
      <c r="T107" s="1">
        <f>[1]节奏总纲!T107</f>
        <v>360.49701886859549</v>
      </c>
      <c r="V107" s="1">
        <f>[1]节奏总纲!V107</f>
        <v>104</v>
      </c>
      <c r="W107" s="1">
        <f>[1]节奏总纲!W107</f>
        <v>90.484221366249358</v>
      </c>
      <c r="X107" s="1">
        <f>[1]节奏总纲!X107</f>
        <v>77.371640246307379</v>
      </c>
      <c r="Y107" s="1">
        <f>[1]节奏总纲!Y107</f>
        <v>63.907423143325104</v>
      </c>
      <c r="Z107" s="1">
        <f>[1]节奏总纲!Z107</f>
        <v>46.084157700132664</v>
      </c>
      <c r="AA107" s="1">
        <f>[1]节奏总纲!AA107</f>
        <v>24.663163856494691</v>
      </c>
      <c r="AC107" s="1">
        <f>[1]节奏总纲!AC107</f>
        <v>104</v>
      </c>
      <c r="AD107" s="1">
        <f>[1]节奏总纲!AD107</f>
        <v>67.138256553625013</v>
      </c>
      <c r="AE107" s="1">
        <f>[1]节奏总纲!AE107</f>
        <v>69.199592937186125</v>
      </c>
      <c r="AF107" s="1">
        <f>[1]节奏总纲!AF107</f>
        <v>72.093818006439079</v>
      </c>
      <c r="AG107" s="1">
        <f>[1]节奏总纲!AG107</f>
        <v>76.536654632726695</v>
      </c>
      <c r="AH107" s="1">
        <f>[1]节奏总纲!AH107</f>
        <v>85.228476403824274</v>
      </c>
      <c r="AZ107" s="1">
        <f>[1]节奏总纲!AZ107</f>
        <v>104</v>
      </c>
      <c r="BA107" s="1">
        <f>[1]节奏总纲!BA107</f>
        <v>38.288035531438013</v>
      </c>
      <c r="BB107" s="1">
        <f>[1]节奏总纲!BB107</f>
        <v>39.790623261487418</v>
      </c>
      <c r="BC107" s="1">
        <f>[1]节奏总纲!BC107</f>
        <v>41.724391289011947</v>
      </c>
      <c r="BD107" s="1">
        <f>[1]节奏总纲!BD107</f>
        <v>44.455742855302844</v>
      </c>
      <c r="BE107" s="1">
        <f>[1]节奏总纲!BE107</f>
        <v>49.154291946776759</v>
      </c>
      <c r="BI107" s="1">
        <f>[1]节奏总纲!BI107</f>
        <v>104</v>
      </c>
      <c r="BJ107" s="1">
        <f>[1]节奏总纲!BJ107</f>
        <v>3.4999999999999978</v>
      </c>
      <c r="BK107" s="1">
        <f>[1]节奏总纲!BK107</f>
        <v>3.5699999999999976</v>
      </c>
      <c r="BL107" s="1">
        <f>[1]节奏总纲!BL107</f>
        <v>3.7099999999999977</v>
      </c>
      <c r="BM107" s="1">
        <f>[1]节奏总纲!BM107</f>
        <v>3.9899999999999971</v>
      </c>
      <c r="BN107" s="1">
        <f>[1]节奏总纲!BN107</f>
        <v>4.8999999999999968</v>
      </c>
      <c r="BW107" s="1">
        <f>[1]节奏总纲!BW107</f>
        <v>104</v>
      </c>
      <c r="BX107" s="1">
        <f>[1]节奏总纲!BX107</f>
        <v>55.627196747503149</v>
      </c>
      <c r="BY107" s="1">
        <f>[1]节奏总纲!BY107</f>
        <v>56.070023936067749</v>
      </c>
      <c r="BZ107" s="1">
        <f>[1]节奏总纲!BZ107</f>
        <v>56.53153340227184</v>
      </c>
      <c r="CA107" s="1">
        <f>[1]节奏总纲!CA107</f>
        <v>57.057233285169012</v>
      </c>
      <c r="CB107" s="1">
        <f>[1]节奏总纲!CB107</f>
        <v>57.593396752318156</v>
      </c>
      <c r="CC107" s="1">
        <f>[1]节奏总纲!CC107</f>
        <v>57.593396752318156</v>
      </c>
    </row>
    <row r="108" spans="6:81" x14ac:dyDescent="0.15">
      <c r="F108" s="1">
        <f>[1]节奏总纲!F108</f>
        <v>106</v>
      </c>
      <c r="G108" s="1">
        <f>[1]节奏总纲!G108</f>
        <v>1551.0937641066464</v>
      </c>
      <c r="N108" s="1">
        <f>[1]节奏总纲!N108</f>
        <v>115</v>
      </c>
      <c r="O108" s="1">
        <f>[1]节奏总纲!O108</f>
        <v>105</v>
      </c>
      <c r="P108" s="1">
        <f>[1]节奏总纲!P108</f>
        <v>1447.1546878700494</v>
      </c>
      <c r="Q108" s="1">
        <f>[1]节奏总纲!Q108</f>
        <v>1234.8570951595132</v>
      </c>
      <c r="R108" s="1">
        <f>[1]节奏总纲!R108</f>
        <v>993.18226228521496</v>
      </c>
      <c r="S108" s="1">
        <f>[1]节奏总纲!S108</f>
        <v>713.59197658872131</v>
      </c>
      <c r="T108" s="1">
        <f>[1]节奏总纲!T108</f>
        <v>386.39030166130323</v>
      </c>
      <c r="V108" s="1">
        <f>[1]节奏总纲!V108</f>
        <v>105</v>
      </c>
      <c r="W108" s="1">
        <f>[1]节奏总纲!W108</f>
        <v>96.978587238605769</v>
      </c>
      <c r="X108" s="1">
        <f>[1]节奏总纲!X108</f>
        <v>84.102004591333753</v>
      </c>
      <c r="Y108" s="1">
        <f>[1]节奏总纲!Y108</f>
        <v>67.771562912423519</v>
      </c>
      <c r="Z108" s="1">
        <f>[1]节奏总纲!Z108</f>
        <v>48.495229417672135</v>
      </c>
      <c r="AA108" s="1">
        <f>[1]节奏总纲!AA108</f>
        <v>25.893282792707737</v>
      </c>
      <c r="AC108" s="1">
        <f>[1]节奏总纲!AC108</f>
        <v>105</v>
      </c>
      <c r="AD108" s="1">
        <f>[1]节奏总纲!AD108</f>
        <v>67.272265912925377</v>
      </c>
      <c r="AE108" s="1">
        <f>[1]节奏总纲!AE108</f>
        <v>69.333680194119751</v>
      </c>
      <c r="AF108" s="1">
        <f>[1]节奏总纲!AF108</f>
        <v>72.23150684883845</v>
      </c>
      <c r="AG108" s="1">
        <f>[1]节奏总纲!AG108</f>
        <v>76.672104206565521</v>
      </c>
      <c r="AH108" s="1">
        <f>[1]节奏总纲!AH108</f>
        <v>85.384431166588271</v>
      </c>
      <c r="AZ108" s="1">
        <f>[1]节奏总纲!AZ108</f>
        <v>105</v>
      </c>
      <c r="BA108" s="1">
        <f>[1]节奏总纲!BA108</f>
        <v>38.35066605767593</v>
      </c>
      <c r="BB108" s="1">
        <f>[1]节奏总纲!BB108</f>
        <v>39.858164144878572</v>
      </c>
      <c r="BC108" s="1">
        <f>[1]节奏总纲!BC108</f>
        <v>41.791434980831518</v>
      </c>
      <c r="BD108" s="1">
        <f>[1]节奏总纲!BD108</f>
        <v>44.520381471062606</v>
      </c>
      <c r="BE108" s="1">
        <f>[1]节奏总纲!BE108</f>
        <v>49.216271283766375</v>
      </c>
      <c r="BI108" s="1">
        <f>[1]节奏总纲!BI108</f>
        <v>105</v>
      </c>
      <c r="BJ108" s="1">
        <f>[1]节奏总纲!BJ108</f>
        <v>3.4999999999999978</v>
      </c>
      <c r="BK108" s="1">
        <f>[1]节奏总纲!BK108</f>
        <v>3.5699999999999976</v>
      </c>
      <c r="BL108" s="1">
        <f>[1]节奏总纲!BL108</f>
        <v>3.7099999999999977</v>
      </c>
      <c r="BM108" s="1">
        <f>[1]节奏总纲!BM108</f>
        <v>3.9899999999999971</v>
      </c>
      <c r="BN108" s="1">
        <f>[1]节奏总纲!BN108</f>
        <v>4.8999999999999968</v>
      </c>
      <c r="BW108" s="1">
        <f>[1]节奏总纲!BW108</f>
        <v>105</v>
      </c>
      <c r="BX108" s="1">
        <f>[1]节奏总纲!BX108</f>
        <v>56.108713498260869</v>
      </c>
      <c r="BY108" s="1">
        <f>[1]节奏总纲!BY108</f>
        <v>56.536952996213088</v>
      </c>
      <c r="BZ108" s="1">
        <f>[1]节奏总纲!BZ108</f>
        <v>57.028694970852825</v>
      </c>
      <c r="CA108" s="1">
        <f>[1]节奏总纲!CA108</f>
        <v>57.522396624597881</v>
      </c>
      <c r="CB108" s="1">
        <f>[1]节奏总纲!CB108</f>
        <v>58.077862645108048</v>
      </c>
      <c r="CC108" s="1">
        <f>[1]节奏总纲!CC108</f>
        <v>58.077862645108048</v>
      </c>
    </row>
    <row r="109" spans="6:81" x14ac:dyDescent="0.15">
      <c r="F109" s="1">
        <f>[1]节奏总纲!F109</f>
        <v>107</v>
      </c>
      <c r="G109" s="1">
        <f>[1]节奏总纲!G109</f>
        <v>1662.4929077375689</v>
      </c>
      <c r="N109" s="1">
        <f>[1]节奏总纲!N109</f>
        <v>116</v>
      </c>
      <c r="O109" s="1">
        <f>[1]节奏总纲!O109</f>
        <v>106</v>
      </c>
      <c r="P109" s="1">
        <f>[1]节奏总纲!P109</f>
        <v>1551.0937641066464</v>
      </c>
      <c r="Q109" s="1">
        <f>[1]节奏总纲!Q109</f>
        <v>1324.4789651706653</v>
      </c>
      <c r="R109" s="1">
        <f>[1]节奏总纲!R109</f>
        <v>1064.6707596828021</v>
      </c>
      <c r="S109" s="1">
        <f>[1]节奏总纲!S109</f>
        <v>764.3790069517554</v>
      </c>
      <c r="T109" s="1">
        <f>[1]节奏总纲!T109</f>
        <v>412.59094125236794</v>
      </c>
      <c r="V109" s="1">
        <f>[1]节奏总纲!V109</f>
        <v>106</v>
      </c>
      <c r="W109" s="1">
        <f>[1]节奏总纲!W109</f>
        <v>103.93907623659697</v>
      </c>
      <c r="X109" s="1">
        <f>[1]节奏总纲!X109</f>
        <v>89.621870011152168</v>
      </c>
      <c r="Y109" s="1">
        <f>[1]节奏总纲!Y109</f>
        <v>71.488497397587139</v>
      </c>
      <c r="Z109" s="1">
        <f>[1]节奏总纲!Z109</f>
        <v>50.787030363034091</v>
      </c>
      <c r="AA109" s="1">
        <f>[1]节奏总纲!AA109</f>
        <v>26.200639591064714</v>
      </c>
      <c r="AC109" s="1">
        <f>[1]节奏总纲!AC109</f>
        <v>106</v>
      </c>
      <c r="AD109" s="1">
        <f>[1]节奏总纲!AD109</f>
        <v>67.406275272225741</v>
      </c>
      <c r="AE109" s="1">
        <f>[1]节奏总纲!AE109</f>
        <v>69.467767451053362</v>
      </c>
      <c r="AF109" s="1">
        <f>[1]节奏总纲!AF109</f>
        <v>72.369195691237806</v>
      </c>
      <c r="AG109" s="1">
        <f>[1]节奏总纲!AG109</f>
        <v>76.807553780404334</v>
      </c>
      <c r="AH109" s="1">
        <f>[1]节奏总纲!AH109</f>
        <v>85.540385929352269</v>
      </c>
      <c r="AZ109" s="1">
        <f>[1]节奏总纲!AZ109</f>
        <v>106</v>
      </c>
      <c r="BA109" s="1">
        <f>[1]节奏总纲!BA109</f>
        <v>38.413296583913848</v>
      </c>
      <c r="BB109" s="1">
        <f>[1]节奏总纲!BB109</f>
        <v>39.925705028269732</v>
      </c>
      <c r="BC109" s="1">
        <f>[1]节奏总纲!BC109</f>
        <v>41.858478672651096</v>
      </c>
      <c r="BD109" s="1">
        <f>[1]节奏总纲!BD109</f>
        <v>44.585020086822361</v>
      </c>
      <c r="BE109" s="1">
        <f>[1]节奏总纲!BE109</f>
        <v>49.278250620755983</v>
      </c>
      <c r="BI109" s="1">
        <f>[1]节奏总纲!BI109</f>
        <v>106</v>
      </c>
      <c r="BJ109" s="1">
        <f>[1]节奏总纲!BJ109</f>
        <v>3.4999999999999978</v>
      </c>
      <c r="BK109" s="1">
        <f>[1]节奏总纲!BK109</f>
        <v>3.5699999999999976</v>
      </c>
      <c r="BL109" s="1">
        <f>[1]节奏总纲!BL109</f>
        <v>3.7099999999999977</v>
      </c>
      <c r="BM109" s="1">
        <f>[1]节奏总纲!BM109</f>
        <v>3.9899999999999971</v>
      </c>
      <c r="BN109" s="1">
        <f>[1]节奏总纲!BN109</f>
        <v>4.8999999999999968</v>
      </c>
      <c r="BW109" s="1">
        <f>[1]节奏总纲!BW109</f>
        <v>106</v>
      </c>
      <c r="BX109" s="1">
        <f>[1]节奏总纲!BX109</f>
        <v>56.570364089495698</v>
      </c>
      <c r="BY109" s="1">
        <f>[1]节奏总纲!BY109</f>
        <v>57.029826574193862</v>
      </c>
      <c r="BZ109" s="1">
        <f>[1]节奏总纲!BZ109</f>
        <v>57.485837231091942</v>
      </c>
      <c r="CA109" s="1">
        <f>[1]节奏总纲!CA109</f>
        <v>58.008243903139835</v>
      </c>
      <c r="CB109" s="1">
        <f>[1]节奏总纲!CB109</f>
        <v>58.512079069363097</v>
      </c>
      <c r="CC109" s="1">
        <f>[1]节奏总纲!CC109</f>
        <v>58.512079069363097</v>
      </c>
    </row>
    <row r="110" spans="6:81" x14ac:dyDescent="0.15">
      <c r="F110" s="1">
        <f>[1]节奏总纲!F110</f>
        <v>108</v>
      </c>
      <c r="G110" s="1">
        <f>[1]节奏总纲!G110</f>
        <v>1781.8875536304624</v>
      </c>
      <c r="N110" s="1">
        <f>[1]节奏总纲!N110</f>
        <v>117</v>
      </c>
      <c r="O110" s="1">
        <f>[1]节奏总纲!O110</f>
        <v>107</v>
      </c>
      <c r="P110" s="1">
        <f>[1]节奏总纲!P110</f>
        <v>1662.4929077375689</v>
      </c>
      <c r="Q110" s="1">
        <f>[1]节奏总纲!Q110</f>
        <v>1418.9376967540152</v>
      </c>
      <c r="R110" s="1">
        <f>[1]节奏总纲!R110</f>
        <v>1141.6338797433884</v>
      </c>
      <c r="S110" s="1">
        <f>[1]节奏总纲!S110</f>
        <v>816.11776840837263</v>
      </c>
      <c r="T110" s="1">
        <f>[1]节奏总纲!T110</f>
        <v>440.22812196890823</v>
      </c>
      <c r="V110" s="1">
        <f>[1]节奏总纲!V110</f>
        <v>107</v>
      </c>
      <c r="W110" s="1">
        <f>[1]节奏总纲!W110</f>
        <v>111.39914363092248</v>
      </c>
      <c r="X110" s="1">
        <f>[1]节奏总纲!X110</f>
        <v>94.458731583349845</v>
      </c>
      <c r="Y110" s="1">
        <f>[1]节奏总纲!Y110</f>
        <v>76.963120060586334</v>
      </c>
      <c r="Z110" s="1">
        <f>[1]节奏总纲!Z110</f>
        <v>51.738761456617226</v>
      </c>
      <c r="AA110" s="1">
        <f>[1]节奏总纲!AA110</f>
        <v>27.637180716540286</v>
      </c>
      <c r="AC110" s="1">
        <f>[1]节奏总纲!AC110</f>
        <v>107</v>
      </c>
      <c r="AD110" s="1">
        <f>[1]节奏总纲!AD110</f>
        <v>67.540284631526106</v>
      </c>
      <c r="AE110" s="1">
        <f>[1]节奏总纲!AE110</f>
        <v>69.601854707986988</v>
      </c>
      <c r="AF110" s="1">
        <f>[1]节奏总纲!AF110</f>
        <v>72.506884533637162</v>
      </c>
      <c r="AG110" s="1">
        <f>[1]节奏总纲!AG110</f>
        <v>76.94300335424316</v>
      </c>
      <c r="AH110" s="1">
        <f>[1]节奏总纲!AH110</f>
        <v>85.696340692116266</v>
      </c>
      <c r="AZ110" s="1">
        <f>[1]节奏总纲!AZ110</f>
        <v>107</v>
      </c>
      <c r="BA110" s="1">
        <f>[1]节奏总纲!BA110</f>
        <v>38.475927110151773</v>
      </c>
      <c r="BB110" s="1">
        <f>[1]节奏总纲!BB110</f>
        <v>39.993245911660885</v>
      </c>
      <c r="BC110" s="1">
        <f>[1]节奏总纲!BC110</f>
        <v>41.925522364470666</v>
      </c>
      <c r="BD110" s="1">
        <f>[1]节奏总纲!BD110</f>
        <v>44.649658702582116</v>
      </c>
      <c r="BE110" s="1">
        <f>[1]节奏总纲!BE110</f>
        <v>49.340229957745592</v>
      </c>
      <c r="BI110" s="1">
        <f>[1]节奏总纲!BI110</f>
        <v>107</v>
      </c>
      <c r="BJ110" s="1">
        <f>[1]节奏总纲!BJ110</f>
        <v>3.4999999999999978</v>
      </c>
      <c r="BK110" s="1">
        <f>[1]节奏总纲!BK110</f>
        <v>3.5699999999999976</v>
      </c>
      <c r="BL110" s="1">
        <f>[1]节奏总纲!BL110</f>
        <v>3.7099999999999977</v>
      </c>
      <c r="BM110" s="1">
        <f>[1]节奏总纲!BM110</f>
        <v>3.9899999999999971</v>
      </c>
      <c r="BN110" s="1">
        <f>[1]节奏总纲!BN110</f>
        <v>4.8999999999999968</v>
      </c>
      <c r="BW110" s="1">
        <f>[1]节奏总纲!BW110</f>
        <v>107</v>
      </c>
      <c r="BX110" s="1">
        <f>[1]节奏总纲!BX110</f>
        <v>57.056278080669266</v>
      </c>
      <c r="BY110" s="1">
        <f>[1]节奏总纲!BY110</f>
        <v>57.482847825450328</v>
      </c>
      <c r="BZ110" s="1">
        <f>[1]节奏总纲!BZ110</f>
        <v>57.977987660046658</v>
      </c>
      <c r="CA110" s="1">
        <f>[1]节奏总纲!CA110</f>
        <v>58.436970459928517</v>
      </c>
      <c r="CB110" s="1">
        <f>[1]节奏总纲!CB110</f>
        <v>58.970102918190015</v>
      </c>
      <c r="CC110" s="1">
        <f>[1]节奏总纲!CC110</f>
        <v>58.970102918190015</v>
      </c>
    </row>
    <row r="111" spans="6:81" x14ac:dyDescent="0.15">
      <c r="F111" s="1">
        <f>[1]节奏总纲!F111</f>
        <v>109</v>
      </c>
      <c r="G111" s="1">
        <f>[1]节奏总纲!G111</f>
        <v>1909.8515666673818</v>
      </c>
      <c r="N111" s="1">
        <f>[1]节奏总纲!N111</f>
        <v>118</v>
      </c>
      <c r="O111" s="1">
        <f>[1]节奏总纲!O111</f>
        <v>108</v>
      </c>
      <c r="P111" s="1">
        <f>[1]节奏总纲!P111</f>
        <v>1781.8875536304624</v>
      </c>
      <c r="Q111" s="1">
        <f>[1]节奏总纲!Q111</f>
        <v>1520.8410270235997</v>
      </c>
      <c r="R111" s="1">
        <f>[1]节奏总纲!R111</f>
        <v>1218.0983316617842</v>
      </c>
      <c r="S111" s="1">
        <f>[1]节奏总纲!S111</f>
        <v>871.69939123602228</v>
      </c>
      <c r="T111" s="1">
        <f>[1]节奏总纲!T111</f>
        <v>471.13106917989433</v>
      </c>
      <c r="V111" s="1">
        <f>[1]节奏总纲!V111</f>
        <v>108</v>
      </c>
      <c r="W111" s="1">
        <f>[1]节奏总纲!W111</f>
        <v>119.39464589289355</v>
      </c>
      <c r="X111" s="1">
        <f>[1]节奏总纲!X111</f>
        <v>101.90333026958456</v>
      </c>
      <c r="Y111" s="1">
        <f>[1]节奏总纲!Y111</f>
        <v>76.464451918395753</v>
      </c>
      <c r="Z111" s="1">
        <f>[1]节奏总纲!Z111</f>
        <v>55.581622827649653</v>
      </c>
      <c r="AA111" s="1">
        <f>[1]节奏总纲!AA111</f>
        <v>30.902947210986099</v>
      </c>
      <c r="AC111" s="1">
        <f>[1]节奏总纲!AC111</f>
        <v>108</v>
      </c>
      <c r="AD111" s="1">
        <f>[1]节奏总纲!AD111</f>
        <v>67.674293990826456</v>
      </c>
      <c r="AE111" s="1">
        <f>[1]节奏总纲!AE111</f>
        <v>69.735941964920613</v>
      </c>
      <c r="AF111" s="1">
        <f>[1]节奏总纲!AF111</f>
        <v>72.644573376036519</v>
      </c>
      <c r="AG111" s="1">
        <f>[1]节奏总纲!AG111</f>
        <v>77.074762810762508</v>
      </c>
      <c r="AH111" s="1">
        <f>[1]节奏总纲!AH111</f>
        <v>85.852295454880277</v>
      </c>
      <c r="AZ111" s="1">
        <f>[1]节奏总纲!AZ111</f>
        <v>108</v>
      </c>
      <c r="BA111" s="1">
        <f>[1]节奏总纲!BA111</f>
        <v>38.53855763638969</v>
      </c>
      <c r="BB111" s="1">
        <f>[1]节奏总纲!BB111</f>
        <v>40.052446592012309</v>
      </c>
      <c r="BC111" s="1">
        <f>[1]节奏总纲!BC111</f>
        <v>41.992566056290244</v>
      </c>
      <c r="BD111" s="1">
        <f>[1]节奏总纲!BD111</f>
        <v>44.71429731834187</v>
      </c>
      <c r="BE111" s="1">
        <f>[1]节奏总纲!BE111</f>
        <v>49.402209294735208</v>
      </c>
      <c r="BI111" s="1">
        <f>[1]节奏总纲!BI111</f>
        <v>108</v>
      </c>
      <c r="BJ111" s="1">
        <f>[1]节奏总纲!BJ111</f>
        <v>3.4999999999999978</v>
      </c>
      <c r="BK111" s="1">
        <f>[1]节奏总纲!BK111</f>
        <v>3.5699999999999976</v>
      </c>
      <c r="BL111" s="1">
        <f>[1]节奏总纲!BL111</f>
        <v>3.7099999999999977</v>
      </c>
      <c r="BM111" s="1">
        <f>[1]节奏总纲!BM111</f>
        <v>3.9899999999999971</v>
      </c>
      <c r="BN111" s="1">
        <f>[1]节奏总纲!BN111</f>
        <v>4.8999999999999968</v>
      </c>
      <c r="BW111" s="1">
        <f>[1]节奏总纲!BW111</f>
        <v>108</v>
      </c>
      <c r="BX111" s="1">
        <f>[1]节奏总纲!BX111</f>
        <v>57.514368600997656</v>
      </c>
      <c r="BY111" s="1">
        <f>[1]节奏总纲!BY111</f>
        <v>57.971573149325678</v>
      </c>
      <c r="BZ111" s="1">
        <f>[1]节奏总纲!BZ111</f>
        <v>58.403392312856369</v>
      </c>
      <c r="CA111" s="1">
        <f>[1]节奏总纲!CA111</f>
        <v>58.897540390571457</v>
      </c>
      <c r="CB111" s="1">
        <f>[1]节奏总纲!CB111</f>
        <v>59.41663449571719</v>
      </c>
      <c r="CC111" s="1">
        <f>[1]节奏总纲!CC111</f>
        <v>59.41663449571719</v>
      </c>
    </row>
    <row r="112" spans="6:81" x14ac:dyDescent="0.15">
      <c r="F112" s="1">
        <f>[1]节奏总纲!F112</f>
        <v>110</v>
      </c>
      <c r="G112" s="1">
        <f>[1]节奏总纲!G112</f>
        <v>2047</v>
      </c>
      <c r="N112" s="1">
        <f>[1]节奏总纲!N112</f>
        <v>119</v>
      </c>
      <c r="O112" s="1">
        <f>[1]节奏总纲!O112</f>
        <v>109</v>
      </c>
      <c r="P112" s="1">
        <f>[1]节奏总纲!P112</f>
        <v>1909.8515666673818</v>
      </c>
      <c r="Q112" s="1">
        <f>[1]节奏总纲!Q112</f>
        <v>1624.7107277639418</v>
      </c>
      <c r="R112" s="1">
        <f>[1]节奏总纲!R112</f>
        <v>1301.5638426838207</v>
      </c>
      <c r="S112" s="1">
        <f>[1]节奏总纲!S112</f>
        <v>931.81657937701561</v>
      </c>
      <c r="T112" s="1">
        <f>[1]节奏总纲!T112</f>
        <v>504.58278391352223</v>
      </c>
      <c r="V112" s="1">
        <f>[1]节奏总纲!V112</f>
        <v>109</v>
      </c>
      <c r="W112" s="1">
        <f>[1]节奏总纲!W112</f>
        <v>127.96401303691937</v>
      </c>
      <c r="X112" s="1">
        <f>[1]节奏总纲!X112</f>
        <v>103.86970074034207</v>
      </c>
      <c r="Y112" s="1">
        <f>[1]节奏总纲!Y112</f>
        <v>83.46551102203648</v>
      </c>
      <c r="Z112" s="1">
        <f>[1]节奏总纲!Z112</f>
        <v>60.117188140993335</v>
      </c>
      <c r="AA112" s="1">
        <f>[1]节奏总纲!AA112</f>
        <v>33.451714733627909</v>
      </c>
      <c r="AC112" s="1">
        <f>[1]节奏总纲!AC112</f>
        <v>109</v>
      </c>
      <c r="AD112" s="1">
        <f>[1]节奏总纲!AD112</f>
        <v>67.80830335012682</v>
      </c>
      <c r="AE112" s="1">
        <f>[1]节奏总纲!AE112</f>
        <v>69.870029221854239</v>
      </c>
      <c r="AF112" s="1">
        <f>[1]节奏总纲!AF112</f>
        <v>72.782262218435889</v>
      </c>
      <c r="AG112" s="1">
        <f>[1]节奏总纲!AG112</f>
        <v>77.203841369133116</v>
      </c>
      <c r="AH112" s="1">
        <f>[1]节奏总纲!AH112</f>
        <v>86.007776715139968</v>
      </c>
      <c r="AZ112" s="1">
        <f>[1]节奏总纲!AZ112</f>
        <v>109</v>
      </c>
      <c r="BA112" s="1">
        <f>[1]节奏总纲!BA112</f>
        <v>38.601188162627608</v>
      </c>
      <c r="BB112" s="1">
        <f>[1]节奏总纲!BB112</f>
        <v>40.110720583137102</v>
      </c>
      <c r="BC112" s="1">
        <f>[1]节奏总纲!BC112</f>
        <v>42.051439554347354</v>
      </c>
      <c r="BD112" s="1">
        <f>[1]节奏总纲!BD112</f>
        <v>44.778935934101632</v>
      </c>
      <c r="BE112" s="1">
        <f>[1]节奏总纲!BE112</f>
        <v>49.464188631724817</v>
      </c>
      <c r="BI112" s="1">
        <f>[1]节奏总纲!BI112</f>
        <v>109</v>
      </c>
      <c r="BJ112" s="1">
        <f>[1]节奏总纲!BJ112</f>
        <v>3.4999999999999978</v>
      </c>
      <c r="BK112" s="1">
        <f>[1]节奏总纲!BK112</f>
        <v>3.5699999999999976</v>
      </c>
      <c r="BL112" s="1">
        <f>[1]节奏总纲!BL112</f>
        <v>3.7099999999999977</v>
      </c>
      <c r="BM112" s="1">
        <f>[1]节奏总纲!BM112</f>
        <v>3.9899999999999971</v>
      </c>
      <c r="BN112" s="1">
        <f>[1]节奏总纲!BN112</f>
        <v>4.8999999999999968</v>
      </c>
      <c r="BW112" s="1">
        <f>[1]节奏总纲!BW112</f>
        <v>109</v>
      </c>
      <c r="BX112" s="1">
        <f>[1]节奏总纲!BX112</f>
        <v>58.004611321594084</v>
      </c>
      <c r="BY112" s="1">
        <f>[1]节奏总纲!BY112</f>
        <v>58.405793781313918</v>
      </c>
      <c r="BZ112" s="1">
        <f>[1]节奏总纲!BZ112</f>
        <v>58.86447642263726</v>
      </c>
      <c r="CA112" s="1">
        <f>[1]节奏总纲!CA112</f>
        <v>59.34185552053183</v>
      </c>
      <c r="CB112" s="1">
        <f>[1]节奏总纲!CB112</f>
        <v>59.895591141330719</v>
      </c>
      <c r="CC112" s="1">
        <f>[1]节奏总纲!CC112</f>
        <v>59.895591141330719</v>
      </c>
    </row>
    <row r="113" spans="6:81" x14ac:dyDescent="0.15">
      <c r="F113" s="1">
        <f>[1]节奏总纲!F113</f>
        <v>111</v>
      </c>
      <c r="G113" s="1">
        <f>[1]节奏总纲!G113</f>
        <v>2193.9920512743265</v>
      </c>
      <c r="N113" s="1">
        <f>[1]节奏总纲!N113</f>
        <v>120</v>
      </c>
      <c r="O113" s="1">
        <f>[1]节奏总纲!O113</f>
        <v>110</v>
      </c>
      <c r="P113" s="1">
        <f>[1]节奏总纲!P113</f>
        <v>2047</v>
      </c>
      <c r="Q113" s="1">
        <f>[1]节奏总纲!Q113</f>
        <v>1741.3829000000001</v>
      </c>
      <c r="R113" s="1">
        <f>[1]节奏总纲!R113</f>
        <v>1397.2821999999999</v>
      </c>
      <c r="S113" s="1">
        <f>[1]节奏总纲!S113</f>
        <v>1001.3924000000001</v>
      </c>
      <c r="T113" s="1">
        <f>[1]节奏总纲!T113</f>
        <v>542.04559999999992</v>
      </c>
      <c r="V113" s="1">
        <f>[1]节奏总纲!V113</f>
        <v>110</v>
      </c>
      <c r="W113" s="1">
        <f>[1]节奏总纲!W113</f>
        <v>137.1484333326182</v>
      </c>
      <c r="X113" s="1">
        <f>[1]节奏总纲!X113</f>
        <v>116.67217223605826</v>
      </c>
      <c r="Y113" s="1">
        <f>[1]节奏总纲!Y113</f>
        <v>95.718357316179208</v>
      </c>
      <c r="Z113" s="1">
        <f>[1]节奏总纲!Z113</f>
        <v>69.575820622984452</v>
      </c>
      <c r="AA113" s="1">
        <f>[1]节奏总纲!AA113</f>
        <v>37.462816086477687</v>
      </c>
      <c r="AC113" s="1">
        <f>[1]节奏总纲!AC113</f>
        <v>110</v>
      </c>
      <c r="AD113" s="1">
        <f>[1]节奏总纲!AD113</f>
        <v>67.942312709427185</v>
      </c>
      <c r="AE113" s="1">
        <f>[1]节奏总纲!AE113</f>
        <v>70.003807055133578</v>
      </c>
      <c r="AF113" s="1">
        <f>[1]节奏总纲!AF113</f>
        <v>72.919951060835245</v>
      </c>
      <c r="AG113" s="1">
        <f>[1]节奏总纲!AG113</f>
        <v>77.332919927503724</v>
      </c>
      <c r="AH113" s="1">
        <f>[1]节奏总纲!AH113</f>
        <v>86.154780808490045</v>
      </c>
      <c r="AZ113" s="1">
        <f>[1]节奏总纲!AZ113</f>
        <v>110</v>
      </c>
      <c r="BA113" s="1">
        <f>[1]节奏总纲!BA113</f>
        <v>38.663818688865533</v>
      </c>
      <c r="BB113" s="1">
        <f>[1]节奏总纲!BB113</f>
        <v>40.168994574261895</v>
      </c>
      <c r="BC113" s="1">
        <f>[1]节奏总纲!BC113</f>
        <v>42.109294145892463</v>
      </c>
      <c r="BD113" s="1">
        <f>[1]节奏总纲!BD113</f>
        <v>44.843574549861387</v>
      </c>
      <c r="BE113" s="1">
        <f>[1]节奏总纲!BE113</f>
        <v>49.526167968714425</v>
      </c>
      <c r="BI113" s="1">
        <f>[1]节奏总纲!BI113</f>
        <v>110</v>
      </c>
      <c r="BJ113" s="1">
        <f>[1]节奏总纲!BJ113</f>
        <v>3.4999999999999978</v>
      </c>
      <c r="BK113" s="1">
        <f>[1]节奏总纲!BK113</f>
        <v>3.5699999999999976</v>
      </c>
      <c r="BL113" s="1">
        <f>[1]节奏总纲!BL113</f>
        <v>3.7099999999999977</v>
      </c>
      <c r="BM113" s="1">
        <f>[1]节奏总纲!BM113</f>
        <v>3.9899999999999971</v>
      </c>
      <c r="BN113" s="1">
        <f>[1]节奏总纲!BN113</f>
        <v>4.8999999999999968</v>
      </c>
      <c r="BW113" s="1">
        <f>[1]节奏总纲!BW113</f>
        <v>110</v>
      </c>
      <c r="BX113" s="1">
        <f>[1]节奏总纲!BX113</f>
        <v>58.459196425189646</v>
      </c>
      <c r="BY113" s="1">
        <f>[1]节奏总纲!BY113</f>
        <v>58.889188215849849</v>
      </c>
      <c r="BZ113" s="1">
        <f>[1]节奏总纲!BZ113</f>
        <v>59.339742830719779</v>
      </c>
      <c r="CA113" s="1">
        <f>[1]节奏总纲!CA113</f>
        <v>59.839943614471814</v>
      </c>
      <c r="CB113" s="1">
        <f>[1]节奏总纲!CB113</f>
        <v>60.373224714907948</v>
      </c>
      <c r="CC113" s="1">
        <f>[1]节奏总纲!CC113</f>
        <v>60.373224714907948</v>
      </c>
    </row>
    <row r="114" spans="6:81" x14ac:dyDescent="0.15">
      <c r="F114" s="1">
        <f>[1]节奏总纲!F114</f>
        <v>112</v>
      </c>
      <c r="G114" s="1">
        <f>[1]节奏总纲!G114</f>
        <v>2351.5342310339256</v>
      </c>
      <c r="N114" s="1">
        <f>[1]节奏总纲!N114</f>
        <v>121</v>
      </c>
      <c r="O114" s="1">
        <f>[1]节奏总纲!O114</f>
        <v>111</v>
      </c>
      <c r="P114" s="1">
        <f>[1]节奏总纲!P114</f>
        <v>2193.9920512743265</v>
      </c>
      <c r="Q114" s="1">
        <f>[1]节奏总纲!Q114</f>
        <v>1869.0618284805987</v>
      </c>
      <c r="R114" s="1">
        <f>[1]节奏总纲!R114</f>
        <v>1500.4711638665117</v>
      </c>
      <c r="S114" s="1">
        <f>[1]节奏总纲!S114</f>
        <v>1076.5918995603122</v>
      </c>
      <c r="T114" s="1">
        <f>[1]节奏总纲!T114</f>
        <v>583.16308722871599</v>
      </c>
      <c r="V114" s="1">
        <f>[1]节奏总纲!V114</f>
        <v>111</v>
      </c>
      <c r="W114" s="1">
        <f>[1]节奏总纲!W114</f>
        <v>146.99205127432651</v>
      </c>
      <c r="X114" s="1">
        <f>[1]节奏总纲!X114</f>
        <v>127.67892848059864</v>
      </c>
      <c r="Y114" s="1">
        <f>[1]节奏总纲!Y114</f>
        <v>103.18896386651181</v>
      </c>
      <c r="Z114" s="1">
        <f>[1]节奏总纲!Z114</f>
        <v>75.19949956031212</v>
      </c>
      <c r="AA114" s="1">
        <f>[1]节奏总纲!AA114</f>
        <v>41.117487228716072</v>
      </c>
      <c r="AC114" s="1">
        <f>[1]节奏总纲!AC114</f>
        <v>111</v>
      </c>
      <c r="AD114" s="1">
        <f>[1]节奏总纲!AD114</f>
        <v>68.071211008105138</v>
      </c>
      <c r="AE114" s="1">
        <f>[1]节奏总纲!AE114</f>
        <v>70.127815365673797</v>
      </c>
      <c r="AF114" s="1">
        <f>[1]节奏总纲!AF114</f>
        <v>73.051543220271398</v>
      </c>
      <c r="AG114" s="1">
        <f>[1]节奏总纲!AG114</f>
        <v>77.461998485874332</v>
      </c>
      <c r="AH114" s="1">
        <f>[1]节奏总纲!AH114</f>
        <v>86.301784901840136</v>
      </c>
      <c r="AZ114" s="1">
        <f>[1]节奏总纲!AZ114</f>
        <v>111</v>
      </c>
      <c r="BA114" s="1">
        <f>[1]节奏总纲!BA114</f>
        <v>38.72644921510345</v>
      </c>
      <c r="BB114" s="1">
        <f>[1]节奏总纲!BB114</f>
        <v>40.227268565386687</v>
      </c>
      <c r="BC114" s="1">
        <f>[1]节奏总纲!BC114</f>
        <v>42.167148737437572</v>
      </c>
      <c r="BD114" s="1">
        <f>[1]节奏总纲!BD114</f>
        <v>44.908213165621142</v>
      </c>
      <c r="BE114" s="1">
        <f>[1]节奏总纲!BE114</f>
        <v>49.588147305704041</v>
      </c>
      <c r="BI114" s="1">
        <f>[1]节奏总纲!BI114</f>
        <v>111</v>
      </c>
      <c r="BJ114" s="1">
        <f>[1]节奏总纲!BJ114</f>
        <v>3.4999999999999978</v>
      </c>
      <c r="BK114" s="1">
        <f>[1]节奏总纲!BK114</f>
        <v>3.5699999999999976</v>
      </c>
      <c r="BL114" s="1">
        <f>[1]节奏总纲!BL114</f>
        <v>3.7099999999999977</v>
      </c>
      <c r="BM114" s="1">
        <f>[1]节奏总纲!BM114</f>
        <v>3.9899999999999971</v>
      </c>
      <c r="BN114" s="1">
        <f>[1]节奏总纲!BN114</f>
        <v>4.8999999999999968</v>
      </c>
      <c r="BW114" s="1">
        <f>[1]节奏总纲!BW114</f>
        <v>111</v>
      </c>
      <c r="BX114" s="1">
        <f>[1]节奏总纲!BX114</f>
        <v>58.946408675687671</v>
      </c>
      <c r="BY114" s="1">
        <f>[1]节奏总纲!BY114</f>
        <v>59.361287240722291</v>
      </c>
      <c r="BZ114" s="1">
        <f>[1]节奏总纲!BZ114</f>
        <v>59.832224211633438</v>
      </c>
      <c r="CA114" s="1">
        <f>[1]节奏总纲!CA114</f>
        <v>60.326839752914957</v>
      </c>
      <c r="CB114" s="1">
        <f>[1]节奏总纲!CB114</f>
        <v>60.881867647056097</v>
      </c>
      <c r="CC114" s="1">
        <f>[1]节奏总纲!CC114</f>
        <v>60.881867647056097</v>
      </c>
    </row>
    <row r="115" spans="6:81" x14ac:dyDescent="0.15">
      <c r="F115" s="1">
        <f>[1]节奏总纲!F115</f>
        <v>113</v>
      </c>
      <c r="G115" s="1">
        <f>[1]节奏总纲!G115</f>
        <v>2520.3837585303886</v>
      </c>
      <c r="N115" s="1">
        <f>[1]节奏总纲!N115</f>
        <v>122</v>
      </c>
      <c r="O115" s="1">
        <f>[1]节奏总纲!O115</f>
        <v>112</v>
      </c>
      <c r="P115" s="1">
        <f>[1]节奏总纲!P115</f>
        <v>2351.5342310339256</v>
      </c>
      <c r="Q115" s="1">
        <f>[1]节奏总纲!Q115</f>
        <v>2004.6829319564217</v>
      </c>
      <c r="R115" s="1">
        <f>[1]节奏总纲!R115</f>
        <v>1609.3900277196187</v>
      </c>
      <c r="S115" s="1">
        <f>[1]节奏总纲!S115</f>
        <v>1155.3087677069677</v>
      </c>
      <c r="T115" s="1">
        <f>[1]节奏总纲!T115</f>
        <v>623.15657122399034</v>
      </c>
      <c r="V115" s="1">
        <f>[1]节奏总纲!V115</f>
        <v>112</v>
      </c>
      <c r="W115" s="1">
        <f>[1]节奏总纲!W115</f>
        <v>157.54217975959909</v>
      </c>
      <c r="X115" s="1">
        <f>[1]节奏总纲!X115</f>
        <v>135.62110347582302</v>
      </c>
      <c r="Y115" s="1">
        <f>[1]节奏总纲!Y115</f>
        <v>108.91886385310704</v>
      </c>
      <c r="Z115" s="1">
        <f>[1]节奏总纲!Z115</f>
        <v>78.716868146655543</v>
      </c>
      <c r="AA115" s="1">
        <f>[1]节奏总纲!AA115</f>
        <v>39.993483995274346</v>
      </c>
      <c r="AC115" s="1">
        <f>[1]节奏总纲!AC115</f>
        <v>112</v>
      </c>
      <c r="AD115" s="1">
        <f>[1]节奏总纲!AD115</f>
        <v>68.196246161507091</v>
      </c>
      <c r="AE115" s="1">
        <f>[1]节奏总纲!AE115</f>
        <v>70.251823676214016</v>
      </c>
      <c r="AF115" s="1">
        <f>[1]节奏总纲!AF115</f>
        <v>73.174668450093861</v>
      </c>
      <c r="AG115" s="1">
        <f>[1]节奏总纲!AG115</f>
        <v>77.591077044244926</v>
      </c>
      <c r="AH115" s="1">
        <f>[1]节奏总纲!AH115</f>
        <v>86.448788995190213</v>
      </c>
      <c r="AZ115" s="1">
        <f>[1]节奏总纲!AZ115</f>
        <v>112</v>
      </c>
      <c r="BA115" s="1">
        <f>[1]节奏总纲!BA115</f>
        <v>38.789079741341368</v>
      </c>
      <c r="BB115" s="1">
        <f>[1]节奏总纲!BB115</f>
        <v>40.28554255651148</v>
      </c>
      <c r="BC115" s="1">
        <f>[1]节奏总纲!BC115</f>
        <v>42.225003328982673</v>
      </c>
      <c r="BD115" s="1">
        <f>[1]节奏总纲!BD115</f>
        <v>44.972851781380903</v>
      </c>
      <c r="BE115" s="1">
        <f>[1]节奏总纲!BE115</f>
        <v>49.65012664269365</v>
      </c>
      <c r="BI115" s="1">
        <f>[1]节奏总纲!BI115</f>
        <v>112</v>
      </c>
      <c r="BJ115" s="1">
        <f>[1]节奏总纲!BJ115</f>
        <v>3.4999999999999978</v>
      </c>
      <c r="BK115" s="1">
        <f>[1]节奏总纲!BK115</f>
        <v>3.5699999999999976</v>
      </c>
      <c r="BL115" s="1">
        <f>[1]节奏总纲!BL115</f>
        <v>3.7099999999999977</v>
      </c>
      <c r="BM115" s="1">
        <f>[1]节奏总纲!BM115</f>
        <v>3.9899999999999971</v>
      </c>
      <c r="BN115" s="1">
        <f>[1]节奏总纲!BN115</f>
        <v>4.8999999999999968</v>
      </c>
      <c r="BW115" s="1">
        <f>[1]节奏总纲!BW115</f>
        <v>112</v>
      </c>
      <c r="BX115" s="1">
        <f>[1]节奏总纲!BX115</f>
        <v>59.404833394530556</v>
      </c>
      <c r="BY115" s="1">
        <f>[1]节奏总纲!BY115</f>
        <v>59.846737906797472</v>
      </c>
      <c r="BZ115" s="1">
        <f>[1]节奏总纲!BZ115</f>
        <v>60.304169527518312</v>
      </c>
      <c r="CA115" s="1">
        <f>[1]节奏总纲!CA115</f>
        <v>60.81372235837329</v>
      </c>
      <c r="CB115" s="1">
        <f>[1]节奏总纲!CB115</f>
        <v>61.325402417517608</v>
      </c>
      <c r="CC115" s="1">
        <f>[1]节奏总纲!CC115</f>
        <v>61.325402417517608</v>
      </c>
    </row>
    <row r="116" spans="6:81" x14ac:dyDescent="0.15">
      <c r="F116" s="1">
        <f>[1]节奏总纲!F116</f>
        <v>114</v>
      </c>
      <c r="G116" s="1">
        <f>[1]节奏总纲!G116</f>
        <v>2701.3522012628878</v>
      </c>
      <c r="N116" s="1">
        <f>[1]节奏总纲!N116</f>
        <v>123</v>
      </c>
      <c r="O116" s="1">
        <f>[1]节奏总纲!O116</f>
        <v>113</v>
      </c>
      <c r="P116" s="1">
        <f>[1]节奏总纲!P116</f>
        <v>2520.3837585303886</v>
      </c>
      <c r="Q116" s="1">
        <f>[1]节奏总纲!Q116</f>
        <v>2149.6353076505684</v>
      </c>
      <c r="R116" s="1">
        <f>[1]节奏总纲!R116</f>
        <v>1726.7149129691693</v>
      </c>
      <c r="S116" s="1">
        <f>[1]节奏总纲!S116</f>
        <v>1235.7441568074496</v>
      </c>
      <c r="T116" s="1">
        <f>[1]节奏总纲!T116</f>
        <v>665.63335062787564</v>
      </c>
      <c r="V116" s="1">
        <f>[1]节奏总纲!V116</f>
        <v>113</v>
      </c>
      <c r="W116" s="1">
        <f>[1]节奏总纲!W116</f>
        <v>168.849527496463</v>
      </c>
      <c r="X116" s="1">
        <f>[1]节奏总纲!X116</f>
        <v>144.95237569414667</v>
      </c>
      <c r="Y116" s="1">
        <f>[1]节奏总纲!Y116</f>
        <v>117.32488524955056</v>
      </c>
      <c r="Z116" s="1">
        <f>[1]节奏总纲!Z116</f>
        <v>80.435389100481871</v>
      </c>
      <c r="AA116" s="1">
        <f>[1]节奏总纲!AA116</f>
        <v>42.476779403885303</v>
      </c>
      <c r="AC116" s="1">
        <f>[1]节奏总纲!AC116</f>
        <v>113</v>
      </c>
      <c r="AD116" s="1">
        <f>[1]节奏总纲!AD116</f>
        <v>68.321281314909029</v>
      </c>
      <c r="AE116" s="1">
        <f>[1]节奏总纲!AE116</f>
        <v>70.375831986754235</v>
      </c>
      <c r="AF116" s="1">
        <f>[1]节奏总纲!AF116</f>
        <v>73.297793679916325</v>
      </c>
      <c r="AG116" s="1">
        <f>[1]节奏总纲!AG116</f>
        <v>77.720155602615534</v>
      </c>
      <c r="AH116" s="1">
        <f>[1]节奏总纲!AH116</f>
        <v>86.595793088540304</v>
      </c>
      <c r="AZ116" s="1">
        <f>[1]节奏总纲!AZ116</f>
        <v>113</v>
      </c>
      <c r="BA116" s="1">
        <f>[1]节奏总纲!BA116</f>
        <v>38.851710267579293</v>
      </c>
      <c r="BB116" s="1">
        <f>[1]节奏总纲!BB116</f>
        <v>40.343816547636273</v>
      </c>
      <c r="BC116" s="1">
        <f>[1]节奏总纲!BC116</f>
        <v>42.282857920527782</v>
      </c>
      <c r="BD116" s="1">
        <f>[1]节奏总纲!BD116</f>
        <v>45.032359480672049</v>
      </c>
      <c r="BE116" s="1">
        <f>[1]节奏总纲!BE116</f>
        <v>49.712105979683258</v>
      </c>
      <c r="BI116" s="1">
        <f>[1]节奏总纲!BI116</f>
        <v>113</v>
      </c>
      <c r="BJ116" s="1">
        <f>[1]节奏总纲!BJ116</f>
        <v>3.4999999999999978</v>
      </c>
      <c r="BK116" s="1">
        <f>[1]节奏总纲!BK116</f>
        <v>3.5699999999999976</v>
      </c>
      <c r="BL116" s="1">
        <f>[1]节奏总纲!BL116</f>
        <v>3.7099999999999977</v>
      </c>
      <c r="BM116" s="1">
        <f>[1]节奏总纲!BM116</f>
        <v>3.9899999999999971</v>
      </c>
      <c r="BN116" s="1">
        <f>[1]节奏总纲!BN116</f>
        <v>4.8999999999999968</v>
      </c>
      <c r="BW116" s="1">
        <f>[1]节奏总纲!BW116</f>
        <v>113</v>
      </c>
      <c r="BX116" s="1">
        <f>[1]节奏总纲!BX116</f>
        <v>59.888345847910635</v>
      </c>
      <c r="BY116" s="1">
        <f>[1]节奏总纲!BY116</f>
        <v>60.315865619841162</v>
      </c>
      <c r="BZ116" s="1">
        <f>[1]节奏总纲!BZ116</f>
        <v>60.787957794339562</v>
      </c>
      <c r="CA116" s="1">
        <f>[1]节奏总纲!CA116</f>
        <v>61.268918714801863</v>
      </c>
      <c r="CB116" s="1">
        <f>[1]节奏总纲!CB116</f>
        <v>61.779418699074547</v>
      </c>
      <c r="CC116" s="1">
        <f>[1]节奏总纲!CC116</f>
        <v>61.779418699074547</v>
      </c>
    </row>
    <row r="117" spans="6:81" x14ac:dyDescent="0.15">
      <c r="F117" s="1">
        <f>[1]节奏总纲!F117</f>
        <v>115</v>
      </c>
      <c r="G117" s="1">
        <f>[1]节奏总纲!G117</f>
        <v>2895.3093757400989</v>
      </c>
      <c r="N117" s="1">
        <f>[1]节奏总纲!N117</f>
        <v>124</v>
      </c>
      <c r="O117" s="1">
        <f>[1]节奏总纲!O117</f>
        <v>114</v>
      </c>
      <c r="P117" s="1">
        <f>[1]节奏总纲!P117</f>
        <v>2701.3522012628878</v>
      </c>
      <c r="Q117" s="1">
        <f>[1]节奏总纲!Q117</f>
        <v>2304.5235628973696</v>
      </c>
      <c r="R117" s="1">
        <f>[1]节奏总纲!R117</f>
        <v>1846.3742295631837</v>
      </c>
      <c r="S117" s="1">
        <f>[1]节奏总纲!S117</f>
        <v>1319.3404150967945</v>
      </c>
      <c r="T117" s="1">
        <f>[1]节奏总纲!T117</f>
        <v>710.99589937239205</v>
      </c>
      <c r="V117" s="1">
        <f>[1]节奏总纲!V117</f>
        <v>114</v>
      </c>
      <c r="W117" s="1">
        <f>[1]节奏总纲!W117</f>
        <v>180.96844273249917</v>
      </c>
      <c r="X117" s="1">
        <f>[1]节奏总纲!X117</f>
        <v>154.88825524680124</v>
      </c>
      <c r="Y117" s="1">
        <f>[1]节奏总纲!Y117</f>
        <v>119.6593165940144</v>
      </c>
      <c r="Z117" s="1">
        <f>[1]节奏总纲!Z117</f>
        <v>83.59625828934486</v>
      </c>
      <c r="AA117" s="1">
        <f>[1]节奏总纲!AA117</f>
        <v>45.362548744516403</v>
      </c>
      <c r="AC117" s="1">
        <f>[1]节奏总纲!AC117</f>
        <v>114</v>
      </c>
      <c r="AD117" s="1">
        <f>[1]节奏总纲!AD117</f>
        <v>68.446316468310982</v>
      </c>
      <c r="AE117" s="1">
        <f>[1]节奏总纲!AE117</f>
        <v>70.499840297294455</v>
      </c>
      <c r="AF117" s="1">
        <f>[1]节奏总纲!AF117</f>
        <v>73.420918909738774</v>
      </c>
      <c r="AG117" s="1">
        <f>[1]节奏总纲!AG117</f>
        <v>77.849234160986143</v>
      </c>
      <c r="AH117" s="1">
        <f>[1]节奏总纲!AH117</f>
        <v>86.742797181890381</v>
      </c>
      <c r="AZ117" s="1">
        <f>[1]节奏总纲!AZ117</f>
        <v>114</v>
      </c>
      <c r="BA117" s="1">
        <f>[1]节奏总纲!BA117</f>
        <v>38.91434079381721</v>
      </c>
      <c r="BB117" s="1">
        <f>[1]节奏总纲!BB117</f>
        <v>40.402090538761065</v>
      </c>
      <c r="BC117" s="1">
        <f>[1]节奏总纲!BC117</f>
        <v>42.340712512072891</v>
      </c>
      <c r="BD117" s="1">
        <f>[1]节奏总纲!BD117</f>
        <v>45.088151688727308</v>
      </c>
      <c r="BE117" s="1">
        <f>[1]节奏总纲!BE117</f>
        <v>49.774085316672867</v>
      </c>
      <c r="BI117" s="1">
        <f>[1]节奏总纲!BI117</f>
        <v>114</v>
      </c>
      <c r="BJ117" s="1">
        <f>[1]节奏总纲!BJ117</f>
        <v>3.4999999999999978</v>
      </c>
      <c r="BK117" s="1">
        <f>[1]节奏总纲!BK117</f>
        <v>3.5699999999999976</v>
      </c>
      <c r="BL117" s="1">
        <f>[1]节奏总纲!BL117</f>
        <v>3.7099999999999977</v>
      </c>
      <c r="BM117" s="1">
        <f>[1]节奏总纲!BM117</f>
        <v>3.9899999999999971</v>
      </c>
      <c r="BN117" s="1">
        <f>[1]节奏总纲!BN117</f>
        <v>4.8999999999999968</v>
      </c>
      <c r="BW117" s="1">
        <f>[1]节奏总纲!BW117</f>
        <v>114</v>
      </c>
      <c r="BX117" s="1">
        <f>[1]节奏总纲!BX117</f>
        <v>60.351265141991014</v>
      </c>
      <c r="BY117" s="1">
        <f>[1]节奏总纲!BY117</f>
        <v>60.79487602158224</v>
      </c>
      <c r="BZ117" s="1">
        <f>[1]节奏总纲!BZ117</f>
        <v>61.243116472404502</v>
      </c>
      <c r="CA117" s="1">
        <f>[1]节奏总纲!CA117</f>
        <v>61.715681191539097</v>
      </c>
      <c r="CB117" s="1">
        <f>[1]节奏总纲!CB117</f>
        <v>62.228360857153817</v>
      </c>
      <c r="CC117" s="1">
        <f>[1]节奏总纲!CC117</f>
        <v>62.228360857153817</v>
      </c>
    </row>
    <row r="118" spans="6:81" x14ac:dyDescent="0.15">
      <c r="F118" s="1">
        <f>[1]节奏总纲!F118</f>
        <v>116</v>
      </c>
      <c r="G118" s="1">
        <f>[1]节奏总纲!G118</f>
        <v>3103.1875282132928</v>
      </c>
      <c r="N118" s="1">
        <f>[1]节奏总纲!N118</f>
        <v>125</v>
      </c>
      <c r="O118" s="1">
        <f>[1]节奏总纲!O118</f>
        <v>115</v>
      </c>
      <c r="P118" s="1">
        <f>[1]节奏总纲!P118</f>
        <v>2895.3093757400989</v>
      </c>
      <c r="Q118" s="1">
        <f>[1]节奏总纲!Q118</f>
        <v>2463.0396859421021</v>
      </c>
      <c r="R118" s="1">
        <f>[1]节奏总纲!R118</f>
        <v>1969.9684992535633</v>
      </c>
      <c r="S118" s="1">
        <f>[1]节奏总纲!S118</f>
        <v>1407.1203566096881</v>
      </c>
      <c r="T118" s="1">
        <f>[1]节奏总纲!T118</f>
        <v>758.86058738147995</v>
      </c>
      <c r="V118" s="1">
        <f>[1]节奏总纲!V118</f>
        <v>115</v>
      </c>
      <c r="W118" s="1">
        <f>[1]节奏总纲!W118</f>
        <v>193.95717447721108</v>
      </c>
      <c r="X118" s="1">
        <f>[1]节奏总纲!X118</f>
        <v>158.51612304473247</v>
      </c>
      <c r="Y118" s="1">
        <f>[1]节奏总纲!Y118</f>
        <v>123.59426969037963</v>
      </c>
      <c r="Z118" s="1">
        <f>[1]节奏总纲!Z118</f>
        <v>87.779941512893629</v>
      </c>
      <c r="AA118" s="1">
        <f>[1]节奏总纲!AA118</f>
        <v>47.864688009087899</v>
      </c>
      <c r="AC118" s="1">
        <f>[1]节奏总纲!AC118</f>
        <v>115</v>
      </c>
      <c r="AD118" s="1">
        <f>[1]节奏总纲!AD118</f>
        <v>68.571351621712935</v>
      </c>
      <c r="AE118" s="1">
        <f>[1]节奏总纲!AE118</f>
        <v>70.623848607834674</v>
      </c>
      <c r="AF118" s="1">
        <f>[1]节奏总纲!AF118</f>
        <v>73.544044139561237</v>
      </c>
      <c r="AG118" s="1">
        <f>[1]节奏总纲!AG118</f>
        <v>77.978312719356751</v>
      </c>
      <c r="AH118" s="1">
        <f>[1]节奏总纲!AH118</f>
        <v>86.889801275240458</v>
      </c>
      <c r="AZ118" s="1">
        <f>[1]节奏总纲!AZ118</f>
        <v>115</v>
      </c>
      <c r="BA118" s="1">
        <f>[1]节奏总纲!BA118</f>
        <v>38.976971320055128</v>
      </c>
      <c r="BB118" s="1">
        <f>[1]节奏总纲!BB118</f>
        <v>40.460364529885858</v>
      </c>
      <c r="BC118" s="1">
        <f>[1]节奏总纲!BC118</f>
        <v>42.398567103617999</v>
      </c>
      <c r="BD118" s="1">
        <f>[1]节奏总纲!BD118</f>
        <v>45.143943896782567</v>
      </c>
      <c r="BE118" s="1">
        <f>[1]节奏总纲!BE118</f>
        <v>49.836064653662483</v>
      </c>
      <c r="BI118" s="1">
        <f>[1]节奏总纲!BI118</f>
        <v>115</v>
      </c>
      <c r="BJ118" s="1">
        <f>[1]节奏总纲!BJ118</f>
        <v>3.4999999999999978</v>
      </c>
      <c r="BK118" s="1">
        <f>[1]节奏总纲!BK118</f>
        <v>3.5699999999999976</v>
      </c>
      <c r="BL118" s="1">
        <f>[1]节奏总纲!BL118</f>
        <v>3.7099999999999977</v>
      </c>
      <c r="BM118" s="1">
        <f>[1]节奏总纲!BM118</f>
        <v>3.9899999999999971</v>
      </c>
      <c r="BN118" s="1">
        <f>[1]节奏总纲!BN118</f>
        <v>4.8999999999999968</v>
      </c>
      <c r="BW118" s="1">
        <f>[1]节奏总纲!BW118</f>
        <v>115</v>
      </c>
      <c r="BX118" s="1">
        <f>[1]节奏总纲!BX118</f>
        <v>60.831133697131506</v>
      </c>
      <c r="BY118" s="1">
        <f>[1]节奏总纲!BY118</f>
        <v>61.24634276522368</v>
      </c>
      <c r="BZ118" s="1">
        <f>[1]节奏总纲!BZ118</f>
        <v>61.683465384084933</v>
      </c>
      <c r="CA118" s="1">
        <f>[1]节奏总纲!CA118</f>
        <v>62.159685532497839</v>
      </c>
      <c r="CB118" s="1">
        <f>[1]节奏总纲!CB118</f>
        <v>62.670432709865914</v>
      </c>
      <c r="CC118" s="1">
        <f>[1]节奏总纲!CC118</f>
        <v>62.670432709865914</v>
      </c>
    </row>
    <row r="119" spans="6:81" x14ac:dyDescent="0.15">
      <c r="F119" s="1">
        <f>[1]节奏总纲!F119</f>
        <v>117</v>
      </c>
      <c r="G119" s="1">
        <f>[1]节奏总纲!G119</f>
        <v>3325.985815475135</v>
      </c>
      <c r="N119" s="1">
        <f>[1]节奏总纲!N119</f>
        <v>126</v>
      </c>
      <c r="O119" s="1">
        <f>[1]节奏总纲!O119</f>
        <v>116</v>
      </c>
      <c r="P119" s="1">
        <f>[1]节奏总纲!P119</f>
        <v>3103.1875282132928</v>
      </c>
      <c r="Q119" s="1">
        <f>[1]节奏总纲!Q119</f>
        <v>2636.7784427228348</v>
      </c>
      <c r="R119" s="1">
        <f>[1]节奏总纲!R119</f>
        <v>2108.9262441737537</v>
      </c>
      <c r="S119" s="1">
        <f>[1]节奏总纲!S119</f>
        <v>1509.0800949701243</v>
      </c>
      <c r="T119" s="1">
        <f>[1]节奏总纲!T119</f>
        <v>813.34545114470404</v>
      </c>
      <c r="V119" s="1">
        <f>[1]节奏总纲!V119</f>
        <v>116</v>
      </c>
      <c r="W119" s="1">
        <f>[1]节奏总纲!W119</f>
        <v>207.87815247319395</v>
      </c>
      <c r="X119" s="1">
        <f>[1]节奏总纲!X119</f>
        <v>173.73875678073273</v>
      </c>
      <c r="Y119" s="1">
        <f>[1]节奏总纲!Y119</f>
        <v>138.95774492019041</v>
      </c>
      <c r="Z119" s="1">
        <f>[1]节奏总纲!Z119</f>
        <v>101.95973836043618</v>
      </c>
      <c r="AA119" s="1">
        <f>[1]节奏总纲!AA119</f>
        <v>54.484863763224098</v>
      </c>
      <c r="AC119" s="1">
        <f>[1]节奏总纲!AC119</f>
        <v>116</v>
      </c>
      <c r="AD119" s="1">
        <f>[1]节奏总纲!AD119</f>
        <v>68.696386775114874</v>
      </c>
      <c r="AE119" s="1">
        <f>[1]节奏总纲!AE119</f>
        <v>70.747856918374893</v>
      </c>
      <c r="AF119" s="1">
        <f>[1]节奏总纲!AF119</f>
        <v>73.667169369383686</v>
      </c>
      <c r="AG119" s="1">
        <f>[1]节奏总纲!AG119</f>
        <v>78.10469841238104</v>
      </c>
      <c r="AH119" s="1">
        <f>[1]节奏总纲!AH119</f>
        <v>87.033659382136349</v>
      </c>
      <c r="AZ119" s="1">
        <f>[1]节奏总纲!AZ119</f>
        <v>116</v>
      </c>
      <c r="BA119" s="1">
        <f>[1]节奏总纲!BA119</f>
        <v>39.034165367506482</v>
      </c>
      <c r="BB119" s="1">
        <f>[1]节奏总纲!BB119</f>
        <v>40.518638521010644</v>
      </c>
      <c r="BC119" s="1">
        <f>[1]节奏总纲!BC119</f>
        <v>42.456421695163108</v>
      </c>
      <c r="BD119" s="1">
        <f>[1]节奏总纲!BD119</f>
        <v>45.199736104837825</v>
      </c>
      <c r="BE119" s="1">
        <f>[1]节奏总纲!BE119</f>
        <v>49.898043990652091</v>
      </c>
      <c r="BI119" s="1">
        <f>[1]节奏总纲!BI119</f>
        <v>116</v>
      </c>
      <c r="BJ119" s="1">
        <f>[1]节奏总纲!BJ119</f>
        <v>3.4999999999999978</v>
      </c>
      <c r="BK119" s="1">
        <f>[1]节奏总纲!BK119</f>
        <v>3.5699999999999976</v>
      </c>
      <c r="BL119" s="1">
        <f>[1]节奏总纲!BL119</f>
        <v>3.7099999999999977</v>
      </c>
      <c r="BM119" s="1">
        <f>[1]节奏总纲!BM119</f>
        <v>3.9899999999999971</v>
      </c>
      <c r="BN119" s="1">
        <f>[1]节奏总纲!BN119</f>
        <v>4.8999999999999968</v>
      </c>
      <c r="BW119" s="1">
        <f>[1]节奏总纲!BW119</f>
        <v>116</v>
      </c>
      <c r="BX119" s="1">
        <f>[1]节奏总纲!BX119</f>
        <v>61.298477193800437</v>
      </c>
      <c r="BY119" s="1">
        <f>[1]节奏总纲!BY119</f>
        <v>61.71059773831081</v>
      </c>
      <c r="BZ119" s="1">
        <f>[1]节奏总纲!BZ119</f>
        <v>62.154284734329579</v>
      </c>
      <c r="CA119" s="1">
        <f>[1]节奏总纲!CA119</f>
        <v>62.630528781601228</v>
      </c>
      <c r="CB119" s="1">
        <f>[1]节奏总纲!CB119</f>
        <v>63.150055056035825</v>
      </c>
      <c r="CC119" s="1">
        <f>[1]节奏总纲!CC119</f>
        <v>63.150055056035825</v>
      </c>
    </row>
    <row r="120" spans="6:81" x14ac:dyDescent="0.15">
      <c r="F120" s="1">
        <f>[1]节奏总纲!F120</f>
        <v>118</v>
      </c>
      <c r="G120" s="1">
        <f>[1]节奏总纲!G120</f>
        <v>3564.7751072609281</v>
      </c>
      <c r="N120" s="1">
        <f>[1]节奏总纲!N120</f>
        <v>127</v>
      </c>
      <c r="O120" s="1">
        <f>[1]节奏总纲!O120</f>
        <v>117</v>
      </c>
      <c r="P120" s="1">
        <f>[1]节奏总纲!P120</f>
        <v>3325.985815475135</v>
      </c>
      <c r="Q120" s="1">
        <f>[1]节奏总纲!Q120</f>
        <v>2826.7553445723174</v>
      </c>
      <c r="R120" s="1">
        <f>[1]节奏总纲!R120</f>
        <v>2262.6681502677343</v>
      </c>
      <c r="S120" s="1">
        <f>[1]节奏总纲!S120</f>
        <v>1618.0920992286531</v>
      </c>
      <c r="T120" s="1">
        <f>[1]节奏总纲!T120</f>
        <v>873.07127656222303</v>
      </c>
      <c r="V120" s="1">
        <f>[1]节奏总纲!V120</f>
        <v>117</v>
      </c>
      <c r="W120" s="1">
        <f>[1]节奏总纲!W120</f>
        <v>222.79828726184223</v>
      </c>
      <c r="X120" s="1">
        <f>[1]节奏总纲!X120</f>
        <v>189.9769018494826</v>
      </c>
      <c r="Y120" s="1">
        <f>[1]节奏总纲!Y120</f>
        <v>153.74190609398056</v>
      </c>
      <c r="Z120" s="1">
        <f>[1]节奏总纲!Z120</f>
        <v>109.0120042585288</v>
      </c>
      <c r="AA120" s="1">
        <f>[1]节奏总纲!AA120</f>
        <v>59.72582541751899</v>
      </c>
      <c r="AC120" s="1">
        <f>[1]节奏总纲!AC120</f>
        <v>117</v>
      </c>
      <c r="AD120" s="1">
        <f>[1]节奏总纲!AD120</f>
        <v>68.821421928516827</v>
      </c>
      <c r="AE120" s="1">
        <f>[1]节奏总纲!AE120</f>
        <v>70.871865228915112</v>
      </c>
      <c r="AF120" s="1">
        <f>[1]节奏总纲!AF120</f>
        <v>73.790294599206149</v>
      </c>
      <c r="AG120" s="1">
        <f>[1]节奏总纲!AG120</f>
        <v>78.230540290975199</v>
      </c>
      <c r="AH120" s="1">
        <f>[1]节奏总纲!AH120</f>
        <v>87.168098110592624</v>
      </c>
      <c r="AZ120" s="1">
        <f>[1]节奏总纲!AZ120</f>
        <v>117</v>
      </c>
      <c r="BA120" s="1">
        <f>[1]节奏总纲!BA120</f>
        <v>39.088198074219406</v>
      </c>
      <c r="BB120" s="1">
        <f>[1]节奏总纲!BB120</f>
        <v>40.576912512135436</v>
      </c>
      <c r="BC120" s="1">
        <f>[1]节奏总纲!BC120</f>
        <v>42.51427628670821</v>
      </c>
      <c r="BD120" s="1">
        <f>[1]节奏总纲!BD120</f>
        <v>45.255528312893091</v>
      </c>
      <c r="BE120" s="1">
        <f>[1]节奏总纲!BE120</f>
        <v>49.9600233276417</v>
      </c>
      <c r="BI120" s="1">
        <f>[1]节奏总纲!BI120</f>
        <v>117</v>
      </c>
      <c r="BJ120" s="1">
        <f>[1]节奏总纲!BJ120</f>
        <v>3.4999999999999978</v>
      </c>
      <c r="BK120" s="1">
        <f>[1]节奏总纲!BK120</f>
        <v>3.5699999999999976</v>
      </c>
      <c r="BL120" s="1">
        <f>[1]节奏总纲!BL120</f>
        <v>3.7099999999999977</v>
      </c>
      <c r="BM120" s="1">
        <f>[1]节奏总纲!BM120</f>
        <v>3.9899999999999971</v>
      </c>
      <c r="BN120" s="1">
        <f>[1]节奏总纲!BN120</f>
        <v>4.8999999999999968</v>
      </c>
      <c r="BW120" s="1">
        <f>[1]节奏总纲!BW120</f>
        <v>117</v>
      </c>
      <c r="BX120" s="1">
        <f>[1]节奏总纲!BX120</f>
        <v>61.774756475513705</v>
      </c>
      <c r="BY120" s="1">
        <f>[1]节奏总纲!BY120</f>
        <v>62.188581397582936</v>
      </c>
      <c r="BZ120" s="1">
        <f>[1]节奏总纲!BZ120</f>
        <v>62.627597957455222</v>
      </c>
      <c r="CA120" s="1">
        <f>[1]节奏总纲!CA120</f>
        <v>63.115741365011118</v>
      </c>
      <c r="CB120" s="1">
        <f>[1]节奏总纲!CB120</f>
        <v>63.626729194306485</v>
      </c>
      <c r="CC120" s="1">
        <f>[1]节奏总纲!CC120</f>
        <v>63.626729194306485</v>
      </c>
    </row>
    <row r="121" spans="6:81" x14ac:dyDescent="0.15">
      <c r="F121" s="1">
        <f>[1]节奏总纲!F121</f>
        <v>119</v>
      </c>
      <c r="G121" s="1">
        <f>[1]节奏总纲!G121</f>
        <v>3820.7031333347636</v>
      </c>
      <c r="N121" s="1">
        <f>[1]节奏总纲!N121</f>
        <v>128</v>
      </c>
      <c r="O121" s="1">
        <f>[1]节奏总纲!O121</f>
        <v>118</v>
      </c>
      <c r="P121" s="1">
        <f>[1]节奏总纲!P121</f>
        <v>3564.7751072609281</v>
      </c>
      <c r="Q121" s="1">
        <f>[1]节奏总纲!Q121</f>
        <v>3030.4153186825147</v>
      </c>
      <c r="R121" s="1">
        <f>[1]节奏总纲!R121</f>
        <v>2426.1859380017877</v>
      </c>
      <c r="S121" s="1">
        <f>[1]节奏总纲!S121</f>
        <v>1737.4713872789764</v>
      </c>
      <c r="T121" s="1">
        <f>[1]节奏总纲!T121</f>
        <v>936.10994316671975</v>
      </c>
      <c r="V121" s="1">
        <f>[1]节奏总纲!V121</f>
        <v>118</v>
      </c>
      <c r="W121" s="1">
        <f>[1]节奏总纲!W121</f>
        <v>238.78929178579301</v>
      </c>
      <c r="X121" s="1">
        <f>[1]节奏总纲!X121</f>
        <v>203.65997411019725</v>
      </c>
      <c r="Y121" s="1">
        <f>[1]节奏总纲!Y121</f>
        <v>163.5177877340534</v>
      </c>
      <c r="Z121" s="1">
        <f>[1]节奏总纲!Z121</f>
        <v>119.37928805032334</v>
      </c>
      <c r="AA121" s="1">
        <f>[1]节奏总纲!AA121</f>
        <v>63.038666604496711</v>
      </c>
      <c r="AC121" s="1">
        <f>[1]节奏总纲!AC121</f>
        <v>118</v>
      </c>
      <c r="AD121" s="1">
        <f>[1]节奏总纲!AD121</f>
        <v>68.946457081918766</v>
      </c>
      <c r="AE121" s="1">
        <f>[1]节奏总纲!AE121</f>
        <v>70.995873539455332</v>
      </c>
      <c r="AF121" s="1">
        <f>[1]节奏总纲!AF121</f>
        <v>73.913419829028598</v>
      </c>
      <c r="AG121" s="1">
        <f>[1]节奏总纲!AG121</f>
        <v>78.356382169569343</v>
      </c>
      <c r="AH121" s="1">
        <f>[1]节奏总纲!AH121</f>
        <v>87.302536839048898</v>
      </c>
      <c r="AZ121" s="1">
        <f>[1]节奏总纲!AZ121</f>
        <v>118</v>
      </c>
      <c r="BA121" s="1">
        <f>[1]节奏总纲!BA121</f>
        <v>39.14223078093233</v>
      </c>
      <c r="BB121" s="1">
        <f>[1]节奏总纲!BB121</f>
        <v>40.635186503260229</v>
      </c>
      <c r="BC121" s="1">
        <f>[1]节奏总纲!BC121</f>
        <v>42.572130878253319</v>
      </c>
      <c r="BD121" s="1">
        <f>[1]节奏总纲!BD121</f>
        <v>45.31132052094835</v>
      </c>
      <c r="BE121" s="1">
        <f>[1]节奏总纲!BE121</f>
        <v>50.018998195299922</v>
      </c>
      <c r="BI121" s="1">
        <f>[1]节奏总纲!BI121</f>
        <v>118</v>
      </c>
      <c r="BJ121" s="1">
        <f>[1]节奏总纲!BJ121</f>
        <v>3.4999999999999978</v>
      </c>
      <c r="BK121" s="1">
        <f>[1]节奏总纲!BK121</f>
        <v>3.5699999999999976</v>
      </c>
      <c r="BL121" s="1">
        <f>[1]节奏总纲!BL121</f>
        <v>3.7099999999999977</v>
      </c>
      <c r="BM121" s="1">
        <f>[1]节奏总纲!BM121</f>
        <v>3.9899999999999971</v>
      </c>
      <c r="BN121" s="1">
        <f>[1]节奏总纲!BN121</f>
        <v>4.8999999999999968</v>
      </c>
      <c r="BW121" s="1">
        <f>[1]节奏总纲!BW121</f>
        <v>118</v>
      </c>
      <c r="BX121" s="1">
        <f>[1]节奏总纲!BX121</f>
        <v>62.246455046493132</v>
      </c>
      <c r="BY121" s="1">
        <f>[1]节奏总纲!BY121</f>
        <v>62.6588254638406</v>
      </c>
      <c r="BZ121" s="1">
        <f>[1]节奏总纲!BZ121</f>
        <v>63.11320815441082</v>
      </c>
      <c r="CA121" s="1">
        <f>[1]节奏总纲!CA121</f>
        <v>63.592126738180539</v>
      </c>
      <c r="CB121" s="1">
        <f>[1]节奏总纲!CB121</f>
        <v>64.112208257096498</v>
      </c>
      <c r="CC121" s="1">
        <f>[1]节奏总纲!CC121</f>
        <v>64.112208257096498</v>
      </c>
    </row>
    <row r="122" spans="6:81" x14ac:dyDescent="0.15">
      <c r="F122" s="1">
        <f>[1]节奏总纲!F122</f>
        <v>120</v>
      </c>
      <c r="G122" s="1">
        <f>[1]节奏总纲!G122</f>
        <v>4095</v>
      </c>
      <c r="N122" s="1">
        <f>[1]节奏总纲!N122</f>
        <v>129</v>
      </c>
      <c r="O122" s="1">
        <f>[1]节奏总纲!O122</f>
        <v>119</v>
      </c>
      <c r="P122" s="1">
        <f>[1]节奏总纲!P122</f>
        <v>3820.7031333347636</v>
      </c>
      <c r="Q122" s="1">
        <f>[1]节奏总纲!Q122</f>
        <v>3250.2721555278836</v>
      </c>
      <c r="R122" s="1">
        <f>[1]节奏总纲!R122</f>
        <v>2604.5733259943081</v>
      </c>
      <c r="S122" s="1">
        <f>[1]节奏总纲!S122</f>
        <v>1863.3569181273642</v>
      </c>
      <c r="T122" s="1">
        <f>[1]节奏总纲!T122</f>
        <v>1000.260080307041</v>
      </c>
      <c r="V122" s="1">
        <f>[1]节奏总纲!V122</f>
        <v>119</v>
      </c>
      <c r="W122" s="1">
        <f>[1]节奏总纲!W122</f>
        <v>255.92802607383555</v>
      </c>
      <c r="X122" s="1">
        <f>[1]节奏总纲!X122</f>
        <v>219.85683684536889</v>
      </c>
      <c r="Y122" s="1">
        <f>[1]节奏总纲!Y122</f>
        <v>178.38738799252042</v>
      </c>
      <c r="Z122" s="1">
        <f>[1]节奏总纲!Z122</f>
        <v>125.88553084838782</v>
      </c>
      <c r="AA122" s="1">
        <f>[1]节奏总纲!AA122</f>
        <v>64.150137140321249</v>
      </c>
      <c r="AC122" s="1">
        <f>[1]节奏总纲!AC122</f>
        <v>119</v>
      </c>
      <c r="AD122" s="1">
        <f>[1]节奏总纲!AD122</f>
        <v>69.066704614192943</v>
      </c>
      <c r="AE122" s="1">
        <f>[1]节奏总纲!AE122</f>
        <v>71.113087458015798</v>
      </c>
      <c r="AF122" s="1">
        <f>[1]节奏总纲!AF122</f>
        <v>74.034200876118248</v>
      </c>
      <c r="AG122" s="1">
        <f>[1]节奏总纲!AG122</f>
        <v>78.482224048163502</v>
      </c>
      <c r="AH122" s="1">
        <f>[1]节奏总纲!AH122</f>
        <v>87.436975567505186</v>
      </c>
      <c r="AZ122" s="1">
        <f>[1]节奏总纲!AZ122</f>
        <v>119</v>
      </c>
      <c r="BA122" s="1">
        <f>[1]节奏总纲!BA122</f>
        <v>39.196263487645254</v>
      </c>
      <c r="BB122" s="1">
        <f>[1]节奏总纲!BB122</f>
        <v>40.693460494385022</v>
      </c>
      <c r="BC122" s="1">
        <f>[1]节奏总纲!BC122</f>
        <v>42.629985469798427</v>
      </c>
      <c r="BD122" s="1">
        <f>[1]节奏总纲!BD122</f>
        <v>45.367112729003608</v>
      </c>
      <c r="BE122" s="1">
        <f>[1]节奏总纲!BE122</f>
        <v>50.072514238398277</v>
      </c>
      <c r="BI122" s="1">
        <f>[1]节奏总纲!BI122</f>
        <v>119</v>
      </c>
      <c r="BJ122" s="1">
        <f>[1]节奏总纲!BJ122</f>
        <v>3.4999999999999978</v>
      </c>
      <c r="BK122" s="1">
        <f>[1]节奏总纲!BK122</f>
        <v>3.5699999999999976</v>
      </c>
      <c r="BL122" s="1">
        <f>[1]节奏总纲!BL122</f>
        <v>3.7099999999999977</v>
      </c>
      <c r="BM122" s="1">
        <f>[1]节奏总纲!BM122</f>
        <v>3.9899999999999971</v>
      </c>
      <c r="BN122" s="1">
        <f>[1]节奏总纲!BN122</f>
        <v>4.8999999999999968</v>
      </c>
      <c r="BW122" s="1">
        <f>[1]节奏总纲!BW122</f>
        <v>119</v>
      </c>
      <c r="BX122" s="1">
        <f>[1]节奏总纲!BX122</f>
        <v>62.719198446077925</v>
      </c>
      <c r="BY122" s="1">
        <f>[1]节奏总纲!BY122</f>
        <v>63.143850498495951</v>
      </c>
      <c r="BZ122" s="1">
        <f>[1]节奏总纲!BZ122</f>
        <v>63.587780384292174</v>
      </c>
      <c r="CA122" s="1">
        <f>[1]节奏总纲!CA122</f>
        <v>64.081643983802394</v>
      </c>
      <c r="CB122" s="1">
        <f>[1]节奏总纲!CB122</f>
        <v>64.554656492906943</v>
      </c>
      <c r="CC122" s="1">
        <f>[1]节奏总纲!CC122</f>
        <v>64.554656492906943</v>
      </c>
    </row>
    <row r="123" spans="6:81" x14ac:dyDescent="0.15">
      <c r="F123" s="1">
        <f>[1]节奏总纲!F123</f>
        <v>121</v>
      </c>
      <c r="G123" s="1">
        <f>[1]节奏总纲!G123</f>
        <v>4388.9841025486576</v>
      </c>
      <c r="N123" s="1">
        <f>[1]节奏总纲!N123</f>
        <v>130</v>
      </c>
      <c r="O123" s="1">
        <f>[1]节奏总纲!O123</f>
        <v>120</v>
      </c>
      <c r="P123" s="1">
        <f>[1]节奏总纲!P123</f>
        <v>4095</v>
      </c>
      <c r="Q123" s="1">
        <f>[1]节奏总纲!Q123</f>
        <v>3486.0735</v>
      </c>
      <c r="R123" s="1">
        <f>[1]节奏总纲!R123</f>
        <v>2791.971</v>
      </c>
      <c r="S123" s="1">
        <f>[1]节奏总纲!S123</f>
        <v>1988.5319999999999</v>
      </c>
      <c r="T123" s="1">
        <f>[1]节奏总纲!T123</f>
        <v>1067.9759999999999</v>
      </c>
      <c r="V123" s="1">
        <f>[1]节奏总纲!V123</f>
        <v>120</v>
      </c>
      <c r="W123" s="1">
        <f>[1]节奏总纲!W123</f>
        <v>274.29686666523639</v>
      </c>
      <c r="X123" s="1">
        <f>[1]节奏总纲!X123</f>
        <v>235.8013444721164</v>
      </c>
      <c r="Y123" s="1">
        <f>[1]节奏总纲!Y123</f>
        <v>187.3976740056919</v>
      </c>
      <c r="Z123" s="1">
        <f>[1]节奏总纲!Z123</f>
        <v>125.1750818726357</v>
      </c>
      <c r="AA123" s="1">
        <f>[1]节奏总纲!AA123</f>
        <v>67.715919692958892</v>
      </c>
      <c r="AC123" s="1">
        <f>[1]节奏总纲!AC123</f>
        <v>120</v>
      </c>
      <c r="AD123" s="1">
        <f>[1]节奏总纲!AD123</f>
        <v>69.18336653741882</v>
      </c>
      <c r="AE123" s="1">
        <f>[1]节奏总纲!AE123</f>
        <v>71.230067506391322</v>
      </c>
      <c r="AF123" s="1">
        <f>[1]节奏总纲!AF123</f>
        <v>74.149428238300118</v>
      </c>
      <c r="AG123" s="1">
        <f>[1]节奏总纲!AG123</f>
        <v>78.608065926757661</v>
      </c>
      <c r="AH123" s="1">
        <f>[1]节奏总纲!AH123</f>
        <v>87.571414295961461</v>
      </c>
      <c r="AZ123" s="1">
        <f>[1]节奏总纲!AZ123</f>
        <v>120</v>
      </c>
      <c r="BA123" s="1">
        <f>[1]节奏总纲!BA123</f>
        <v>39.250296194358178</v>
      </c>
      <c r="BB123" s="1">
        <f>[1]节奏总纲!BB123</f>
        <v>40.751734485509814</v>
      </c>
      <c r="BC123" s="1">
        <f>[1]节奏总纲!BC123</f>
        <v>42.687840061343536</v>
      </c>
      <c r="BD123" s="1">
        <f>[1]节奏总纲!BD123</f>
        <v>45.422904937058867</v>
      </c>
      <c r="BE123" s="1">
        <f>[1]节奏总纲!BE123</f>
        <v>50.126030281496639</v>
      </c>
      <c r="BI123" s="1">
        <f>[1]节奏总纲!BI123</f>
        <v>120</v>
      </c>
      <c r="BJ123" s="1">
        <f>[1]节奏总纲!BJ123</f>
        <v>3.4999999999999978</v>
      </c>
      <c r="BK123" s="1">
        <f>[1]节奏总纲!BK123</f>
        <v>3.5699999999999976</v>
      </c>
      <c r="BL123" s="1">
        <f>[1]节奏总纲!BL123</f>
        <v>3.7099999999999977</v>
      </c>
      <c r="BM123" s="1">
        <f>[1]节奏总纲!BM123</f>
        <v>3.9899999999999971</v>
      </c>
      <c r="BN123" s="1">
        <f>[1]节奏总纲!BN123</f>
        <v>4.8999999999999968</v>
      </c>
      <c r="BW123" s="1">
        <f>[1]节奏总纲!BW123</f>
        <v>120</v>
      </c>
      <c r="BX123" s="1">
        <f>[1]节奏总纲!BX123</f>
        <v>63.195184230627639</v>
      </c>
      <c r="BY123" s="1">
        <f>[1]节奏总纲!BY123</f>
        <v>63.614335426471264</v>
      </c>
      <c r="BZ123" s="1">
        <f>[1]节奏总纲!BZ123</f>
        <v>64.074598905166155</v>
      </c>
      <c r="CA123" s="1">
        <f>[1]节奏总纲!CA123</f>
        <v>64.513314878136029</v>
      </c>
      <c r="CB123" s="1">
        <f>[1]节奏总纲!CB123</f>
        <v>65.018752205023816</v>
      </c>
      <c r="CC123" s="1">
        <f>[1]节奏总纲!CC123</f>
        <v>65.018752205023816</v>
      </c>
    </row>
    <row r="124" spans="6:81" x14ac:dyDescent="0.15">
      <c r="F124" s="1">
        <f>[1]节奏总纲!F124</f>
        <v>122</v>
      </c>
      <c r="G124" s="1">
        <f>[1]节奏总纲!G124</f>
        <v>4704.0684620678521</v>
      </c>
      <c r="N124" s="1">
        <f>[1]节奏总纲!N124</f>
        <v>131</v>
      </c>
      <c r="O124" s="1">
        <f>[1]节奏总纲!O124</f>
        <v>121</v>
      </c>
      <c r="P124" s="1">
        <f>[1]节奏总纲!P124</f>
        <v>4388.9841025486576</v>
      </c>
      <c r="Q124" s="1">
        <f>[1]节奏总纲!Q124</f>
        <v>3731.5142839868686</v>
      </c>
      <c r="R124" s="1">
        <f>[1]节奏总纲!R124</f>
        <v>2978.8035103997736</v>
      </c>
      <c r="S124" s="1">
        <f>[1]节奏总纲!S124</f>
        <v>2122.0738135822758</v>
      </c>
      <c r="T124" s="1">
        <f>[1]节奏总纲!T124</f>
        <v>1143.3303587139253</v>
      </c>
      <c r="V124" s="1">
        <f>[1]节奏总纲!V124</f>
        <v>121</v>
      </c>
      <c r="W124" s="1">
        <f>[1]节奏总纲!W124</f>
        <v>293.98410254865757</v>
      </c>
      <c r="X124" s="1">
        <f>[1]节奏总纲!X124</f>
        <v>245.44078398686861</v>
      </c>
      <c r="Y124" s="1">
        <f>[1]节奏总纲!Y124</f>
        <v>186.83251039977358</v>
      </c>
      <c r="Z124" s="1">
        <f>[1]节奏总纲!Z124</f>
        <v>133.54181358227584</v>
      </c>
      <c r="AA124" s="1">
        <f>[1]节奏总纲!AA124</f>
        <v>75.354358713925421</v>
      </c>
      <c r="AC124" s="1">
        <f>[1]节奏总纲!AC124</f>
        <v>121</v>
      </c>
      <c r="AD124" s="1">
        <f>[1]节奏总纲!AD124</f>
        <v>69.300028460644711</v>
      </c>
      <c r="AE124" s="1">
        <f>[1]节奏总纲!AE124</f>
        <v>71.347047554766846</v>
      </c>
      <c r="AF124" s="1">
        <f>[1]节奏总纲!AF124</f>
        <v>74.264655600481987</v>
      </c>
      <c r="AG124" s="1">
        <f>[1]节奏总纲!AG124</f>
        <v>78.733907805351805</v>
      </c>
      <c r="AH124" s="1">
        <f>[1]节奏总纲!AH124</f>
        <v>87.705853024417735</v>
      </c>
      <c r="AZ124" s="1">
        <f>[1]节奏总纲!AZ124</f>
        <v>121</v>
      </c>
      <c r="BA124" s="1">
        <f>[1]节奏总纲!BA124</f>
        <v>39.304328901071102</v>
      </c>
      <c r="BB124" s="1">
        <f>[1]节奏总纲!BB124</f>
        <v>40.810008476634607</v>
      </c>
      <c r="BC124" s="1">
        <f>[1]节奏总纲!BC124</f>
        <v>42.745694652888645</v>
      </c>
      <c r="BD124" s="1">
        <f>[1]节奏总纲!BD124</f>
        <v>45.478697145114126</v>
      </c>
      <c r="BE124" s="1">
        <f>[1]节奏总纲!BE124</f>
        <v>50.179546324595002</v>
      </c>
      <c r="BI124" s="1">
        <f>[1]节奏总纲!BI124</f>
        <v>121</v>
      </c>
      <c r="BJ124" s="1">
        <f>[1]节奏总纲!BJ124</f>
        <v>3.4999999999999978</v>
      </c>
      <c r="BK124" s="1">
        <f>[1]节奏总纲!BK124</f>
        <v>3.5699999999999976</v>
      </c>
      <c r="BL124" s="1">
        <f>[1]节奏总纲!BL124</f>
        <v>3.7099999999999977</v>
      </c>
      <c r="BM124" s="1">
        <f>[1]节奏总纲!BM124</f>
        <v>3.9899999999999971</v>
      </c>
      <c r="BN124" s="1">
        <f>[1]节奏总纲!BN124</f>
        <v>4.8999999999999968</v>
      </c>
      <c r="BW124" s="1">
        <f>[1]节奏总纲!BW124</f>
        <v>121</v>
      </c>
      <c r="BX124" s="1">
        <f>[1]节奏总纲!BX124</f>
        <v>63.664443944555515</v>
      </c>
      <c r="BY124" s="1">
        <f>[1]节奏总纲!BY124</f>
        <v>64.08992124447893</v>
      </c>
      <c r="BZ124" s="1">
        <f>[1]节奏总纲!BZ124</f>
        <v>64.504131448162894</v>
      </c>
      <c r="CA124" s="1">
        <f>[1]节奏总纲!CA124</f>
        <v>64.973838755872734</v>
      </c>
      <c r="CB124" s="1">
        <f>[1]节奏总纲!CB124</f>
        <v>65.467913166257659</v>
      </c>
      <c r="CC124" s="1">
        <f>[1]节奏总纲!CC124</f>
        <v>65.467913166257659</v>
      </c>
    </row>
    <row r="125" spans="6:81" x14ac:dyDescent="0.15">
      <c r="F125" s="1">
        <f>[1]节奏总纲!F125</f>
        <v>123</v>
      </c>
      <c r="G125" s="1">
        <f>[1]节奏总纲!G125</f>
        <v>5041.7675170607781</v>
      </c>
      <c r="N125" s="1">
        <f>[1]节奏总纲!N125</f>
        <v>132</v>
      </c>
      <c r="O125" s="1">
        <f>[1]节奏总纲!O125</f>
        <v>122</v>
      </c>
      <c r="P125" s="1">
        <f>[1]节奏总纲!P125</f>
        <v>4704.0684620678521</v>
      </c>
      <c r="Q125" s="1">
        <f>[1]节奏总纲!Q125</f>
        <v>3989.5204626797454</v>
      </c>
      <c r="R125" s="1">
        <f>[1]节奏总纲!R125</f>
        <v>3183.7135351275219</v>
      </c>
      <c r="S125" s="1">
        <f>[1]节奏总纲!S125</f>
        <v>2271.1242534863591</v>
      </c>
      <c r="T125" s="1">
        <f>[1]节奏总纲!T125</f>
        <v>1223.9986138300551</v>
      </c>
      <c r="V125" s="1">
        <f>[1]节奏总纲!V125</f>
        <v>122</v>
      </c>
      <c r="W125" s="1">
        <f>[1]节奏总纲!W125</f>
        <v>315.08435951919455</v>
      </c>
      <c r="X125" s="1">
        <f>[1]节奏总纲!X125</f>
        <v>258.0061786928768</v>
      </c>
      <c r="Y125" s="1">
        <f>[1]节奏总纲!Y125</f>
        <v>204.91002472774835</v>
      </c>
      <c r="Z125" s="1">
        <f>[1]节奏总纲!Z125</f>
        <v>149.05043990408331</v>
      </c>
      <c r="AA125" s="1">
        <f>[1]节奏总纲!AA125</f>
        <v>80.668255116129785</v>
      </c>
      <c r="AC125" s="1">
        <f>[1]节奏总纲!AC125</f>
        <v>122</v>
      </c>
      <c r="AD125" s="1">
        <f>[1]节奏总纲!AD125</f>
        <v>69.416690383870588</v>
      </c>
      <c r="AE125" s="1">
        <f>[1]节奏总纲!AE125</f>
        <v>71.46402760314237</v>
      </c>
      <c r="AF125" s="1">
        <f>[1]节奏总纲!AF125</f>
        <v>74.379882962663856</v>
      </c>
      <c r="AG125" s="1">
        <f>[1]节奏总纲!AG125</f>
        <v>78.859749683945964</v>
      </c>
      <c r="AH125" s="1">
        <f>[1]节奏总纲!AH125</f>
        <v>87.840291752874009</v>
      </c>
      <c r="AZ125" s="1">
        <f>[1]节奏总纲!AZ125</f>
        <v>122</v>
      </c>
      <c r="BA125" s="1">
        <f>[1]节奏总纲!BA125</f>
        <v>39.358361607784026</v>
      </c>
      <c r="BB125" s="1">
        <f>[1]节奏总纲!BB125</f>
        <v>40.8682824677594</v>
      </c>
      <c r="BC125" s="1">
        <f>[1]节奏总纲!BC125</f>
        <v>42.803549244433754</v>
      </c>
      <c r="BD125" s="1">
        <f>[1]节奏总纲!BD125</f>
        <v>45.534489353169384</v>
      </c>
      <c r="BE125" s="1">
        <f>[1]节奏总纲!BE125</f>
        <v>50.233062367693357</v>
      </c>
      <c r="BI125" s="1">
        <f>[1]节奏总纲!BI125</f>
        <v>122</v>
      </c>
      <c r="BJ125" s="1">
        <f>[1]节奏总纲!BJ125</f>
        <v>3.4999999999999978</v>
      </c>
      <c r="BK125" s="1">
        <f>[1]节奏总纲!BK125</f>
        <v>3.5699999999999976</v>
      </c>
      <c r="BL125" s="1">
        <f>[1]节奏总纲!BL125</f>
        <v>3.7099999999999977</v>
      </c>
      <c r="BM125" s="1">
        <f>[1]节奏总纲!BM125</f>
        <v>3.9899999999999971</v>
      </c>
      <c r="BN125" s="1">
        <f>[1]节奏总纲!BN125</f>
        <v>4.8999999999999968</v>
      </c>
      <c r="BW125" s="1">
        <f>[1]节奏总纲!BW125</f>
        <v>122</v>
      </c>
      <c r="BX125" s="1">
        <f>[1]节奏总纲!BX125</f>
        <v>64.144650363204718</v>
      </c>
      <c r="BY125" s="1">
        <f>[1]节奏总纲!BY125</f>
        <v>64.534793164008732</v>
      </c>
      <c r="BZ125" s="1">
        <f>[1]节奏总纲!BZ125</f>
        <v>64.975224641839446</v>
      </c>
      <c r="CA125" s="1">
        <f>[1]节奏总纲!CA125</f>
        <v>65.421609454055499</v>
      </c>
      <c r="CB125" s="1">
        <f>[1]节奏总纲!CB125</f>
        <v>65.948748404290441</v>
      </c>
      <c r="CC125" s="1">
        <f>[1]节奏总纲!CC125</f>
        <v>65.948748404290441</v>
      </c>
    </row>
    <row r="126" spans="6:81" x14ac:dyDescent="0.15">
      <c r="F126" s="1">
        <f>[1]节奏总纲!F126</f>
        <v>124</v>
      </c>
      <c r="G126" s="1">
        <f>[1]节奏总纲!G126</f>
        <v>5403.704402525771</v>
      </c>
      <c r="N126" s="1">
        <f>[1]节奏总纲!N126</f>
        <v>133</v>
      </c>
      <c r="O126" s="1">
        <f>[1]节奏总纲!O126</f>
        <v>123</v>
      </c>
      <c r="P126" s="1">
        <f>[1]节奏总纲!P126</f>
        <v>5041.7675170607781</v>
      </c>
      <c r="Q126" s="1">
        <f>[1]节奏总纲!Q126</f>
        <v>4275.9230312192458</v>
      </c>
      <c r="R126" s="1">
        <f>[1]节奏总纲!R126</f>
        <v>3419.8309068223257</v>
      </c>
      <c r="S126" s="1">
        <f>[1]节奏总纲!S126</f>
        <v>2442.7363620159467</v>
      </c>
      <c r="T126" s="1">
        <f>[1]节奏总纲!T126</f>
        <v>1316.4054987045693</v>
      </c>
      <c r="V126" s="1">
        <f>[1]节奏总纲!V126</f>
        <v>123</v>
      </c>
      <c r="W126" s="1">
        <f>[1]节奏总纲!W126</f>
        <v>337.69905499292599</v>
      </c>
      <c r="X126" s="1">
        <f>[1]节奏总纲!X126</f>
        <v>286.40256853950041</v>
      </c>
      <c r="Y126" s="1">
        <f>[1]节奏总纲!Y126</f>
        <v>236.11737169480375</v>
      </c>
      <c r="Z126" s="1">
        <f>[1]节奏总纲!Z126</f>
        <v>171.61210852958766</v>
      </c>
      <c r="AA126" s="1">
        <f>[1]节奏总纲!AA126</f>
        <v>92.406884874514162</v>
      </c>
      <c r="AC126" s="1">
        <f>[1]节奏总纲!AC126</f>
        <v>123</v>
      </c>
      <c r="AD126" s="1">
        <f>[1]节奏总纲!AD126</f>
        <v>69.533352307096465</v>
      </c>
      <c r="AE126" s="1">
        <f>[1]节奏总纲!AE126</f>
        <v>71.581007651517908</v>
      </c>
      <c r="AF126" s="1">
        <f>[1]节奏总纲!AF126</f>
        <v>74.495110324845726</v>
      </c>
      <c r="AG126" s="1">
        <f>[1]节奏总纲!AG126</f>
        <v>78.985591562540122</v>
      </c>
      <c r="AH126" s="1">
        <f>[1]节奏总纲!AH126</f>
        <v>87.974730481330297</v>
      </c>
      <c r="AZ126" s="1">
        <f>[1]节奏总纲!AZ126</f>
        <v>123</v>
      </c>
      <c r="BA126" s="1">
        <f>[1]节奏总纲!BA126</f>
        <v>39.41239431449695</v>
      </c>
      <c r="BB126" s="1">
        <f>[1]节奏总纲!BB126</f>
        <v>40.926556458884193</v>
      </c>
      <c r="BC126" s="1">
        <f>[1]节奏总纲!BC126</f>
        <v>42.861403835978855</v>
      </c>
      <c r="BD126" s="1">
        <f>[1]节奏总纲!BD126</f>
        <v>45.590281561224643</v>
      </c>
      <c r="BE126" s="1">
        <f>[1]节奏总纲!BE126</f>
        <v>50.286578410791719</v>
      </c>
      <c r="BI126" s="1">
        <f>[1]节奏总纲!BI126</f>
        <v>123</v>
      </c>
      <c r="BJ126" s="1">
        <f>[1]节奏总纲!BJ126</f>
        <v>3.4999999999999978</v>
      </c>
      <c r="BK126" s="1">
        <f>[1]节奏总纲!BK126</f>
        <v>3.5699999999999976</v>
      </c>
      <c r="BL126" s="1">
        <f>[1]节奏总纲!BL126</f>
        <v>3.7099999999999977</v>
      </c>
      <c r="BM126" s="1">
        <f>[1]节奏总纲!BM126</f>
        <v>3.9899999999999971</v>
      </c>
      <c r="BN126" s="1">
        <f>[1]节奏总纲!BN126</f>
        <v>4.8999999999999968</v>
      </c>
      <c r="BW126" s="1">
        <f>[1]节奏总纲!BW126</f>
        <v>123</v>
      </c>
      <c r="BX126" s="1">
        <f>[1]节奏总纲!BX126</f>
        <v>64.610477430073331</v>
      </c>
      <c r="BY126" s="1">
        <f>[1]节奏总纲!BY126</f>
        <v>65.024741214672602</v>
      </c>
      <c r="BZ126" s="1">
        <f>[1]节奏总纲!BZ126</f>
        <v>65.447726095039712</v>
      </c>
      <c r="CA126" s="1">
        <f>[1]节奏总纲!CA126</f>
        <v>65.933069314785968</v>
      </c>
      <c r="CB126" s="1">
        <f>[1]节奏总纲!CB126</f>
        <v>66.431751354934946</v>
      </c>
      <c r="CC126" s="1">
        <f>[1]节奏总纲!CC126</f>
        <v>66.431751354934946</v>
      </c>
    </row>
    <row r="127" spans="6:81" x14ac:dyDescent="0.15">
      <c r="F127" s="1">
        <f>[1]节奏总纲!F127</f>
        <v>125</v>
      </c>
      <c r="G127" s="1">
        <f>[1]节奏总纲!G127</f>
        <v>5791.6187514801986</v>
      </c>
      <c r="N127" s="1">
        <f>[1]节奏总纲!N127</f>
        <v>134</v>
      </c>
      <c r="O127" s="1">
        <f>[1]节奏总纲!O127</f>
        <v>124</v>
      </c>
      <c r="P127" s="1">
        <f>[1]节奏总纲!P127</f>
        <v>5403.704402525771</v>
      </c>
      <c r="Q127" s="1">
        <f>[1]节奏总纲!Q127</f>
        <v>4591.5276308261473</v>
      </c>
      <c r="R127" s="1">
        <f>[1]节奏总纲!R127</f>
        <v>3671.276771076009</v>
      </c>
      <c r="S127" s="1">
        <f>[1]节奏总纲!S127</f>
        <v>2624.0388578665143</v>
      </c>
      <c r="T127" s="1">
        <f>[1]节奏总纲!T127</f>
        <v>1415.7705534617521</v>
      </c>
      <c r="V127" s="1">
        <f>[1]节奏总纲!V127</f>
        <v>124</v>
      </c>
      <c r="W127" s="1">
        <f>[1]节奏总纲!W127</f>
        <v>361.93688546499288</v>
      </c>
      <c r="X127" s="1">
        <f>[1]节奏总纲!X127</f>
        <v>315.6045996069015</v>
      </c>
      <c r="Y127" s="1">
        <f>[1]节奏总纲!Y127</f>
        <v>251.44586425368334</v>
      </c>
      <c r="Z127" s="1">
        <f>[1]节奏总纲!Z127</f>
        <v>181.30249585056754</v>
      </c>
      <c r="AA127" s="1">
        <f>[1]节奏总纲!AA127</f>
        <v>99.365054757182861</v>
      </c>
      <c r="AC127" s="1">
        <f>[1]节奏总纲!AC127</f>
        <v>124</v>
      </c>
      <c r="AD127" s="1">
        <f>[1]节奏总纲!AD127</f>
        <v>69.650014230322356</v>
      </c>
      <c r="AE127" s="1">
        <f>[1]节奏总纲!AE127</f>
        <v>71.697987699893432</v>
      </c>
      <c r="AF127" s="1">
        <f>[1]节奏总纲!AF127</f>
        <v>74.610337687027609</v>
      </c>
      <c r="AG127" s="1">
        <f>[1]节奏总纲!AG127</f>
        <v>79.104601412347151</v>
      </c>
      <c r="AH127" s="1">
        <f>[1]节奏总纲!AH127</f>
        <v>88.109271506528316</v>
      </c>
      <c r="AZ127" s="1">
        <f>[1]节奏总纲!AZ127</f>
        <v>124</v>
      </c>
      <c r="BA127" s="1">
        <f>[1]节奏总纲!BA127</f>
        <v>39.466427021209874</v>
      </c>
      <c r="BB127" s="1">
        <f>[1]节奏总纲!BB127</f>
        <v>40.984830450008978</v>
      </c>
      <c r="BC127" s="1">
        <f>[1]节奏总纲!BC127</f>
        <v>42.919258427523964</v>
      </c>
      <c r="BD127" s="1">
        <f>[1]节奏总纲!BD127</f>
        <v>45.646073769279901</v>
      </c>
      <c r="BE127" s="1">
        <f>[1]节奏总纲!BE127</f>
        <v>50.340094453890082</v>
      </c>
      <c r="BI127" s="1">
        <f>[1]节奏总纲!BI127</f>
        <v>124</v>
      </c>
      <c r="BJ127" s="1">
        <f>[1]节奏总纲!BJ127</f>
        <v>3.4999999999999978</v>
      </c>
      <c r="BK127" s="1">
        <f>[1]节奏总纲!BK127</f>
        <v>3.5699999999999976</v>
      </c>
      <c r="BL127" s="1">
        <f>[1]节奏总纲!BL127</f>
        <v>3.7099999999999977</v>
      </c>
      <c r="BM127" s="1">
        <f>[1]节奏总纲!BM127</f>
        <v>3.9899999999999971</v>
      </c>
      <c r="BN127" s="1">
        <f>[1]节奏总纲!BN127</f>
        <v>4.8999999999999968</v>
      </c>
      <c r="BW127" s="1">
        <f>[1]节奏总纲!BW127</f>
        <v>124</v>
      </c>
      <c r="BX127" s="1">
        <f>[1]节奏总纲!BX127</f>
        <v>65.094839190509248</v>
      </c>
      <c r="BY127" s="1">
        <f>[1]节奏总纲!BY127</f>
        <v>65.495043356939604</v>
      </c>
      <c r="BZ127" s="1">
        <f>[1]节奏总纲!BZ127</f>
        <v>65.947319695259623</v>
      </c>
      <c r="CA127" s="1">
        <f>[1]节奏总纲!CA127</f>
        <v>66.409155912065103</v>
      </c>
      <c r="CB127" s="1">
        <f>[1]节奏总纲!CB127</f>
        <v>66.943644127984214</v>
      </c>
      <c r="CC127" s="1">
        <f>[1]节奏总纲!CC127</f>
        <v>66.943644127984214</v>
      </c>
    </row>
    <row r="128" spans="6:81" x14ac:dyDescent="0.15">
      <c r="F128" s="1">
        <f>[1]节奏总纲!F128</f>
        <v>126</v>
      </c>
      <c r="G128" s="1">
        <f>[1]节奏总纲!G128</f>
        <v>6207.3750564265865</v>
      </c>
      <c r="N128" s="1">
        <f>[1]节奏总纲!N128</f>
        <v>135</v>
      </c>
      <c r="O128" s="1">
        <f>[1]节奏总纲!O128</f>
        <v>125</v>
      </c>
      <c r="P128" s="1">
        <f>[1]节奏总纲!P128</f>
        <v>5791.6187514801986</v>
      </c>
      <c r="Q128" s="1">
        <f>[1]节奏总纲!Q128</f>
        <v>4918.821805632133</v>
      </c>
      <c r="R128" s="1">
        <f>[1]节奏总纲!R128</f>
        <v>3940.0382366319791</v>
      </c>
      <c r="S128" s="1">
        <f>[1]节奏总纲!S128</f>
        <v>2816.4641988448207</v>
      </c>
      <c r="T128" s="1">
        <f>[1]节奏总纲!T128</f>
        <v>1509.8750085108877</v>
      </c>
      <c r="V128" s="1">
        <f>[1]节奏总纲!V128</f>
        <v>125</v>
      </c>
      <c r="W128" s="1">
        <f>[1]节奏总纲!W128</f>
        <v>387.91434895442762</v>
      </c>
      <c r="X128" s="1">
        <f>[1]节奏总纲!X128</f>
        <v>327.29417480598568</v>
      </c>
      <c r="Y128" s="1">
        <f>[1]节奏总纲!Y128</f>
        <v>268.76146555597006</v>
      </c>
      <c r="Z128" s="1">
        <f>[1]节奏总纲!Z128</f>
        <v>192.42534097830639</v>
      </c>
      <c r="AA128" s="1">
        <f>[1]节奏总纲!AA128</f>
        <v>94.104455049135595</v>
      </c>
      <c r="AC128" s="1">
        <f>[1]节奏总纲!AC128</f>
        <v>125</v>
      </c>
      <c r="AD128" s="1">
        <f>[1]节奏总纲!AD128</f>
        <v>69.766676153548232</v>
      </c>
      <c r="AE128" s="1">
        <f>[1]节奏总纲!AE128</f>
        <v>71.814967748268955</v>
      </c>
      <c r="AF128" s="1">
        <f>[1]节奏总纲!AF128</f>
        <v>74.725565049209479</v>
      </c>
      <c r="AG128" s="1">
        <f>[1]节奏总纲!AG128</f>
        <v>79.222727875098187</v>
      </c>
      <c r="AH128" s="1">
        <f>[1]节奏总纲!AH128</f>
        <v>88.243836210467165</v>
      </c>
      <c r="AZ128" s="1">
        <f>[1]节奏总纲!AZ128</f>
        <v>125</v>
      </c>
      <c r="BA128" s="1">
        <f>[1]节奏总纲!BA128</f>
        <v>39.520459727922798</v>
      </c>
      <c r="BB128" s="1">
        <f>[1]节奏总纲!BB128</f>
        <v>41.037193447861313</v>
      </c>
      <c r="BC128" s="1">
        <f>[1]节奏总纲!BC128</f>
        <v>42.977113019069073</v>
      </c>
      <c r="BD128" s="1">
        <f>[1]节奏总纲!BD128</f>
        <v>45.701865977335167</v>
      </c>
      <c r="BE128" s="1">
        <f>[1]节奏总纲!BE128</f>
        <v>50.393610496988437</v>
      </c>
      <c r="BI128" s="1">
        <f>[1]节奏总纲!BI128</f>
        <v>125</v>
      </c>
      <c r="BJ128" s="1">
        <f>[1]节奏总纲!BJ128</f>
        <v>3.4999999999999978</v>
      </c>
      <c r="BK128" s="1">
        <f>[1]节奏总纲!BK128</f>
        <v>3.5699999999999976</v>
      </c>
      <c r="BL128" s="1">
        <f>[1]节奏总纲!BL128</f>
        <v>3.7099999999999977</v>
      </c>
      <c r="BM128" s="1">
        <f>[1]节奏总纲!BM128</f>
        <v>3.9899999999999971</v>
      </c>
      <c r="BN128" s="1">
        <f>[1]节奏总纲!BN128</f>
        <v>4.8999999999999968</v>
      </c>
      <c r="BW128" s="1">
        <f>[1]节奏总纲!BW128</f>
        <v>125</v>
      </c>
      <c r="BX128" s="1">
        <f>[1]节奏总纲!BX128</f>
        <v>65.557283526381681</v>
      </c>
      <c r="BY128" s="1">
        <f>[1]节奏总纲!BY128</f>
        <v>65.98276486592421</v>
      </c>
      <c r="BZ128" s="1">
        <f>[1]节奏总纲!BZ128</f>
        <v>66.4159903320772</v>
      </c>
      <c r="CA128" s="1">
        <f>[1]节奏总纲!CA128</f>
        <v>66.904808743128513</v>
      </c>
      <c r="CB128" s="1">
        <f>[1]节奏总纲!CB128</f>
        <v>67.370305760801529</v>
      </c>
      <c r="CC128" s="1">
        <f>[1]节奏总纲!CC128</f>
        <v>67.370305760801529</v>
      </c>
    </row>
    <row r="129" spans="6:81" x14ac:dyDescent="0.15">
      <c r="F129" s="1">
        <f>[1]节奏总纲!F129</f>
        <v>127</v>
      </c>
      <c r="G129" s="1">
        <f>[1]节奏总纲!G129</f>
        <v>6652.971630950271</v>
      </c>
      <c r="N129" s="1">
        <f>[1]节奏总纲!N129</f>
        <v>136</v>
      </c>
      <c r="O129" s="1">
        <f>[1]节奏总纲!O129</f>
        <v>126</v>
      </c>
      <c r="P129" s="1">
        <f>[1]节奏总纲!P129</f>
        <v>6207.3750564265865</v>
      </c>
      <c r="Q129" s="1">
        <f>[1]节奏总纲!Q129</f>
        <v>5279.3724854908123</v>
      </c>
      <c r="R129" s="1">
        <f>[1]节奏总纲!R129</f>
        <v>4225.9809384152195</v>
      </c>
      <c r="S129" s="1">
        <f>[1]节奏总纲!S129</f>
        <v>3006.8524773330387</v>
      </c>
      <c r="T129" s="1">
        <f>[1]节奏总纲!T129</f>
        <v>1610.1930896370566</v>
      </c>
      <c r="V129" s="1">
        <f>[1]节奏总纲!V129</f>
        <v>126</v>
      </c>
      <c r="W129" s="1">
        <f>[1]节奏总纲!W129</f>
        <v>415.7563049463879</v>
      </c>
      <c r="X129" s="1">
        <f>[1]节奏总纲!X129</f>
        <v>360.55067985867936</v>
      </c>
      <c r="Y129" s="1">
        <f>[1]节奏总纲!Y129</f>
        <v>285.94270178324041</v>
      </c>
      <c r="Z129" s="1">
        <f>[1]节奏总纲!Z129</f>
        <v>190.38827848821802</v>
      </c>
      <c r="AA129" s="1">
        <f>[1]节奏总纲!AA129</f>
        <v>100.31808112616886</v>
      </c>
      <c r="AC129" s="1">
        <f>[1]节奏总纲!AC129</f>
        <v>126</v>
      </c>
      <c r="AD129" s="1">
        <f>[1]节奏总纲!AD129</f>
        <v>69.883338076774123</v>
      </c>
      <c r="AE129" s="1">
        <f>[1]节奏总纲!AE129</f>
        <v>71.931947796644479</v>
      </c>
      <c r="AF129" s="1">
        <f>[1]节奏总纲!AF129</f>
        <v>74.840792411391348</v>
      </c>
      <c r="AG129" s="1">
        <f>[1]节奏总纲!AG129</f>
        <v>79.340854337849223</v>
      </c>
      <c r="AH129" s="1">
        <f>[1]节奏总纲!AH129</f>
        <v>88.378400914406001</v>
      </c>
      <c r="AZ129" s="1">
        <f>[1]节奏总纲!AZ129</f>
        <v>126</v>
      </c>
      <c r="BA129" s="1">
        <f>[1]节奏总纲!BA129</f>
        <v>39.574492434635722</v>
      </c>
      <c r="BB129" s="1">
        <f>[1]节奏总纲!BB129</f>
        <v>41.087476216725996</v>
      </c>
      <c r="BC129" s="1">
        <f>[1]节奏总纲!BC129</f>
        <v>43.030177309109042</v>
      </c>
      <c r="BD129" s="1">
        <f>[1]节奏总纲!BD129</f>
        <v>45.757658185390426</v>
      </c>
      <c r="BE129" s="1">
        <f>[1]节奏总纲!BE129</f>
        <v>50.447126540086799</v>
      </c>
      <c r="BI129" s="1">
        <f>[1]节奏总纲!BI129</f>
        <v>126</v>
      </c>
      <c r="BJ129" s="1">
        <f>[1]节奏总纲!BJ129</f>
        <v>3.4999999999999978</v>
      </c>
      <c r="BK129" s="1">
        <f>[1]节奏总纲!BK129</f>
        <v>3.5699999999999976</v>
      </c>
      <c r="BL129" s="1">
        <f>[1]节奏总纲!BL129</f>
        <v>3.7099999999999977</v>
      </c>
      <c r="BM129" s="1">
        <f>[1]节奏总纲!BM129</f>
        <v>3.9899999999999971</v>
      </c>
      <c r="BN129" s="1">
        <f>[1]节奏总纲!BN129</f>
        <v>4.8999999999999968</v>
      </c>
      <c r="BW129" s="1">
        <f>[1]节奏总纲!BW129</f>
        <v>126</v>
      </c>
      <c r="BX129" s="1">
        <f>[1]节奏总纲!BX129</f>
        <v>66.045736622847244</v>
      </c>
      <c r="BY129" s="1">
        <f>[1]节奏总纲!BY129</f>
        <v>66.44946074184756</v>
      </c>
      <c r="BZ129" s="1">
        <f>[1]节奏总纲!BZ129</f>
        <v>66.907014743381254</v>
      </c>
      <c r="CA129" s="1">
        <f>[1]节奏总纲!CA129</f>
        <v>67.341591574598297</v>
      </c>
      <c r="CB129" s="1">
        <f>[1]节奏总纲!CB129</f>
        <v>67.816988171637291</v>
      </c>
      <c r="CC129" s="1">
        <f>[1]节奏总纲!CC129</f>
        <v>67.816988171637291</v>
      </c>
    </row>
    <row r="130" spans="6:81" x14ac:dyDescent="0.15">
      <c r="F130" s="1">
        <f>[1]节奏总纲!F130</f>
        <v>128</v>
      </c>
      <c r="G130" s="1">
        <f>[1]节奏总纲!G130</f>
        <v>7130.5502145218443</v>
      </c>
      <c r="N130" s="1">
        <f>[1]节奏总纲!N130</f>
        <v>137</v>
      </c>
      <c r="O130" s="1">
        <f>[1]节奏总纲!O130</f>
        <v>127</v>
      </c>
      <c r="P130" s="1">
        <f>[1]节奏总纲!P130</f>
        <v>6652.971630950271</v>
      </c>
      <c r="Q130" s="1">
        <f>[1]节奏总纲!Q130</f>
        <v>5658.3523721232059</v>
      </c>
      <c r="R130" s="1">
        <f>[1]节奏总纲!R130</f>
        <v>4508.7188742949984</v>
      </c>
      <c r="S130" s="1">
        <f>[1]节奏总纲!S130</f>
        <v>3203.4058403025556</v>
      </c>
      <c r="T130" s="1">
        <f>[1]节奏总纲!T130</f>
        <v>1719.793166600645</v>
      </c>
      <c r="V130" s="1">
        <f>[1]节奏总纲!V130</f>
        <v>127</v>
      </c>
      <c r="W130" s="1">
        <f>[1]节奏总纲!W130</f>
        <v>445.59657452368447</v>
      </c>
      <c r="X130" s="1">
        <f>[1]节奏总纲!X130</f>
        <v>378.97988663239357</v>
      </c>
      <c r="Y130" s="1">
        <f>[1]节奏总纲!Y130</f>
        <v>282.73793587977889</v>
      </c>
      <c r="Z130" s="1">
        <f>[1]节奏总纲!Z130</f>
        <v>196.55336296951691</v>
      </c>
      <c r="AA130" s="1">
        <f>[1]节奏总纲!AA130</f>
        <v>109.60007696358844</v>
      </c>
      <c r="AC130" s="1">
        <f>[1]节奏总纲!AC130</f>
        <v>127</v>
      </c>
      <c r="AD130" s="1">
        <f>[1]节奏总纲!AD130</f>
        <v>70</v>
      </c>
      <c r="AE130" s="1">
        <f>[1]节奏总纲!AE130</f>
        <v>72.047345051940553</v>
      </c>
      <c r="AF130" s="1">
        <f>[1]节奏总纲!AF130</f>
        <v>74.956019773573217</v>
      </c>
      <c r="AG130" s="1">
        <f>[1]节奏总纲!AG130</f>
        <v>79.458980800600258</v>
      </c>
      <c r="AH130" s="1">
        <f>[1]节奏总纲!AH130</f>
        <v>88.51296561834485</v>
      </c>
      <c r="AZ130" s="1">
        <f>[1]节奏总纲!AZ130</f>
        <v>127</v>
      </c>
      <c r="BA130" s="1">
        <f>[1]节奏总纲!BA130</f>
        <v>39.628525141348646</v>
      </c>
      <c r="BB130" s="1">
        <f>[1]节奏总纲!BB130</f>
        <v>41.137758985590679</v>
      </c>
      <c r="BC130" s="1">
        <f>[1]节奏总纲!BC130</f>
        <v>43.080106253688569</v>
      </c>
      <c r="BD130" s="1">
        <f>[1]节奏总纲!BD130</f>
        <v>45.813450393445684</v>
      </c>
      <c r="BE130" s="1">
        <f>[1]节奏总纲!BE130</f>
        <v>50.500642583185162</v>
      </c>
      <c r="BI130" s="1">
        <f>[1]节奏总纲!BI130</f>
        <v>127</v>
      </c>
      <c r="BJ130" s="1">
        <f>[1]节奏总纲!BJ130</f>
        <v>3.4999999999999978</v>
      </c>
      <c r="BK130" s="1">
        <f>[1]节奏总纲!BK130</f>
        <v>3.5699999999999976</v>
      </c>
      <c r="BL130" s="1">
        <f>[1]节奏总纲!BL130</f>
        <v>3.7099999999999977</v>
      </c>
      <c r="BM130" s="1">
        <f>[1]节奏总纲!BM130</f>
        <v>3.9899999999999971</v>
      </c>
      <c r="BN130" s="1">
        <f>[1]节奏总纲!BN130</f>
        <v>4.8999999999999968</v>
      </c>
      <c r="BW130" s="1">
        <f>[1]节奏总纲!BW130</f>
        <v>127</v>
      </c>
      <c r="BX130" s="1">
        <f>[1]节奏总纲!BX130</f>
        <v>66.504847055084383</v>
      </c>
      <c r="BY130" s="1">
        <f>[1]节奏总纲!BY130</f>
        <v>66.937552520119667</v>
      </c>
      <c r="BZ130" s="1">
        <f>[1]节奏总纲!BZ130</f>
        <v>67.339276425805934</v>
      </c>
      <c r="CA130" s="1">
        <f>[1]节奏总纲!CA130</f>
        <v>67.779184324795935</v>
      </c>
      <c r="CB130" s="1">
        <f>[1]节奏总纲!CB130</f>
        <v>68.263631118638116</v>
      </c>
      <c r="CC130" s="1">
        <f>[1]节奏总纲!CC130</f>
        <v>68.263631118638116</v>
      </c>
    </row>
    <row r="131" spans="6:81" x14ac:dyDescent="0.15">
      <c r="F131" s="1">
        <f>[1]节奏总纲!F131</f>
        <v>129</v>
      </c>
      <c r="G131" s="1">
        <f>[1]节奏总纲!G131</f>
        <v>7642.4062666695281</v>
      </c>
      <c r="N131" s="1">
        <f>[1]节奏总纲!N131</f>
        <v>138</v>
      </c>
      <c r="O131" s="1">
        <f>[1]节奏总纲!O131</f>
        <v>128</v>
      </c>
      <c r="P131" s="1">
        <f>[1]节奏总纲!P131</f>
        <v>7130.5502145218443</v>
      </c>
      <c r="Q131" s="1">
        <f>[1]节奏总纲!Q131</f>
        <v>6036.010756592741</v>
      </c>
      <c r="R131" s="1">
        <f>[1]节奏总纲!R131</f>
        <v>4805.9908445877236</v>
      </c>
      <c r="S131" s="1">
        <f>[1]节奏总纲!S131</f>
        <v>3419.0988278632244</v>
      </c>
      <c r="T131" s="1">
        <f>[1]节奏总纲!T131</f>
        <v>1838.9689003251838</v>
      </c>
      <c r="V131" s="1">
        <f>[1]节奏总纲!V131</f>
        <v>128</v>
      </c>
      <c r="W131" s="1">
        <f>[1]节奏总纲!W131</f>
        <v>477.57858357157329</v>
      </c>
      <c r="X131" s="1">
        <f>[1]节奏总纲!X131</f>
        <v>377.65838446953512</v>
      </c>
      <c r="Y131" s="1">
        <f>[1]节奏总纲!Y131</f>
        <v>297.2719702927252</v>
      </c>
      <c r="Z131" s="1">
        <f>[1]节奏总纲!Z131</f>
        <v>215.69298756066883</v>
      </c>
      <c r="AA131" s="1">
        <f>[1]节奏总纲!AA131</f>
        <v>119.17573372453876</v>
      </c>
      <c r="AC131" s="1">
        <f>[1]节奏总纲!AC131</f>
        <v>128</v>
      </c>
      <c r="AD131" s="1">
        <f>[1]节奏总纲!AD131</f>
        <v>70.108849423225877</v>
      </c>
      <c r="AE131" s="1">
        <f>[1]节奏总纲!AE131</f>
        <v>72.160540850040434</v>
      </c>
      <c r="AF131" s="1">
        <f>[1]节奏总纲!AF131</f>
        <v>75.067682921736733</v>
      </c>
      <c r="AG131" s="1">
        <f>[1]节奏总纲!AG131</f>
        <v>79.577107263351294</v>
      </c>
      <c r="AH131" s="1">
        <f>[1]节奏总纲!AH131</f>
        <v>88.6475303222837</v>
      </c>
      <c r="AZ131" s="1">
        <f>[1]节奏总纲!AZ131</f>
        <v>128</v>
      </c>
      <c r="BA131" s="1">
        <f>[1]节奏总纲!BA131</f>
        <v>39.68255784806157</v>
      </c>
      <c r="BB131" s="1">
        <f>[1]节奏总纲!BB131</f>
        <v>41.188041754455355</v>
      </c>
      <c r="BC131" s="1">
        <f>[1]节奏总纲!BC131</f>
        <v>43.130035198268104</v>
      </c>
      <c r="BD131" s="1">
        <f>[1]节奏总纲!BD131</f>
        <v>45.869242601500943</v>
      </c>
      <c r="BE131" s="1">
        <f>[1]节奏总纲!BE131</f>
        <v>50.554158626283517</v>
      </c>
      <c r="BI131" s="1">
        <f>[1]节奏总纲!BI131</f>
        <v>128</v>
      </c>
      <c r="BJ131" s="1">
        <f>[1]节奏总纲!BJ131</f>
        <v>3.4999999999999978</v>
      </c>
      <c r="BK131" s="1">
        <f>[1]节奏总纲!BK131</f>
        <v>3.5699999999999976</v>
      </c>
      <c r="BL131" s="1">
        <f>[1]节奏总纲!BL131</f>
        <v>3.7099999999999977</v>
      </c>
      <c r="BM131" s="1">
        <f>[1]节奏总纲!BM131</f>
        <v>3.9899999999999971</v>
      </c>
      <c r="BN131" s="1">
        <f>[1]节奏总纲!BN131</f>
        <v>4.8999999999999968</v>
      </c>
      <c r="BW131" s="1">
        <f>[1]节奏总纲!BW131</f>
        <v>128</v>
      </c>
      <c r="BX131" s="1">
        <f>[1]节奏总纲!BX131</f>
        <v>66.996909432729709</v>
      </c>
      <c r="BY131" s="1">
        <f>[1]节奏总纲!BY131</f>
        <v>67.366421618366019</v>
      </c>
      <c r="BZ131" s="1">
        <f>[1]节奏总纲!BZ131</f>
        <v>67.780493532013153</v>
      </c>
      <c r="CA131" s="1">
        <f>[1]节奏总纲!CA131</f>
        <v>68.224205790273416</v>
      </c>
      <c r="CB131" s="1">
        <f>[1]节奏总纲!CB131</f>
        <v>68.722305062357819</v>
      </c>
      <c r="CC131" s="1">
        <f>[1]节奏总纲!CC131</f>
        <v>68.722305062357819</v>
      </c>
    </row>
    <row r="132" spans="6:81" x14ac:dyDescent="0.15">
      <c r="F132" s="1">
        <f>[1]节奏总纲!F132</f>
        <v>130</v>
      </c>
      <c r="G132" s="1">
        <f>[1]节奏总纲!G132</f>
        <v>8191</v>
      </c>
      <c r="N132" s="1">
        <f>[1]节奏总纲!N132</f>
        <v>139</v>
      </c>
      <c r="O132" s="1">
        <f>[1]节奏总纲!O132</f>
        <v>129</v>
      </c>
      <c r="P132" s="1">
        <f>[1]节奏总纲!P132</f>
        <v>7642.4062666695281</v>
      </c>
      <c r="Q132" s="1">
        <f>[1]节奏总纲!Q132</f>
        <v>6469.2969047357556</v>
      </c>
      <c r="R132" s="1">
        <f>[1]节奏总纲!R132</f>
        <v>5159.388470628599</v>
      </c>
      <c r="S132" s="1">
        <f>[1]节奏总纲!S132</f>
        <v>3676.7616548947103</v>
      </c>
      <c r="T132" s="1">
        <f>[1]节奏总纲!T132</f>
        <v>1975.5620199340731</v>
      </c>
      <c r="V132" s="1">
        <f>[1]节奏总纲!V132</f>
        <v>129</v>
      </c>
      <c r="W132" s="1">
        <f>[1]节奏总纲!W132</f>
        <v>511.85605214768384</v>
      </c>
      <c r="X132" s="1">
        <f>[1]节奏总纲!X132</f>
        <v>433.28614814301454</v>
      </c>
      <c r="Y132" s="1">
        <f>[1]节奏总纲!Y132</f>
        <v>353.39762604087537</v>
      </c>
      <c r="Z132" s="1">
        <f>[1]节奏总纲!Z132</f>
        <v>257.6628270314859</v>
      </c>
      <c r="AA132" s="1">
        <f>[1]节奏总纲!AA132</f>
        <v>136.59311960888931</v>
      </c>
      <c r="AC132" s="1">
        <f>[1]节奏总纲!AC132</f>
        <v>129</v>
      </c>
      <c r="AD132" s="1">
        <f>[1]节奏总纲!AD132</f>
        <v>70.217698846451768</v>
      </c>
      <c r="AE132" s="1">
        <f>[1]节奏总纲!AE132</f>
        <v>72.273736648140314</v>
      </c>
      <c r="AF132" s="1">
        <f>[1]节奏总纲!AF132</f>
        <v>75.177145912126889</v>
      </c>
      <c r="AG132" s="1">
        <f>[1]节奏总纲!AG132</f>
        <v>79.69523372610233</v>
      </c>
      <c r="AH132" s="1">
        <f>[1]节奏总纲!AH132</f>
        <v>88.782095026222549</v>
      </c>
      <c r="AZ132" s="1">
        <f>[1]节奏总纲!AZ132</f>
        <v>129</v>
      </c>
      <c r="BA132" s="1">
        <f>[1]节奏总纲!BA132</f>
        <v>39.736590554774494</v>
      </c>
      <c r="BB132" s="1">
        <f>[1]节奏总纲!BB132</f>
        <v>41.238324523320038</v>
      </c>
      <c r="BC132" s="1">
        <f>[1]节奏总纲!BC132</f>
        <v>43.179964142847631</v>
      </c>
      <c r="BD132" s="1">
        <f>[1]节奏总纲!BD132</f>
        <v>45.925034809556202</v>
      </c>
      <c r="BE132" s="1">
        <f>[1]节奏总纲!BE132</f>
        <v>50.607674669381879</v>
      </c>
      <c r="BI132" s="1">
        <f>[1]节奏总纲!BI132</f>
        <v>129</v>
      </c>
      <c r="BJ132" s="1">
        <f>[1]节奏总纲!BJ132</f>
        <v>3.4999999999999978</v>
      </c>
      <c r="BK132" s="1">
        <f>[1]节奏总纲!BK132</f>
        <v>3.5699999999999976</v>
      </c>
      <c r="BL132" s="1">
        <f>[1]节奏总纲!BL132</f>
        <v>3.7099999999999977</v>
      </c>
      <c r="BM132" s="1">
        <f>[1]节奏总纲!BM132</f>
        <v>3.9899999999999971</v>
      </c>
      <c r="BN132" s="1">
        <f>[1]节奏总纲!BN132</f>
        <v>4.8999999999999968</v>
      </c>
      <c r="BW132" s="1">
        <f>[1]节奏总纲!BW132</f>
        <v>129</v>
      </c>
      <c r="BX132" s="1">
        <f>[1]节奏总纲!BX132</f>
        <v>67.453153062113969</v>
      </c>
      <c r="BY132" s="1">
        <f>[1]节奏总纲!BY132</f>
        <v>67.848740705467691</v>
      </c>
      <c r="BZ132" s="1">
        <f>[1]节奏总纲!BZ132</f>
        <v>68.263642627369293</v>
      </c>
      <c r="CA132" s="1">
        <f>[1]节奏总纲!CA132</f>
        <v>68.720041734936714</v>
      </c>
      <c r="CB132" s="1">
        <f>[1]节奏总纲!CB132</f>
        <v>69.214384865866279</v>
      </c>
      <c r="CC132" s="1">
        <f>[1]节奏总纲!CC132</f>
        <v>69.214384865866279</v>
      </c>
    </row>
    <row r="133" spans="6:81" x14ac:dyDescent="0.15">
      <c r="F133" s="1">
        <f>[1]节奏总纲!F133</f>
        <v>131</v>
      </c>
      <c r="G133" s="1">
        <f>[1]节奏总纲!G133</f>
        <v>8778.9682050973151</v>
      </c>
      <c r="N133" s="1">
        <f>[1]节奏总纲!N133</f>
        <v>140</v>
      </c>
      <c r="O133" s="1">
        <f>[1]节奏总纲!O133</f>
        <v>130</v>
      </c>
      <c r="P133" s="1">
        <f>[1]节奏总纲!P133</f>
        <v>8191</v>
      </c>
      <c r="Q133" s="1">
        <f>[1]节奏总纲!Q133</f>
        <v>6941.8725000000004</v>
      </c>
      <c r="R133" s="1">
        <f>[1]节奏总纲!R133</f>
        <v>5542.0306</v>
      </c>
      <c r="S133" s="1">
        <f>[1]节奏总纲!S133</f>
        <v>3951.3384000000001</v>
      </c>
      <c r="T133" s="1">
        <f>[1]节奏总纲!T133</f>
        <v>2124.7454000000002</v>
      </c>
      <c r="V133" s="1">
        <f>[1]节奏总纲!V133</f>
        <v>130</v>
      </c>
      <c r="W133" s="1">
        <f>[1]节奏总纲!W133</f>
        <v>548.59373333047188</v>
      </c>
      <c r="X133" s="1">
        <f>[1]节奏总纲!X133</f>
        <v>472.57559526424484</v>
      </c>
      <c r="Y133" s="1">
        <f>[1]节奏总纲!Y133</f>
        <v>382.6421293714011</v>
      </c>
      <c r="Z133" s="1">
        <f>[1]节奏总纲!Z133</f>
        <v>274.57674510528977</v>
      </c>
      <c r="AA133" s="1">
        <f>[1]节奏总纲!AA133</f>
        <v>149.18338006592717</v>
      </c>
      <c r="AC133" s="1">
        <f>[1]节奏总纲!AC133</f>
        <v>130</v>
      </c>
      <c r="AD133" s="1">
        <f>[1]节奏总纲!AD133</f>
        <v>70.326548269677644</v>
      </c>
      <c r="AE133" s="1">
        <f>[1]节奏总纲!AE133</f>
        <v>72.386932446240195</v>
      </c>
      <c r="AF133" s="1">
        <f>[1]节奏总纲!AF133</f>
        <v>75.286608902517045</v>
      </c>
      <c r="AG133" s="1">
        <f>[1]节奏总纲!AG133</f>
        <v>79.813360188853366</v>
      </c>
      <c r="AH133" s="1">
        <f>[1]节奏总纲!AH133</f>
        <v>88.916659730161399</v>
      </c>
      <c r="AZ133" s="1">
        <f>[1]节奏总纲!AZ133</f>
        <v>130</v>
      </c>
      <c r="BA133" s="1">
        <f>[1]节奏总纲!BA133</f>
        <v>39.790623261487418</v>
      </c>
      <c r="BB133" s="1">
        <f>[1]节奏总纲!BB133</f>
        <v>41.288607292184714</v>
      </c>
      <c r="BC133" s="1">
        <f>[1]节奏总纲!BC133</f>
        <v>43.229893087427158</v>
      </c>
      <c r="BD133" s="1">
        <f>[1]节奏总纲!BD133</f>
        <v>45.98082701761146</v>
      </c>
      <c r="BE133" s="1">
        <f>[1]节奏总纲!BE133</f>
        <v>50.661190712480241</v>
      </c>
      <c r="BI133" s="1">
        <f>[1]节奏总纲!BI133</f>
        <v>130</v>
      </c>
      <c r="BJ133" s="1">
        <f>[1]节奏总纲!BJ133</f>
        <v>3.4999999999999978</v>
      </c>
      <c r="BK133" s="1">
        <f>[1]节奏总纲!BK133</f>
        <v>3.5699999999999976</v>
      </c>
      <c r="BL133" s="1">
        <f>[1]节奏总纲!BL133</f>
        <v>3.7099999999999977</v>
      </c>
      <c r="BM133" s="1">
        <f>[1]节奏总纲!BM133</f>
        <v>3.9899999999999971</v>
      </c>
      <c r="BN133" s="1">
        <f>[1]节奏总纲!BN133</f>
        <v>4.8999999999999968</v>
      </c>
      <c r="BW133" s="1">
        <f>[1]节奏总纲!BW133</f>
        <v>130</v>
      </c>
      <c r="BX133" s="1">
        <f>[1]节奏总纲!BX133</f>
        <v>67.941693450092984</v>
      </c>
      <c r="BY133" s="1">
        <f>[1]节奏总纲!BY133</f>
        <v>68.323959633193709</v>
      </c>
      <c r="BZ133" s="1">
        <f>[1]节奏总纲!BZ133</f>
        <v>68.754536673852911</v>
      </c>
      <c r="CA133" s="1">
        <f>[1]节奏总纲!CA133</f>
        <v>69.214741439167099</v>
      </c>
      <c r="CB133" s="1">
        <f>[1]节奏总纲!CB133</f>
        <v>69.710697401213693</v>
      </c>
      <c r="CC133" s="1">
        <f>[1]节奏总纲!CC133</f>
        <v>69.710697401213693</v>
      </c>
    </row>
    <row r="134" spans="6:81" x14ac:dyDescent="0.15">
      <c r="F134" s="1">
        <f>[1]节奏总纲!F134</f>
        <v>132</v>
      </c>
      <c r="G134" s="1">
        <f>[1]节奏总纲!G134</f>
        <v>9409.1369241357042</v>
      </c>
      <c r="N134" s="1">
        <f>[1]节奏总纲!N134</f>
        <v>141</v>
      </c>
      <c r="O134" s="1">
        <f>[1]节奏总纲!O134</f>
        <v>131</v>
      </c>
      <c r="P134" s="1">
        <f>[1]节奏总纲!P134</f>
        <v>8778.9682050973151</v>
      </c>
      <c r="Q134" s="1">
        <f>[1]节奏总纲!Q134</f>
        <v>7443.6871411020138</v>
      </c>
      <c r="R134" s="1">
        <f>[1]节奏总纲!R134</f>
        <v>5945.117268491902</v>
      </c>
      <c r="S134" s="1">
        <f>[1]节奏总纲!S134</f>
        <v>4244.6311271645518</v>
      </c>
      <c r="T134" s="1">
        <f>[1]节奏总纲!T134</f>
        <v>2275.5085587612239</v>
      </c>
      <c r="V134" s="1">
        <f>[1]节奏总纲!V134</f>
        <v>131</v>
      </c>
      <c r="W134" s="1">
        <f>[1]节奏总纲!W134</f>
        <v>587.96820509731515</v>
      </c>
      <c r="X134" s="1">
        <f>[1]节奏总纲!X134</f>
        <v>501.81464110201341</v>
      </c>
      <c r="Y134" s="1">
        <f>[1]节奏总纲!Y134</f>
        <v>403.08666849190195</v>
      </c>
      <c r="Z134" s="1">
        <f>[1]节奏总纲!Z134</f>
        <v>293.29272716455171</v>
      </c>
      <c r="AA134" s="1">
        <f>[1]节奏总纲!AA134</f>
        <v>150.76315876122362</v>
      </c>
      <c r="AC134" s="1">
        <f>[1]节奏总纲!AC134</f>
        <v>131</v>
      </c>
      <c r="AD134" s="1">
        <f>[1]节奏总纲!AD134</f>
        <v>70.435397692903535</v>
      </c>
      <c r="AE134" s="1">
        <f>[1]节奏总纲!AE134</f>
        <v>72.50012824434009</v>
      </c>
      <c r="AF134" s="1">
        <f>[1]节奏总纲!AF134</f>
        <v>75.396071892907202</v>
      </c>
      <c r="AG134" s="1">
        <f>[1]节奏总纲!AG134</f>
        <v>79.931486651604402</v>
      </c>
      <c r="AH134" s="1">
        <f>[1]节奏总纲!AH134</f>
        <v>89.048420729369383</v>
      </c>
      <c r="AZ134" s="1">
        <f>[1]节奏总纲!AZ134</f>
        <v>131</v>
      </c>
      <c r="BA134" s="1">
        <f>[1]节奏总纲!BA134</f>
        <v>39.844655968200342</v>
      </c>
      <c r="BB134" s="1">
        <f>[1]节奏总纲!BB134</f>
        <v>41.338890061049398</v>
      </c>
      <c r="BC134" s="1">
        <f>[1]节奏总纲!BC134</f>
        <v>43.279822032006692</v>
      </c>
      <c r="BD134" s="1">
        <f>[1]节奏总纲!BD134</f>
        <v>46.031609894814238</v>
      </c>
      <c r="BE134" s="1">
        <f>[1]节奏总纲!BE134</f>
        <v>50.714706755578604</v>
      </c>
      <c r="BI134" s="1">
        <f>[1]节奏总纲!BI134</f>
        <v>131</v>
      </c>
      <c r="BJ134" s="1">
        <f>[1]节奏总纲!BJ134</f>
        <v>3.4999999999999978</v>
      </c>
      <c r="BK134" s="1">
        <f>[1]节奏总纲!BK134</f>
        <v>3.5699999999999976</v>
      </c>
      <c r="BL134" s="1">
        <f>[1]节奏总纲!BL134</f>
        <v>3.7099999999999977</v>
      </c>
      <c r="BM134" s="1">
        <f>[1]节奏总纲!BM134</f>
        <v>3.9899999999999971</v>
      </c>
      <c r="BN134" s="1">
        <f>[1]节奏总纲!BN134</f>
        <v>4.8999999999999968</v>
      </c>
      <c r="BW134" s="1">
        <f>[1]节奏总纲!BW134</f>
        <v>131</v>
      </c>
      <c r="BX134" s="1">
        <f>[1]节奏总纲!BX134</f>
        <v>68.402186838509962</v>
      </c>
      <c r="BY134" s="1">
        <f>[1]节奏总纲!BY134</f>
        <v>68.806795553848815</v>
      </c>
      <c r="BZ134" s="1">
        <f>[1]节奏总纲!BZ134</f>
        <v>69.234824229174819</v>
      </c>
      <c r="CA134" s="1">
        <f>[1]节奏总纲!CA134</f>
        <v>69.702613670489626</v>
      </c>
      <c r="CB134" s="1">
        <f>[1]节奏总纲!CB134</f>
        <v>70.183493178644127</v>
      </c>
      <c r="CC134" s="1">
        <f>[1]节奏总纲!CC134</f>
        <v>70.183493178644127</v>
      </c>
    </row>
    <row r="135" spans="6:81" x14ac:dyDescent="0.15">
      <c r="F135" s="1">
        <f>[1]节奏总纲!F135</f>
        <v>133</v>
      </c>
      <c r="G135" s="1">
        <f>[1]节奏总纲!G135</f>
        <v>10084.535034121556</v>
      </c>
      <c r="N135" s="1">
        <f>[1]节奏总纲!N135</f>
        <v>142</v>
      </c>
      <c r="O135" s="1">
        <f>[1]节奏总纲!O135</f>
        <v>132</v>
      </c>
      <c r="P135" s="1">
        <f>[1]节奏总纲!P135</f>
        <v>9409.1369241357042</v>
      </c>
      <c r="Q135" s="1">
        <f>[1]节奏总纲!Q135</f>
        <v>7983.6526801291457</v>
      </c>
      <c r="R135" s="1">
        <f>[1]节奏总纲!R135</f>
        <v>6385.9812304109018</v>
      </c>
      <c r="S135" s="1">
        <f>[1]节奏总纲!S135</f>
        <v>4544.6131343575453</v>
      </c>
      <c r="T135" s="1">
        <f>[1]节奏总纲!T135</f>
        <v>2431.3209811966663</v>
      </c>
      <c r="V135" s="1">
        <f>[1]节奏总纲!V135</f>
        <v>132</v>
      </c>
      <c r="W135" s="1">
        <f>[1]节奏总纲!W135</f>
        <v>630.1687190383891</v>
      </c>
      <c r="X135" s="1">
        <f>[1]节奏总纲!X135</f>
        <v>539.96553902713185</v>
      </c>
      <c r="Y135" s="1">
        <f>[1]节奏总纲!Y135</f>
        <v>440.86396191899985</v>
      </c>
      <c r="Z135" s="1">
        <f>[1]节奏总纲!Z135</f>
        <v>299.98200719299348</v>
      </c>
      <c r="AA135" s="1">
        <f>[1]节奏总纲!AA135</f>
        <v>155.81242243544239</v>
      </c>
      <c r="AC135" s="1">
        <f>[1]节奏总纲!AC135</f>
        <v>132</v>
      </c>
      <c r="AD135" s="1">
        <f>[1]节奏总纲!AD135</f>
        <v>70.544247116129412</v>
      </c>
      <c r="AE135" s="1">
        <f>[1]节奏总纲!AE135</f>
        <v>72.61332404243997</v>
      </c>
      <c r="AF135" s="1">
        <f>[1]节奏总纲!AF135</f>
        <v>75.505534883297358</v>
      </c>
      <c r="AG135" s="1">
        <f>[1]节奏总纲!AG135</f>
        <v>80.045750258986601</v>
      </c>
      <c r="AH135" s="1">
        <f>[1]节奏总纲!AH135</f>
        <v>89.175620204122851</v>
      </c>
      <c r="AZ135" s="1">
        <f>[1]节奏总纲!AZ135</f>
        <v>132</v>
      </c>
      <c r="BA135" s="1">
        <f>[1]节奏总纲!BA135</f>
        <v>39.898688674913267</v>
      </c>
      <c r="BB135" s="1">
        <f>[1]节奏总纲!BB135</f>
        <v>41.389172829914081</v>
      </c>
      <c r="BC135" s="1">
        <f>[1]节奏总纲!BC135</f>
        <v>43.329750976586219</v>
      </c>
      <c r="BD135" s="1">
        <f>[1]节奏总纲!BD135</f>
        <v>46.079770001861057</v>
      </c>
      <c r="BE135" s="1">
        <f>[1]节奏总纲!BE135</f>
        <v>50.768222798676959</v>
      </c>
      <c r="BI135" s="1">
        <f>[1]节奏总纲!BI135</f>
        <v>132</v>
      </c>
      <c r="BJ135" s="1">
        <f>[1]节奏总纲!BJ135</f>
        <v>3.4999999999999978</v>
      </c>
      <c r="BK135" s="1">
        <f>[1]节奏总纲!BK135</f>
        <v>3.5699999999999976</v>
      </c>
      <c r="BL135" s="1">
        <f>[1]节奏总纲!BL135</f>
        <v>3.7099999999999977</v>
      </c>
      <c r="BM135" s="1">
        <f>[1]节奏总纲!BM135</f>
        <v>3.9899999999999971</v>
      </c>
      <c r="BN135" s="1">
        <f>[1]节奏总纲!BN135</f>
        <v>4.8999999999999968</v>
      </c>
      <c r="BW135" s="1">
        <f>[1]节奏总纲!BW135</f>
        <v>132</v>
      </c>
      <c r="BX135" s="1">
        <f>[1]节奏总纲!BX135</f>
        <v>68.887255337837544</v>
      </c>
      <c r="BY135" s="1">
        <f>[1]节奏总纲!BY135</f>
        <v>69.282090336127212</v>
      </c>
      <c r="BZ135" s="1">
        <f>[1]节奏总纲!BZ135</f>
        <v>69.723722100118692</v>
      </c>
      <c r="CA135" s="1">
        <f>[1]节奏总纲!CA135</f>
        <v>70.174284544754997</v>
      </c>
      <c r="CB135" s="1">
        <f>[1]节奏总纲!CB135</f>
        <v>70.631595403974814</v>
      </c>
      <c r="CC135" s="1">
        <f>[1]节奏总纲!CC135</f>
        <v>70.631595403974814</v>
      </c>
    </row>
    <row r="136" spans="6:81" x14ac:dyDescent="0.15">
      <c r="F136" s="1">
        <f>[1]节奏总纲!F136</f>
        <v>134</v>
      </c>
      <c r="G136" s="1">
        <f>[1]节奏总纲!G136</f>
        <v>10808.408805051544</v>
      </c>
      <c r="N136" s="1">
        <f>[1]节奏总纲!N136</f>
        <v>143</v>
      </c>
      <c r="O136" s="1">
        <f>[1]节奏总纲!O136</f>
        <v>133</v>
      </c>
      <c r="P136" s="1">
        <f>[1]节奏总纲!P136</f>
        <v>10084.535034121556</v>
      </c>
      <c r="Q136" s="1">
        <f>[1]节奏总纲!Q136</f>
        <v>8562.7786974726132</v>
      </c>
      <c r="R136" s="1">
        <f>[1]节奏总纲!R136</f>
        <v>6827.2302181002942</v>
      </c>
      <c r="S136" s="1">
        <f>[1]节奏总纲!S136</f>
        <v>4847.6359909022322</v>
      </c>
      <c r="T136" s="1">
        <f>[1]节奏总纲!T136</f>
        <v>2595.759317782889</v>
      </c>
      <c r="V136" s="1">
        <f>[1]节奏总纲!V136</f>
        <v>133</v>
      </c>
      <c r="W136" s="1">
        <f>[1]节奏总纲!W136</f>
        <v>675.39810998585199</v>
      </c>
      <c r="X136" s="1">
        <f>[1]节奏总纲!X136</f>
        <v>579.12601734346754</v>
      </c>
      <c r="Y136" s="1">
        <f>[1]节奏总纲!Y136</f>
        <v>441.24898768939238</v>
      </c>
      <c r="Z136" s="1">
        <f>[1]节奏总纲!Z136</f>
        <v>303.02285654468687</v>
      </c>
      <c r="AA136" s="1">
        <f>[1]节奏总纲!AA136</f>
        <v>164.4383365862227</v>
      </c>
      <c r="AC136" s="1">
        <f>[1]节奏总纲!AC136</f>
        <v>133</v>
      </c>
      <c r="AD136" s="1">
        <f>[1]节奏总纲!AD136</f>
        <v>70.653096539355303</v>
      </c>
      <c r="AE136" s="1">
        <f>[1]节奏总纲!AE136</f>
        <v>72.726519840539851</v>
      </c>
      <c r="AF136" s="1">
        <f>[1]节奏总纲!AF136</f>
        <v>75.614997873687514</v>
      </c>
      <c r="AG136" s="1">
        <f>[1]节奏总纲!AG136</f>
        <v>80.154679447049915</v>
      </c>
      <c r="AH136" s="1">
        <f>[1]节奏总纲!AH136</f>
        <v>89.302819678876304</v>
      </c>
      <c r="AZ136" s="1">
        <f>[1]节奏总纲!AZ136</f>
        <v>133</v>
      </c>
      <c r="BA136" s="1">
        <f>[1]节奏总纲!BA136</f>
        <v>39.952721381626191</v>
      </c>
      <c r="BB136" s="1">
        <f>[1]节奏总纲!BB136</f>
        <v>41.439455598778757</v>
      </c>
      <c r="BC136" s="1">
        <f>[1]节奏总纲!BC136</f>
        <v>43.379679921165753</v>
      </c>
      <c r="BD136" s="1">
        <f>[1]节奏总纲!BD136</f>
        <v>46.127930108907876</v>
      </c>
      <c r="BE136" s="1">
        <f>[1]节奏总纲!BE136</f>
        <v>50.821738841775321</v>
      </c>
      <c r="BI136" s="1">
        <f>[1]节奏总纲!BI136</f>
        <v>133</v>
      </c>
      <c r="BJ136" s="1">
        <f>[1]节奏总纲!BJ136</f>
        <v>3.4999999999999978</v>
      </c>
      <c r="BK136" s="1">
        <f>[1]节奏总纲!BK136</f>
        <v>3.5699999999999976</v>
      </c>
      <c r="BL136" s="1">
        <f>[1]节奏总纲!BL136</f>
        <v>3.7099999999999977</v>
      </c>
      <c r="BM136" s="1">
        <f>[1]节奏总纲!BM136</f>
        <v>3.9899999999999971</v>
      </c>
      <c r="BN136" s="1">
        <f>[1]节奏总纲!BN136</f>
        <v>4.8999999999999968</v>
      </c>
      <c r="BW136" s="1">
        <f>[1]节奏总纲!BW136</f>
        <v>133</v>
      </c>
      <c r="BX136" s="1">
        <f>[1]节奏总纲!BX136</f>
        <v>69.351933936401693</v>
      </c>
      <c r="BY136" s="1">
        <f>[1]节奏总纲!BY136</f>
        <v>69.763758437872809</v>
      </c>
      <c r="BZ136" s="1">
        <f>[1]节奏总纲!BZ136</f>
        <v>70.18416857784301</v>
      </c>
      <c r="CA136" s="1">
        <f>[1]节奏总纲!CA136</f>
        <v>70.61001750564904</v>
      </c>
      <c r="CB136" s="1">
        <f>[1]节奏总纲!CB136</f>
        <v>71.090343829912982</v>
      </c>
      <c r="CC136" s="1">
        <f>[1]节奏总纲!CC136</f>
        <v>71.090343829912982</v>
      </c>
    </row>
    <row r="137" spans="6:81" x14ac:dyDescent="0.15">
      <c r="F137" s="1">
        <f>[1]节奏总纲!F137</f>
        <v>135</v>
      </c>
      <c r="G137" s="1">
        <f>[1]节奏总纲!G137</f>
        <v>11584.237502960397</v>
      </c>
      <c r="N137" s="1">
        <f>[1]节奏总纲!N137</f>
        <v>144</v>
      </c>
      <c r="O137" s="1">
        <f>[1]节奏总纲!O137</f>
        <v>134</v>
      </c>
      <c r="P137" s="1">
        <f>[1]节奏总纲!P137</f>
        <v>10808.408805051544</v>
      </c>
      <c r="Q137" s="1">
        <f>[1]节奏总纲!Q137</f>
        <v>9151.4797352371424</v>
      </c>
      <c r="R137" s="1">
        <f>[1]节奏总纲!R137</f>
        <v>7283.7866937242361</v>
      </c>
      <c r="S137" s="1">
        <f>[1]节奏总纲!S137</f>
        <v>5175.0661358586794</v>
      </c>
      <c r="T137" s="1">
        <f>[1]节奏总纲!T137</f>
        <v>2775.5993811372364</v>
      </c>
      <c r="V137" s="1">
        <f>[1]节奏总纲!V137</f>
        <v>134</v>
      </c>
      <c r="W137" s="1">
        <f>[1]节奏总纲!W137</f>
        <v>723.87377092998759</v>
      </c>
      <c r="X137" s="1">
        <f>[1]节奏总纲!X137</f>
        <v>588.70103776452925</v>
      </c>
      <c r="Y137" s="1">
        <f>[1]节奏总纲!Y137</f>
        <v>456.55647562394188</v>
      </c>
      <c r="Z137" s="1">
        <f>[1]节奏总纲!Z137</f>
        <v>327.43014495644729</v>
      </c>
      <c r="AA137" s="1">
        <f>[1]节奏总纲!AA137</f>
        <v>179.84006335434742</v>
      </c>
      <c r="AC137" s="1">
        <f>[1]节奏总纲!AC137</f>
        <v>134</v>
      </c>
      <c r="AD137" s="1">
        <f>[1]节奏总纲!AD137</f>
        <v>70.76194596258118</v>
      </c>
      <c r="AE137" s="1">
        <f>[1]节奏总纲!AE137</f>
        <v>72.839715638639731</v>
      </c>
      <c r="AF137" s="1">
        <f>[1]节奏总纲!AF137</f>
        <v>75.72446086407767</v>
      </c>
      <c r="AG137" s="1">
        <f>[1]节奏总纲!AG137</f>
        <v>80.263608635113243</v>
      </c>
      <c r="AH137" s="1">
        <f>[1]节奏总纲!AH137</f>
        <v>89.430019153629758</v>
      </c>
      <c r="AZ137" s="1">
        <f>[1]节奏总纲!AZ137</f>
        <v>134</v>
      </c>
      <c r="BA137" s="1">
        <f>[1]节奏总纲!BA137</f>
        <v>40.005827399112476</v>
      </c>
      <c r="BB137" s="1">
        <f>[1]节奏总纲!BB137</f>
        <v>41.48973836764344</v>
      </c>
      <c r="BC137" s="1">
        <f>[1]节奏总纲!BC137</f>
        <v>43.42960886574528</v>
      </c>
      <c r="BD137" s="1">
        <f>[1]节奏总纲!BD137</f>
        <v>46.176090215954694</v>
      </c>
      <c r="BE137" s="1">
        <f>[1]节奏总纲!BE137</f>
        <v>50.875254884873684</v>
      </c>
      <c r="BI137" s="1">
        <f>[1]节奏总纲!BI137</f>
        <v>134</v>
      </c>
      <c r="BJ137" s="1">
        <f>[1]节奏总纲!BJ137</f>
        <v>3.4999999999999978</v>
      </c>
      <c r="BK137" s="1">
        <f>[1]节奏总纲!BK137</f>
        <v>3.5699999999999976</v>
      </c>
      <c r="BL137" s="1">
        <f>[1]节奏总纲!BL137</f>
        <v>3.7099999999999977</v>
      </c>
      <c r="BM137" s="1">
        <f>[1]节奏总纲!BM137</f>
        <v>3.9899999999999971</v>
      </c>
      <c r="BN137" s="1">
        <f>[1]节奏总纲!BN137</f>
        <v>4.8999999999999968</v>
      </c>
      <c r="BW137" s="1">
        <f>[1]节奏总纲!BW137</f>
        <v>134</v>
      </c>
      <c r="BX137" s="1">
        <f>[1]节奏总纲!BX137</f>
        <v>69.833579581329417</v>
      </c>
      <c r="BY137" s="1">
        <f>[1]节奏总纲!BY137</f>
        <v>70.219043358665743</v>
      </c>
      <c r="BZ137" s="1">
        <f>[1]节奏总纲!BZ137</f>
        <v>70.621840083786836</v>
      </c>
      <c r="CA137" s="1">
        <f>[1]节奏总纲!CA137</f>
        <v>71.069891702784773</v>
      </c>
      <c r="CB137" s="1">
        <f>[1]节奏总纲!CB137</f>
        <v>71.537462736334334</v>
      </c>
      <c r="CC137" s="1">
        <f>[1]节奏总纲!CC137</f>
        <v>71.537462736334334</v>
      </c>
    </row>
    <row r="138" spans="6:81" x14ac:dyDescent="0.15">
      <c r="F138" s="1">
        <f>[1]节奏总纲!F138</f>
        <v>136</v>
      </c>
      <c r="G138" s="1">
        <f>[1]节奏总纲!G138</f>
        <v>12415.750112853173</v>
      </c>
      <c r="N138" s="1">
        <f>[1]节奏总纲!N138</f>
        <v>145</v>
      </c>
      <c r="O138" s="1">
        <f>[1]节奏总纲!O138</f>
        <v>135</v>
      </c>
      <c r="P138" s="1">
        <f>[1]节奏总纲!P138</f>
        <v>11584.237502960397</v>
      </c>
      <c r="Q138" s="1">
        <f>[1]节奏总纲!Q138</f>
        <v>9796.789656253608</v>
      </c>
      <c r="R138" s="1">
        <f>[1]节奏总纲!R138</f>
        <v>7796.1918394923478</v>
      </c>
      <c r="S138" s="1">
        <f>[1]节奏总纲!S138</f>
        <v>5548.8497639180305</v>
      </c>
      <c r="T138" s="1">
        <f>[1]节奏总纲!T138</f>
        <v>2979.465885761414</v>
      </c>
      <c r="V138" s="1">
        <f>[1]节奏总纲!V138</f>
        <v>135</v>
      </c>
      <c r="W138" s="1">
        <f>[1]节奏总纲!W138</f>
        <v>775.82869790885343</v>
      </c>
      <c r="X138" s="1">
        <f>[1]节奏总纲!X138</f>
        <v>645.30992101646552</v>
      </c>
      <c r="Y138" s="1">
        <f>[1]节奏总纲!Y138</f>
        <v>512.40514576811165</v>
      </c>
      <c r="Z138" s="1">
        <f>[1]节奏总纲!Z138</f>
        <v>373.78362805935103</v>
      </c>
      <c r="AA138" s="1">
        <f>[1]节奏总纲!AA138</f>
        <v>203.86650462417765</v>
      </c>
      <c r="AC138" s="1">
        <f>[1]节奏总纲!AC138</f>
        <v>135</v>
      </c>
      <c r="AD138" s="1">
        <f>[1]节奏总纲!AD138</f>
        <v>70.870795385807057</v>
      </c>
      <c r="AE138" s="1">
        <f>[1]节奏总纲!AE138</f>
        <v>72.952911436739612</v>
      </c>
      <c r="AF138" s="1">
        <f>[1]节奏总纲!AF138</f>
        <v>75.833923854467812</v>
      </c>
      <c r="AG138" s="1">
        <f>[1]节奏总纲!AG138</f>
        <v>80.372537823176572</v>
      </c>
      <c r="AH138" s="1">
        <f>[1]节奏总纲!AH138</f>
        <v>89.557218628383211</v>
      </c>
      <c r="AZ138" s="1">
        <f>[1]节奏总纲!AZ138</f>
        <v>135</v>
      </c>
      <c r="BA138" s="1">
        <f>[1]节奏总纲!BA138</f>
        <v>40.052446592012309</v>
      </c>
      <c r="BB138" s="1">
        <f>[1]节奏总纲!BB138</f>
        <v>41.540021136508116</v>
      </c>
      <c r="BC138" s="1">
        <f>[1]节奏总纲!BC138</f>
        <v>43.479537810324814</v>
      </c>
      <c r="BD138" s="1">
        <f>[1]节奏总纲!BD138</f>
        <v>46.224250323001513</v>
      </c>
      <c r="BE138" s="1">
        <f>[1]节奏总纲!BE138</f>
        <v>50.928770927972039</v>
      </c>
      <c r="BI138" s="1">
        <f>[1]节奏总纲!BI138</f>
        <v>135</v>
      </c>
      <c r="BJ138" s="1">
        <f>[1]节奏总纲!BJ138</f>
        <v>3.4999999999999978</v>
      </c>
      <c r="BK138" s="1">
        <f>[1]节奏总纲!BK138</f>
        <v>3.5699999999999976</v>
      </c>
      <c r="BL138" s="1">
        <f>[1]节奏总纲!BL138</f>
        <v>3.7099999999999977</v>
      </c>
      <c r="BM138" s="1">
        <f>[1]节奏总纲!BM138</f>
        <v>3.9899999999999971</v>
      </c>
      <c r="BN138" s="1">
        <f>[1]节奏总纲!BN138</f>
        <v>4.8999999999999968</v>
      </c>
      <c r="BW138" s="1">
        <f>[1]节奏总纲!BW138</f>
        <v>135</v>
      </c>
      <c r="BX138" s="1">
        <f>[1]节奏总纲!BX138</f>
        <v>70.302380180961919</v>
      </c>
      <c r="BY138" s="1">
        <f>[1]节奏总纲!BY138</f>
        <v>70.68300638407095</v>
      </c>
      <c r="BZ138" s="1">
        <f>[1]节奏总纲!BZ138</f>
        <v>71.09773107342663</v>
      </c>
      <c r="CA138" s="1">
        <f>[1]节奏总纲!CA138</f>
        <v>71.534542692944868</v>
      </c>
      <c r="CB138" s="1">
        <f>[1]节奏总纲!CB138</f>
        <v>72.038312955064598</v>
      </c>
      <c r="CC138" s="1">
        <f>[1]节奏总纲!CC138</f>
        <v>72.038312955064598</v>
      </c>
    </row>
    <row r="139" spans="6:81" x14ac:dyDescent="0.15">
      <c r="F139" s="1">
        <f>[1]节奏总纲!F139</f>
        <v>137</v>
      </c>
      <c r="G139" s="1">
        <f>[1]节奏总纲!G139</f>
        <v>13306.943261900544</v>
      </c>
      <c r="N139" s="1">
        <f>[1]节奏总纲!N139</f>
        <v>146</v>
      </c>
      <c r="O139" s="1">
        <f>[1]节奏总纲!O139</f>
        <v>136</v>
      </c>
      <c r="P139" s="1">
        <f>[1]节奏总纲!P139</f>
        <v>12415.750112853173</v>
      </c>
      <c r="Q139" s="1">
        <f>[1]节奏总纲!Q139</f>
        <v>10507.449320507641</v>
      </c>
      <c r="R139" s="1">
        <f>[1]节奏总纲!R139</f>
        <v>8384.3560512097483</v>
      </c>
      <c r="S139" s="1">
        <f>[1]节奏总纲!S139</f>
        <v>5967.009504237235</v>
      </c>
      <c r="T139" s="1">
        <f>[1]节奏总纲!T139</f>
        <v>3204.5051041274041</v>
      </c>
      <c r="V139" s="1">
        <f>[1]节奏总纲!V139</f>
        <v>136</v>
      </c>
      <c r="W139" s="1">
        <f>[1]节奏总纲!W139</f>
        <v>831.5126098927758</v>
      </c>
      <c r="X139" s="1">
        <f>[1]节奏总纲!X139</f>
        <v>710.65966425403349</v>
      </c>
      <c r="Y139" s="1">
        <f>[1]节奏总纲!Y139</f>
        <v>588.16421171740058</v>
      </c>
      <c r="Z139" s="1">
        <f>[1]节奏总纲!Z139</f>
        <v>418.1597403192045</v>
      </c>
      <c r="AA139" s="1">
        <f>[1]节奏总纲!AA139</f>
        <v>225.03921836599011</v>
      </c>
      <c r="AC139" s="1">
        <f>[1]节奏总纲!AC139</f>
        <v>136</v>
      </c>
      <c r="AD139" s="1">
        <f>[1]节奏总纲!AD139</f>
        <v>70.979644809032948</v>
      </c>
      <c r="AE139" s="1">
        <f>[1]节奏总纲!AE139</f>
        <v>73.059911975288244</v>
      </c>
      <c r="AF139" s="1">
        <f>[1]节奏总纲!AF139</f>
        <v>75.943386844857969</v>
      </c>
      <c r="AG139" s="1">
        <f>[1]节奏总纲!AG139</f>
        <v>80.4814670112399</v>
      </c>
      <c r="AH139" s="1">
        <f>[1]节奏总纲!AH139</f>
        <v>89.684418103136665</v>
      </c>
      <c r="AZ139" s="1">
        <f>[1]节奏总纲!AZ139</f>
        <v>136</v>
      </c>
      <c r="BA139" s="1">
        <f>[1]节奏总纲!BA139</f>
        <v>40.099065784912149</v>
      </c>
      <c r="BB139" s="1">
        <f>[1]节奏总纲!BB139</f>
        <v>41.590303905372799</v>
      </c>
      <c r="BC139" s="1">
        <f>[1]节奏总纲!BC139</f>
        <v>43.529466754904341</v>
      </c>
      <c r="BD139" s="1">
        <f>[1]节奏总纲!BD139</f>
        <v>46.272410430048332</v>
      </c>
      <c r="BE139" s="1">
        <f>[1]节奏总纲!BE139</f>
        <v>50.982286971070401</v>
      </c>
      <c r="BI139" s="1">
        <f>[1]节奏总纲!BI139</f>
        <v>136</v>
      </c>
      <c r="BJ139" s="1">
        <f>[1]节奏总纲!BJ139</f>
        <v>3.4999999999999978</v>
      </c>
      <c r="BK139" s="1">
        <f>[1]节奏总纲!BK139</f>
        <v>3.5699999999999976</v>
      </c>
      <c r="BL139" s="1">
        <f>[1]节奏总纲!BL139</f>
        <v>3.7099999999999977</v>
      </c>
      <c r="BM139" s="1">
        <f>[1]节奏总纲!BM139</f>
        <v>3.9899999999999971</v>
      </c>
      <c r="BN139" s="1">
        <f>[1]节奏总纲!BN139</f>
        <v>4.8999999999999968</v>
      </c>
      <c r="BW139" s="1">
        <f>[1]节奏总纲!BW139</f>
        <v>136</v>
      </c>
      <c r="BX139" s="1">
        <f>[1]节奏总纲!BX139</f>
        <v>70.780650969721208</v>
      </c>
      <c r="BY139" s="1">
        <f>[1]节奏总纲!BY139</f>
        <v>71.167672232752054</v>
      </c>
      <c r="BZ139" s="1">
        <f>[1]节奏总纲!BZ139</f>
        <v>71.585162950829655</v>
      </c>
      <c r="CA139" s="1">
        <f>[1]节奏总纲!CA139</f>
        <v>72.046994133534497</v>
      </c>
      <c r="CB139" s="1">
        <f>[1]节奏总纲!CB139</f>
        <v>72.52201443082113</v>
      </c>
      <c r="CC139" s="1">
        <f>[1]节奏总纲!CC139</f>
        <v>72.52201443082113</v>
      </c>
    </row>
    <row r="140" spans="6:81" x14ac:dyDescent="0.15">
      <c r="F140" s="1">
        <f>[1]节奏总纲!F140</f>
        <v>138</v>
      </c>
      <c r="G140" s="1">
        <f>[1]节奏总纲!G140</f>
        <v>14262.10042904369</v>
      </c>
      <c r="N140" s="1">
        <f>[1]节奏总纲!N140</f>
        <v>147</v>
      </c>
      <c r="O140" s="1">
        <f>[1]节奏总纲!O140</f>
        <v>137</v>
      </c>
      <c r="P140" s="1">
        <f>[1]节奏总纲!P140</f>
        <v>13306.943261900544</v>
      </c>
      <c r="Q140" s="1">
        <f>[1]节奏总纲!Q140</f>
        <v>11274.973025808331</v>
      </c>
      <c r="R140" s="1">
        <f>[1]节奏总纲!R140</f>
        <v>8995.4936450447676</v>
      </c>
      <c r="S140" s="1">
        <f>[1]节奏总纲!S140</f>
        <v>6407.293180605112</v>
      </c>
      <c r="T140" s="1">
        <f>[1]节奏总纲!T140</f>
        <v>3438.5141388751008</v>
      </c>
      <c r="V140" s="1">
        <f>[1]节奏总纲!V140</f>
        <v>137</v>
      </c>
      <c r="W140" s="1">
        <f>[1]节奏总纲!W140</f>
        <v>891.19314904737075</v>
      </c>
      <c r="X140" s="1">
        <f>[1]节奏总纲!X140</f>
        <v>767.52370530068947</v>
      </c>
      <c r="Y140" s="1">
        <f>[1]节奏总纲!Y140</f>
        <v>611.13759383501929</v>
      </c>
      <c r="Z140" s="1">
        <f>[1]节奏总纲!Z140</f>
        <v>440.28367636787698</v>
      </c>
      <c r="AA140" s="1">
        <f>[1]节奏总纲!AA140</f>
        <v>234.00903474769666</v>
      </c>
      <c r="AC140" s="1">
        <f>[1]节奏总纲!AC140</f>
        <v>137</v>
      </c>
      <c r="AD140" s="1">
        <f>[1]节奏总纲!AD140</f>
        <v>71.082568038258202</v>
      </c>
      <c r="AE140" s="1">
        <f>[1]节奏总纲!AE140</f>
        <v>73.162499594857536</v>
      </c>
      <c r="AF140" s="1">
        <f>[1]节奏总纲!AF140</f>
        <v>76.048210495050611</v>
      </c>
      <c r="AG140" s="1">
        <f>[1]节奏总纲!AG140</f>
        <v>80.590396199303228</v>
      </c>
      <c r="AH140" s="1">
        <f>[1]节奏总纲!AH140</f>
        <v>89.811617577890132</v>
      </c>
      <c r="AZ140" s="1">
        <f>[1]节奏总纲!AZ140</f>
        <v>137</v>
      </c>
      <c r="BA140" s="1">
        <f>[1]节奏总纲!BA140</f>
        <v>40.145684977811982</v>
      </c>
      <c r="BB140" s="1">
        <f>[1]节奏总纲!BB140</f>
        <v>41.640586674237483</v>
      </c>
      <c r="BC140" s="1">
        <f>[1]节奏总纲!BC140</f>
        <v>43.579395699483875</v>
      </c>
      <c r="BD140" s="1">
        <f>[1]节奏总纲!BD140</f>
        <v>46.320570537095151</v>
      </c>
      <c r="BE140" s="1">
        <f>[1]节奏总纲!BE140</f>
        <v>51.030916192165336</v>
      </c>
      <c r="BI140" s="1">
        <f>[1]节奏总纲!BI140</f>
        <v>137</v>
      </c>
      <c r="BJ140" s="1">
        <f>[1]节奏总纲!BJ140</f>
        <v>3.4999999999999978</v>
      </c>
      <c r="BK140" s="1">
        <f>[1]节奏总纲!BK140</f>
        <v>3.5699999999999976</v>
      </c>
      <c r="BL140" s="1">
        <f>[1]节奏总纲!BL140</f>
        <v>3.7099999999999977</v>
      </c>
      <c r="BM140" s="1">
        <f>[1]节奏总纲!BM140</f>
        <v>3.9899999999999971</v>
      </c>
      <c r="BN140" s="1">
        <f>[1]节奏总纲!BN140</f>
        <v>4.8999999999999968</v>
      </c>
      <c r="BW140" s="1">
        <f>[1]节奏总纲!BW140</f>
        <v>137</v>
      </c>
      <c r="BX140" s="1">
        <f>[1]节奏总纲!BX140</f>
        <v>71.253511678983699</v>
      </c>
      <c r="BY140" s="1">
        <f>[1]节奏总纲!BY140</f>
        <v>71.64472716890711</v>
      </c>
      <c r="BZ140" s="1">
        <f>[1]节奏总纲!BZ140</f>
        <v>72.079220511445328</v>
      </c>
      <c r="CA140" s="1">
        <f>[1]节奏总纲!CA140</f>
        <v>72.52016913289016</v>
      </c>
      <c r="CB140" s="1">
        <f>[1]节奏总纲!CB140</f>
        <v>73.021610706471975</v>
      </c>
      <c r="CC140" s="1">
        <f>[1]节奏总纲!CC140</f>
        <v>73.021610706471975</v>
      </c>
    </row>
    <row r="141" spans="6:81" x14ac:dyDescent="0.15">
      <c r="F141" s="1">
        <f>[1]节奏总纲!F141</f>
        <v>139</v>
      </c>
      <c r="G141" s="1">
        <f>[1]节奏总纲!G141</f>
        <v>15285.812533339058</v>
      </c>
      <c r="N141" s="1">
        <f>[1]节奏总纲!N141</f>
        <v>148</v>
      </c>
      <c r="O141" s="1">
        <f>[1]节奏总纲!O141</f>
        <v>138</v>
      </c>
      <c r="P141" s="1">
        <f>[1]节奏总纲!P141</f>
        <v>14262.10042904369</v>
      </c>
      <c r="Q141" s="1">
        <f>[1]节奏总纲!Q141</f>
        <v>12084.27769352872</v>
      </c>
      <c r="R141" s="1">
        <f>[1]节奏总纲!R141</f>
        <v>9648.3109402480568</v>
      </c>
      <c r="S141" s="1">
        <f>[1]节奏总纲!S141</f>
        <v>6871.4799867132497</v>
      </c>
      <c r="T141" s="1">
        <f>[1]节奏总纲!T141</f>
        <v>3671.064650435846</v>
      </c>
      <c r="V141" s="1">
        <f>[1]节奏总纲!V141</f>
        <v>138</v>
      </c>
      <c r="W141" s="1">
        <f>[1]节奏总纲!W141</f>
        <v>955.15716714314658</v>
      </c>
      <c r="X141" s="1">
        <f>[1]节奏总纲!X141</f>
        <v>809.30466772038926</v>
      </c>
      <c r="Y141" s="1">
        <f>[1]节奏总纲!Y141</f>
        <v>652.81729520328918</v>
      </c>
      <c r="Z141" s="1">
        <f>[1]节奏总纲!Z141</f>
        <v>464.18680610813772</v>
      </c>
      <c r="AA141" s="1">
        <f>[1]节奏总纲!AA141</f>
        <v>232.55051156074524</v>
      </c>
      <c r="AC141" s="1">
        <f>[1]节奏总纲!AC141</f>
        <v>138</v>
      </c>
      <c r="AD141" s="1">
        <f>[1]节奏总纲!AD141</f>
        <v>71.184128141237707</v>
      </c>
      <c r="AE141" s="1">
        <f>[1]节奏总纲!AE141</f>
        <v>73.265087214426828</v>
      </c>
      <c r="AF141" s="1">
        <f>[1]节奏总纲!AF141</f>
        <v>76.148064447889894</v>
      </c>
      <c r="AG141" s="1">
        <f>[1]节奏总纲!AG141</f>
        <v>80.699325387366557</v>
      </c>
      <c r="AH141" s="1">
        <f>[1]节奏总纲!AH141</f>
        <v>89.938817052643586</v>
      </c>
      <c r="AZ141" s="1">
        <f>[1]节奏总纲!AZ141</f>
        <v>138</v>
      </c>
      <c r="BA141" s="1">
        <f>[1]节奏总纲!BA141</f>
        <v>40.192304170711814</v>
      </c>
      <c r="BB141" s="1">
        <f>[1]节奏总纲!BB141</f>
        <v>41.690869443102159</v>
      </c>
      <c r="BC141" s="1">
        <f>[1]节奏总纲!BC141</f>
        <v>43.629324644063402</v>
      </c>
      <c r="BD141" s="1">
        <f>[1]节奏总纲!BD141</f>
        <v>46.368730644141969</v>
      </c>
      <c r="BE141" s="1">
        <f>[1]节奏总纲!BE141</f>
        <v>51.077127728003028</v>
      </c>
      <c r="BI141" s="1">
        <f>[1]节奏总纲!BI141</f>
        <v>138</v>
      </c>
      <c r="BJ141" s="1">
        <f>[1]节奏总纲!BJ141</f>
        <v>3.4999999999999978</v>
      </c>
      <c r="BK141" s="1">
        <f>[1]节奏总纲!BK141</f>
        <v>3.5699999999999976</v>
      </c>
      <c r="BL141" s="1">
        <f>[1]节奏总纲!BL141</f>
        <v>3.7099999999999977</v>
      </c>
      <c r="BM141" s="1">
        <f>[1]节奏总纲!BM141</f>
        <v>3.9899999999999971</v>
      </c>
      <c r="BN141" s="1">
        <f>[1]节奏总纲!BN141</f>
        <v>4.8999999999999968</v>
      </c>
      <c r="BW141" s="1">
        <f>[1]节奏总纲!BW141</f>
        <v>138</v>
      </c>
      <c r="BX141" s="1">
        <f>[1]节奏总纲!BX141</f>
        <v>71.728454603344318</v>
      </c>
      <c r="BY141" s="1">
        <f>[1]节奏总纲!BY141</f>
        <v>72.127736001811627</v>
      </c>
      <c r="BZ141" s="1">
        <f>[1]节奏总纲!BZ141</f>
        <v>72.546944450679874</v>
      </c>
      <c r="CA141" s="1">
        <f>[1]节奏总纲!CA141</f>
        <v>73.016455431801333</v>
      </c>
      <c r="CB141" s="1">
        <f>[1]节奏总纲!CB141</f>
        <v>73.453766032826792</v>
      </c>
      <c r="CC141" s="1">
        <f>[1]节奏总纲!CC141</f>
        <v>73.453766032826792</v>
      </c>
    </row>
    <row r="142" spans="6:81" x14ac:dyDescent="0.15">
      <c r="F142" s="1">
        <f>[1]节奏总纲!F142</f>
        <v>140</v>
      </c>
      <c r="G142" s="1">
        <f>[1]节奏总纲!G142</f>
        <v>16383</v>
      </c>
      <c r="N142" s="1">
        <f>[1]节奏总纲!N142</f>
        <v>149</v>
      </c>
      <c r="O142" s="1">
        <f>[1]节奏总纲!O142</f>
        <v>139</v>
      </c>
      <c r="P142" s="1">
        <f>[1]节奏总纲!P142</f>
        <v>15285.812533339058</v>
      </c>
      <c r="Q142" s="1">
        <f>[1]节奏总纲!Q142</f>
        <v>12957.783284511519</v>
      </c>
      <c r="R142" s="1">
        <f>[1]节奏总纲!R142</f>
        <v>10342.380760057207</v>
      </c>
      <c r="S142" s="1">
        <f>[1]节奏总纲!S142</f>
        <v>7335.6614347494142</v>
      </c>
      <c r="T142" s="1">
        <f>[1]节奏总纲!T142</f>
        <v>3920.8109148014687</v>
      </c>
      <c r="V142" s="1">
        <f>[1]节奏总纲!V142</f>
        <v>139</v>
      </c>
      <c r="W142" s="1">
        <f>[1]节奏总纲!W142</f>
        <v>1023.7121042953677</v>
      </c>
      <c r="X142" s="1">
        <f>[1]节奏总纲!X142</f>
        <v>873.50559098279882</v>
      </c>
      <c r="Y142" s="1">
        <f>[1]节奏总纲!Y142</f>
        <v>694.06981980915043</v>
      </c>
      <c r="Z142" s="1">
        <f>[1]节奏总纲!Z142</f>
        <v>464.18144803616451</v>
      </c>
      <c r="AA142" s="1">
        <f>[1]节奏总纲!AA142</f>
        <v>249.74626436562266</v>
      </c>
      <c r="AC142" s="1">
        <f>[1]节奏总纲!AC142</f>
        <v>139</v>
      </c>
      <c r="AD142" s="1">
        <f>[1]节奏总纲!AD142</f>
        <v>71.285688244217212</v>
      </c>
      <c r="AE142" s="1">
        <f>[1]节奏总纲!AE142</f>
        <v>73.367674833996119</v>
      </c>
      <c r="AF142" s="1">
        <f>[1]节奏总纲!AF142</f>
        <v>76.247918400729162</v>
      </c>
      <c r="AG142" s="1">
        <f>[1]节奏总纲!AG142</f>
        <v>80.808254575429885</v>
      </c>
      <c r="AH142" s="1">
        <f>[1]节奏总纲!AH142</f>
        <v>90.055148444912135</v>
      </c>
      <c r="AZ142" s="1">
        <f>[1]节奏总纲!AZ142</f>
        <v>139</v>
      </c>
      <c r="BA142" s="1">
        <f>[1]节奏总纲!BA142</f>
        <v>40.238923363611647</v>
      </c>
      <c r="BB142" s="1">
        <f>[1]节奏总纲!BB142</f>
        <v>41.741152211966842</v>
      </c>
      <c r="BC142" s="1">
        <f>[1]节奏总纲!BC142</f>
        <v>43.679253588642929</v>
      </c>
      <c r="BD142" s="1">
        <f>[1]节奏总纲!BD142</f>
        <v>46.416890751188788</v>
      </c>
      <c r="BE142" s="1">
        <f>[1]节奏总纲!BE142</f>
        <v>51.12333926384072</v>
      </c>
      <c r="BI142" s="1">
        <f>[1]节奏总纲!BI142</f>
        <v>139</v>
      </c>
      <c r="BJ142" s="1">
        <f>[1]节奏总纲!BJ142</f>
        <v>3.4999999999999978</v>
      </c>
      <c r="BK142" s="1">
        <f>[1]节奏总纲!BK142</f>
        <v>3.5699999999999976</v>
      </c>
      <c r="BL142" s="1">
        <f>[1]节奏总纲!BL142</f>
        <v>3.7099999999999977</v>
      </c>
      <c r="BM142" s="1">
        <f>[1]节奏总纲!BM142</f>
        <v>3.9899999999999971</v>
      </c>
      <c r="BN142" s="1">
        <f>[1]节奏总纲!BN142</f>
        <v>4.8999999999999968</v>
      </c>
      <c r="BW142" s="1">
        <f>[1]节奏总纲!BW142</f>
        <v>139</v>
      </c>
      <c r="BX142" s="1">
        <f>[1]节奏总纲!BX142</f>
        <v>72.205314824634726</v>
      </c>
      <c r="BY142" s="1">
        <f>[1]节奏总纲!BY142</f>
        <v>72.597116346388717</v>
      </c>
      <c r="BZ142" s="1">
        <f>[1]节奏总纲!BZ142</f>
        <v>73.038235529163615</v>
      </c>
      <c r="CA142" s="1">
        <f>[1]节奏总纲!CA142</f>
        <v>73.447756321697511</v>
      </c>
      <c r="CB142" s="1">
        <f>[1]节奏总纲!CB142</f>
        <v>73.91787672283759</v>
      </c>
      <c r="CC142" s="1">
        <f>[1]节奏总纲!CC142</f>
        <v>73.91787672283759</v>
      </c>
    </row>
    <row r="143" spans="6:81" x14ac:dyDescent="0.15">
      <c r="F143" s="1">
        <f>[1]节奏总纲!F143</f>
        <v>141</v>
      </c>
      <c r="G143" s="1">
        <f>[1]节奏总纲!G143</f>
        <v>17558.936410194601</v>
      </c>
      <c r="N143" s="1">
        <f>[1]节奏总纲!N143</f>
        <v>150</v>
      </c>
      <c r="O143" s="1">
        <f>[1]节奏总纲!O143</f>
        <v>140</v>
      </c>
      <c r="P143" s="1">
        <f>[1]节奏总纲!P143</f>
        <v>16383</v>
      </c>
      <c r="Q143" s="1">
        <f>[1]节奏总纲!Q143</f>
        <v>13881.315900000001</v>
      </c>
      <c r="R143" s="1">
        <f>[1]节奏总纲!R143</f>
        <v>11037.2271</v>
      </c>
      <c r="S143" s="1">
        <f>[1]节奏总纲!S143</f>
        <v>7827.7974000000004</v>
      </c>
      <c r="T143" s="1">
        <f>[1]节奏总纲!T143</f>
        <v>4192.4097000000002</v>
      </c>
      <c r="V143" s="1">
        <f>[1]节奏总纲!V143</f>
        <v>140</v>
      </c>
      <c r="W143" s="1">
        <f>[1]节奏总纲!W143</f>
        <v>1097.1874666609419</v>
      </c>
      <c r="X143" s="1">
        <f>[1]节奏总纲!X143</f>
        <v>923.53261548848241</v>
      </c>
      <c r="Y143" s="1">
        <f>[1]节奏总纲!Y143</f>
        <v>694.84633994279284</v>
      </c>
      <c r="Z143" s="1">
        <f>[1]节奏总纲!Z143</f>
        <v>492.1359652505862</v>
      </c>
      <c r="AA143" s="1">
        <f>[1]节奏总纲!AA143</f>
        <v>271.59878519853146</v>
      </c>
      <c r="AC143" s="1">
        <f>[1]节奏总纲!AC143</f>
        <v>140</v>
      </c>
      <c r="AD143" s="1">
        <f>[1]节奏总纲!AD143</f>
        <v>71.387248347196717</v>
      </c>
      <c r="AE143" s="1">
        <f>[1]节奏总纲!AE143</f>
        <v>73.470262453565411</v>
      </c>
      <c r="AF143" s="1">
        <f>[1]节奏总纲!AF143</f>
        <v>76.347772353568445</v>
      </c>
      <c r="AG143" s="1">
        <f>[1]节奏总纲!AG143</f>
        <v>80.917183763493213</v>
      </c>
      <c r="AH143" s="1">
        <f>[1]节奏总纲!AH143</f>
        <v>90.16140749098561</v>
      </c>
      <c r="AZ143" s="1">
        <f>[1]节奏总纲!AZ143</f>
        <v>140</v>
      </c>
      <c r="BA143" s="1">
        <f>[1]节奏总纲!BA143</f>
        <v>40.28554255651148</v>
      </c>
      <c r="BB143" s="1">
        <f>[1]节奏总纲!BB143</f>
        <v>41.791434980831518</v>
      </c>
      <c r="BC143" s="1">
        <f>[1]节奏总纲!BC143</f>
        <v>43.729182533222463</v>
      </c>
      <c r="BD143" s="1">
        <f>[1]节奏总纲!BD143</f>
        <v>46.465050858235607</v>
      </c>
      <c r="BE143" s="1">
        <f>[1]节奏总纲!BE143</f>
        <v>51.169550799678412</v>
      </c>
      <c r="BI143" s="1">
        <f>[1]节奏总纲!BI143</f>
        <v>140</v>
      </c>
      <c r="BJ143" s="1">
        <f>[1]节奏总纲!BJ143</f>
        <v>3.4999999999999978</v>
      </c>
      <c r="BK143" s="1">
        <f>[1]节奏总纲!BK143</f>
        <v>3.5699999999999976</v>
      </c>
      <c r="BL143" s="1">
        <f>[1]节奏总纲!BL143</f>
        <v>3.7099999999999977</v>
      </c>
      <c r="BM143" s="1">
        <f>[1]节奏总纲!BM143</f>
        <v>3.9899999999999971</v>
      </c>
      <c r="BN143" s="1">
        <f>[1]节奏总纲!BN143</f>
        <v>4.8999999999999968</v>
      </c>
      <c r="BW143" s="1">
        <f>[1]节奏总纲!BW143</f>
        <v>140</v>
      </c>
      <c r="BX143" s="1">
        <f>[1]节奏总纲!BX143</f>
        <v>72.676975898343528</v>
      </c>
      <c r="BY143" s="1">
        <f>[1]节奏总纲!BY143</f>
        <v>73.080733134525161</v>
      </c>
      <c r="BZ143" s="1">
        <f>[1]节奏总纲!BZ143</f>
        <v>73.468653197407107</v>
      </c>
      <c r="CA143" s="1">
        <f>[1]节奏总纲!CA143</f>
        <v>73.905031554605898</v>
      </c>
      <c r="CB143" s="1">
        <f>[1]节奏总纲!CB143</f>
        <v>74.365384246573853</v>
      </c>
      <c r="CC143" s="1">
        <f>[1]节奏总纲!CC143</f>
        <v>74.365384246573853</v>
      </c>
    </row>
    <row r="144" spans="6:81" x14ac:dyDescent="0.15">
      <c r="F144" s="1">
        <f>[1]节奏总纲!F144</f>
        <v>142</v>
      </c>
      <c r="G144" s="1">
        <f>[1]节奏总纲!G144</f>
        <v>18819.273848271412</v>
      </c>
      <c r="N144" s="1">
        <f>[1]节奏总纲!N144</f>
        <v>151</v>
      </c>
      <c r="O144" s="1">
        <f>[1]节奏总纲!O144</f>
        <v>141</v>
      </c>
      <c r="P144" s="1">
        <f>[1]节奏总纲!P144</f>
        <v>17558.936410194601</v>
      </c>
      <c r="Q144" s="1">
        <f>[1]节奏总纲!Q144</f>
        <v>14839.057160255457</v>
      </c>
      <c r="R144" s="1">
        <f>[1]节奏总纲!R144</f>
        <v>11789.069905804656</v>
      </c>
      <c r="S144" s="1">
        <f>[1]节奏总纲!S144</f>
        <v>8380.8803485858825</v>
      </c>
      <c r="T144" s="1">
        <f>[1]节奏总纲!T144</f>
        <v>4489.820040086759</v>
      </c>
      <c r="V144" s="1">
        <f>[1]节奏总纲!V144</f>
        <v>141</v>
      </c>
      <c r="W144" s="1">
        <f>[1]节奏总纲!W144</f>
        <v>1175.9364101946012</v>
      </c>
      <c r="X144" s="1">
        <f>[1]节奏总纲!X144</f>
        <v>957.74126025545593</v>
      </c>
      <c r="Y144" s="1">
        <f>[1]节奏总纲!Y144</f>
        <v>751.84280580465565</v>
      </c>
      <c r="Z144" s="1">
        <f>[1]节奏总纲!Z144</f>
        <v>553.08294858588215</v>
      </c>
      <c r="AA144" s="1">
        <f>[1]节奏总纲!AA144</f>
        <v>297.41034008675888</v>
      </c>
      <c r="AC144" s="1">
        <f>[1]节奏总纲!AC144</f>
        <v>141</v>
      </c>
      <c r="AD144" s="1">
        <f>[1]节奏总纲!AD144</f>
        <v>71.488808450176208</v>
      </c>
      <c r="AE144" s="1">
        <f>[1]节奏总纲!AE144</f>
        <v>73.572850073134703</v>
      </c>
      <c r="AF144" s="1">
        <f>[1]节奏总纲!AF144</f>
        <v>76.447626306407713</v>
      </c>
      <c r="AG144" s="1">
        <f>[1]节奏总纲!AG144</f>
        <v>81.023848662825003</v>
      </c>
      <c r="AH144" s="1">
        <f>[1]节奏总纲!AH144</f>
        <v>90.267666537059071</v>
      </c>
      <c r="AZ144" s="1">
        <f>[1]节奏总纲!AZ144</f>
        <v>141</v>
      </c>
      <c r="BA144" s="1">
        <f>[1]节奏总纲!BA144</f>
        <v>40.332161749411313</v>
      </c>
      <c r="BB144" s="1">
        <f>[1]节奏总纲!BB144</f>
        <v>41.841717749696201</v>
      </c>
      <c r="BC144" s="1">
        <f>[1]节奏总纲!BC144</f>
        <v>43.77911147780199</v>
      </c>
      <c r="BD144" s="1">
        <f>[1]节奏总纲!BD144</f>
        <v>46.513210965282425</v>
      </c>
      <c r="BE144" s="1">
        <f>[1]节奏总纲!BE144</f>
        <v>51.215762335516104</v>
      </c>
      <c r="BI144" s="1">
        <f>[1]节奏总纲!BI144</f>
        <v>141</v>
      </c>
      <c r="BJ144" s="1">
        <f>[1]节奏总纲!BJ144</f>
        <v>3.4999999999999978</v>
      </c>
      <c r="BK144" s="1">
        <f>[1]节奏总纲!BK144</f>
        <v>3.5699999999999976</v>
      </c>
      <c r="BL144" s="1">
        <f>[1]节奏总纲!BL144</f>
        <v>3.7099999999999977</v>
      </c>
      <c r="BM144" s="1">
        <f>[1]节奏总纲!BM144</f>
        <v>3.9899999999999971</v>
      </c>
      <c r="BN144" s="1">
        <f>[1]节奏总纲!BN144</f>
        <v>4.8999999999999968</v>
      </c>
      <c r="BW144" s="1">
        <f>[1]节奏总纲!BW144</f>
        <v>141</v>
      </c>
      <c r="BX144" s="1">
        <f>[1]节奏总纲!BX144</f>
        <v>73.157776302859972</v>
      </c>
      <c r="BY144" s="1">
        <f>[1]节奏总纲!BY144</f>
        <v>73.525682689904926</v>
      </c>
      <c r="BZ144" s="1">
        <f>[1]节奏总纲!BZ144</f>
        <v>73.934376924737577</v>
      </c>
      <c r="CA144" s="1">
        <f>[1]节奏总纲!CA144</f>
        <v>74.362219724987099</v>
      </c>
      <c r="CB144" s="1">
        <f>[1]节奏总纲!CB144</f>
        <v>74.843246220121955</v>
      </c>
      <c r="CC144" s="1">
        <f>[1]节奏总纲!CC144</f>
        <v>74.843246220121955</v>
      </c>
    </row>
    <row r="145" spans="6:81" x14ac:dyDescent="0.15">
      <c r="F145" s="1">
        <f>[1]节奏总纲!F145</f>
        <v>143</v>
      </c>
      <c r="G145" s="1">
        <f>[1]节奏总纲!G145</f>
        <v>20170.070068243116</v>
      </c>
      <c r="N145" s="1">
        <f>[1]节奏总纲!N145</f>
        <v>152</v>
      </c>
      <c r="O145" s="1">
        <f>[1]节奏总纲!O145</f>
        <v>142</v>
      </c>
      <c r="P145" s="1">
        <f>[1]节奏总纲!P145</f>
        <v>18819.273848271412</v>
      </c>
      <c r="Q145" s="1">
        <f>[1]节奏总纲!Q145</f>
        <v>15904.16832917417</v>
      </c>
      <c r="R145" s="1">
        <f>[1]节奏总纲!R145</f>
        <v>12667.253227271489</v>
      </c>
      <c r="S145" s="1">
        <f>[1]节奏总纲!S145</f>
        <v>9003.140609013044</v>
      </c>
      <c r="T145" s="1">
        <f>[1]节奏总纲!T145</f>
        <v>4823.3798873119622</v>
      </c>
      <c r="V145" s="1">
        <f>[1]节奏总纲!V145</f>
        <v>142</v>
      </c>
      <c r="W145" s="1">
        <f>[1]节奏总纲!W145</f>
        <v>1260.3374380768109</v>
      </c>
      <c r="X145" s="1">
        <f>[1]节奏总纲!X145</f>
        <v>1065.1111689187128</v>
      </c>
      <c r="Y145" s="1">
        <f>[1]节奏总纲!Y145</f>
        <v>878.18332146683315</v>
      </c>
      <c r="Z145" s="1">
        <f>[1]节奏总纲!Z145</f>
        <v>622.26026042716148</v>
      </c>
      <c r="AA145" s="1">
        <f>[1]节奏总纲!AA145</f>
        <v>333.55984722520316</v>
      </c>
      <c r="AC145" s="1">
        <f>[1]节奏总纲!AC145</f>
        <v>142</v>
      </c>
      <c r="AD145" s="1">
        <f>[1]节奏总纲!AD145</f>
        <v>71.590368553155713</v>
      </c>
      <c r="AE145" s="1">
        <f>[1]节奏总纲!AE145</f>
        <v>73.675437692703994</v>
      </c>
      <c r="AF145" s="1">
        <f>[1]节奏总纲!AF145</f>
        <v>76.547480259246996</v>
      </c>
      <c r="AG145" s="1">
        <f>[1]节奏总纲!AG145</f>
        <v>81.123332456233015</v>
      </c>
      <c r="AH145" s="1">
        <f>[1]节奏总纲!AH145</f>
        <v>90.373925583132547</v>
      </c>
      <c r="AZ145" s="1">
        <f>[1]节奏总纲!AZ145</f>
        <v>142</v>
      </c>
      <c r="BA145" s="1">
        <f>[1]节奏总纲!BA145</f>
        <v>40.378780942311145</v>
      </c>
      <c r="BB145" s="1">
        <f>[1]节奏总纲!BB145</f>
        <v>41.892000518560877</v>
      </c>
      <c r="BC145" s="1">
        <f>[1]节奏总纲!BC145</f>
        <v>43.829040422381524</v>
      </c>
      <c r="BD145" s="1">
        <f>[1]节奏总纲!BD145</f>
        <v>46.561371072329244</v>
      </c>
      <c r="BE145" s="1">
        <f>[1]节奏总纲!BE145</f>
        <v>51.261973871353796</v>
      </c>
      <c r="BI145" s="1">
        <f>[1]节奏总纲!BI145</f>
        <v>142</v>
      </c>
      <c r="BJ145" s="1">
        <f>[1]节奏总纲!BJ145</f>
        <v>3.4999999999999978</v>
      </c>
      <c r="BK145" s="1">
        <f>[1]节奏总纲!BK145</f>
        <v>3.5699999999999976</v>
      </c>
      <c r="BL145" s="1">
        <f>[1]节奏总纲!BL145</f>
        <v>3.7099999999999977</v>
      </c>
      <c r="BM145" s="1">
        <f>[1]节奏总纲!BM145</f>
        <v>3.9899999999999971</v>
      </c>
      <c r="BN145" s="1">
        <f>[1]节奏总纲!BN145</f>
        <v>4.8999999999999968</v>
      </c>
      <c r="BW145" s="1">
        <f>[1]节奏总纲!BW145</f>
        <v>142</v>
      </c>
      <c r="BX145" s="1">
        <f>[1]节奏总纲!BX145</f>
        <v>73.626200589019419</v>
      </c>
      <c r="BY145" s="1">
        <f>[1]节奏总纲!BY145</f>
        <v>74.017737097591251</v>
      </c>
      <c r="BZ145" s="1">
        <f>[1]节奏总纲!BZ145</f>
        <v>74.413599457823011</v>
      </c>
      <c r="CA145" s="1">
        <f>[1]节奏总纲!CA145</f>
        <v>74.862125874890182</v>
      </c>
      <c r="CB145" s="1">
        <f>[1]节奏总纲!CB145</f>
        <v>75.327870415328007</v>
      </c>
      <c r="CC145" s="1">
        <f>[1]节奏总纲!CC145</f>
        <v>75.327870415328007</v>
      </c>
    </row>
    <row r="146" spans="6:81" x14ac:dyDescent="0.15">
      <c r="F146" s="1">
        <f>[1]节奏总纲!F146</f>
        <v>144</v>
      </c>
      <c r="G146" s="1">
        <f>[1]节奏总纲!G146</f>
        <v>21617.817610103088</v>
      </c>
      <c r="N146" s="1">
        <f>[1]节奏总纲!N146</f>
        <v>153</v>
      </c>
      <c r="O146" s="1">
        <f>[1]节奏总纲!O146</f>
        <v>143</v>
      </c>
      <c r="P146" s="1">
        <f>[1]节奏总纲!P146</f>
        <v>20170.070068243116</v>
      </c>
      <c r="Q146" s="1">
        <f>[1]节奏总纲!Q146</f>
        <v>17065.896284740498</v>
      </c>
      <c r="R146" s="1">
        <f>[1]节奏总纲!R146</f>
        <v>13594.62722599586</v>
      </c>
      <c r="S146" s="1">
        <f>[1]节奏总纲!S146</f>
        <v>9669.5315907157492</v>
      </c>
      <c r="T146" s="1">
        <f>[1]节奏总纲!T146</f>
        <v>5185.7250145453054</v>
      </c>
      <c r="V146" s="1">
        <f>[1]节奏总纲!V146</f>
        <v>143</v>
      </c>
      <c r="W146" s="1">
        <f>[1]节奏总纲!W146</f>
        <v>1350.796219971704</v>
      </c>
      <c r="X146" s="1">
        <f>[1]节奏总纲!X146</f>
        <v>1161.7279555663281</v>
      </c>
      <c r="Y146" s="1">
        <f>[1]节奏总纲!Y146</f>
        <v>927.37399872437163</v>
      </c>
      <c r="Z146" s="1">
        <f>[1]节奏总纲!Z146</f>
        <v>666.39098170270518</v>
      </c>
      <c r="AA146" s="1">
        <f>[1]节奏总纲!AA146</f>
        <v>362.34512723334319</v>
      </c>
      <c r="AC146" s="1">
        <f>[1]节奏总纲!AC146</f>
        <v>143</v>
      </c>
      <c r="AD146" s="1">
        <f>[1]节奏总纲!AD146</f>
        <v>71.691928656135218</v>
      </c>
      <c r="AE146" s="1">
        <f>[1]节奏总纲!AE146</f>
        <v>73.778025312273286</v>
      </c>
      <c r="AF146" s="1">
        <f>[1]节奏总纲!AF146</f>
        <v>76.647334212086264</v>
      </c>
      <c r="AG146" s="1">
        <f>[1]节奏总纲!AG146</f>
        <v>81.222816249641028</v>
      </c>
      <c r="AH146" s="1">
        <f>[1]节奏总纲!AH146</f>
        <v>90.480184629206022</v>
      </c>
      <c r="AZ146" s="1">
        <f>[1]节奏总纲!AZ146</f>
        <v>143</v>
      </c>
      <c r="BA146" s="1">
        <f>[1]节奏总纲!BA146</f>
        <v>40.425400135210978</v>
      </c>
      <c r="BB146" s="1">
        <f>[1]节奏总纲!BB146</f>
        <v>41.94228328742556</v>
      </c>
      <c r="BC146" s="1">
        <f>[1]节奏总纲!BC146</f>
        <v>43.878969366961051</v>
      </c>
      <c r="BD146" s="1">
        <f>[1]节奏总纲!BD146</f>
        <v>46.609531179376063</v>
      </c>
      <c r="BE146" s="1">
        <f>[1]节奏总纲!BE146</f>
        <v>51.308185407191495</v>
      </c>
      <c r="BI146" s="1">
        <f>[1]节奏总纲!BI146</f>
        <v>143</v>
      </c>
      <c r="BJ146" s="1">
        <f>[1]节奏总纲!BJ146</f>
        <v>3.4999999999999978</v>
      </c>
      <c r="BK146" s="1">
        <f>[1]节奏总纲!BK146</f>
        <v>3.5699999999999976</v>
      </c>
      <c r="BL146" s="1">
        <f>[1]节奏总纲!BL146</f>
        <v>3.7099999999999977</v>
      </c>
      <c r="BM146" s="1">
        <f>[1]节奏总纲!BM146</f>
        <v>3.9899999999999971</v>
      </c>
      <c r="BN146" s="1">
        <f>[1]节奏总纲!BN146</f>
        <v>4.8999999999999968</v>
      </c>
      <c r="BW146" s="1">
        <f>[1]节奏总纲!BW146</f>
        <v>143</v>
      </c>
      <c r="BX146" s="1">
        <f>[1]节奏总纲!BX146</f>
        <v>74.110883090832957</v>
      </c>
      <c r="BY146" s="1">
        <f>[1]节奏总纲!BY146</f>
        <v>74.48438665440473</v>
      </c>
      <c r="BZ146" s="1">
        <f>[1]节奏总纲!BZ146</f>
        <v>74.910283342584549</v>
      </c>
      <c r="CA146" s="1">
        <f>[1]节奏总纲!CA146</f>
        <v>75.343688653389123</v>
      </c>
      <c r="CB146" s="1">
        <f>[1]节奏总纲!CB146</f>
        <v>75.8312700089093</v>
      </c>
      <c r="CC146" s="1">
        <f>[1]节奏总纲!CC146</f>
        <v>75.8312700089093</v>
      </c>
    </row>
    <row r="147" spans="6:81" x14ac:dyDescent="0.15">
      <c r="F147" s="1">
        <f>[1]节奏总纲!F147</f>
        <v>145</v>
      </c>
      <c r="G147" s="1">
        <f>[1]节奏总纲!G147</f>
        <v>23169.475005920798</v>
      </c>
      <c r="N147" s="1">
        <f>[1]节奏总纲!N147</f>
        <v>154</v>
      </c>
      <c r="O147" s="1">
        <f>[1]节奏总纲!O147</f>
        <v>144</v>
      </c>
      <c r="P147" s="1">
        <f>[1]节奏总纲!P147</f>
        <v>21617.817610103088</v>
      </c>
      <c r="Q147" s="1">
        <f>[1]节奏总纲!Q147</f>
        <v>18290.835479908223</v>
      </c>
      <c r="R147" s="1">
        <f>[1]节奏总纲!R147</f>
        <v>14585.541541536553</v>
      </c>
      <c r="S147" s="1">
        <f>[1]节奏总纲!S147</f>
        <v>10380.876016371503</v>
      </c>
      <c r="T147" s="1">
        <f>[1]节奏总纲!T147</f>
        <v>5547.1319987524521</v>
      </c>
      <c r="V147" s="1">
        <f>[1]节奏总纲!V147</f>
        <v>144</v>
      </c>
      <c r="W147" s="1">
        <f>[1]节奏总纲!W147</f>
        <v>1447.7475418599715</v>
      </c>
      <c r="X147" s="1">
        <f>[1]节奏总纲!X147</f>
        <v>1224.9391951677244</v>
      </c>
      <c r="Y147" s="1">
        <f>[1]节奏总纲!Y147</f>
        <v>990.91431554069277</v>
      </c>
      <c r="Z147" s="1">
        <f>[1]节奏总纲!Z147</f>
        <v>711.34442565575409</v>
      </c>
      <c r="AA147" s="1">
        <f>[1]节奏总纲!AA147</f>
        <v>361.40698420714671</v>
      </c>
      <c r="AC147" s="1">
        <f>[1]节奏总纲!AC147</f>
        <v>144</v>
      </c>
      <c r="AD147" s="1">
        <f>[1]节奏总纲!AD147</f>
        <v>71.793488759114723</v>
      </c>
      <c r="AE147" s="1">
        <f>[1]节奏总纲!AE147</f>
        <v>73.880612931842577</v>
      </c>
      <c r="AF147" s="1">
        <f>[1]节奏总纲!AF147</f>
        <v>76.747188164925547</v>
      </c>
      <c r="AG147" s="1">
        <f>[1]节奏总纲!AG147</f>
        <v>81.322300043049054</v>
      </c>
      <c r="AH147" s="1">
        <f>[1]节奏总纲!AH147</f>
        <v>90.586443675279497</v>
      </c>
      <c r="AZ147" s="1">
        <f>[1]节奏总纲!AZ147</f>
        <v>144</v>
      </c>
      <c r="BA147" s="1">
        <f>[1]节奏总纲!BA147</f>
        <v>40.472019328110811</v>
      </c>
      <c r="BB147" s="1">
        <f>[1]节奏总纲!BB147</f>
        <v>41.992566056290244</v>
      </c>
      <c r="BC147" s="1">
        <f>[1]节奏总纲!BC147</f>
        <v>43.928898311540586</v>
      </c>
      <c r="BD147" s="1">
        <f>[1]节奏总纲!BD147</f>
        <v>46.657691286422882</v>
      </c>
      <c r="BE147" s="1">
        <f>[1]节奏总纲!BE147</f>
        <v>51.354396943029187</v>
      </c>
      <c r="BI147" s="1">
        <f>[1]节奏总纲!BI147</f>
        <v>144</v>
      </c>
      <c r="BJ147" s="1">
        <f>[1]节奏总纲!BJ147</f>
        <v>3.4999999999999978</v>
      </c>
      <c r="BK147" s="1">
        <f>[1]节奏总纲!BK147</f>
        <v>3.5699999999999976</v>
      </c>
      <c r="BL147" s="1">
        <f>[1]节奏总纲!BL147</f>
        <v>3.7099999999999977</v>
      </c>
      <c r="BM147" s="1">
        <f>[1]节奏总纲!BM147</f>
        <v>3.9899999999999971</v>
      </c>
      <c r="BN147" s="1">
        <f>[1]节奏总纲!BN147</f>
        <v>4.8999999999999968</v>
      </c>
      <c r="BW147" s="1">
        <f>[1]节奏总纲!BW147</f>
        <v>144</v>
      </c>
      <c r="BX147" s="1">
        <f>[1]节奏总纲!BX147</f>
        <v>74.576114728274206</v>
      </c>
      <c r="BY147" s="1">
        <f>[1]节奏总纲!BY147</f>
        <v>74.976427264953529</v>
      </c>
      <c r="BZ147" s="1">
        <f>[1]节奏总纲!BZ147</f>
        <v>75.381312336600743</v>
      </c>
      <c r="CA147" s="1">
        <f>[1]节奏总纲!CA147</f>
        <v>75.837817686537164</v>
      </c>
      <c r="CB147" s="1">
        <f>[1]节奏总纲!CB147</f>
        <v>76.288260794883655</v>
      </c>
      <c r="CC147" s="1">
        <f>[1]节奏总纲!CC147</f>
        <v>76.288260794883655</v>
      </c>
    </row>
    <row r="148" spans="6:81" x14ac:dyDescent="0.15">
      <c r="F148" s="1">
        <f>[1]节奏总纲!F148</f>
        <v>146</v>
      </c>
      <c r="G148" s="1">
        <f>[1]节奏总纲!G148</f>
        <v>24832.50022570635</v>
      </c>
      <c r="N148" s="1">
        <f>[1]节奏总纲!N148</f>
        <v>155</v>
      </c>
      <c r="O148" s="1">
        <f>[1]节奏总纲!O148</f>
        <v>145</v>
      </c>
      <c r="P148" s="1">
        <f>[1]节奏总纲!P148</f>
        <v>23169.475005920798</v>
      </c>
      <c r="Q148" s="1">
        <f>[1]节奏总纲!Q148</f>
        <v>19631.496172516694</v>
      </c>
      <c r="R148" s="1">
        <f>[1]节奏总纲!R148</f>
        <v>15650.9803664995</v>
      </c>
      <c r="S148" s="1">
        <f>[1]节奏总纲!S148</f>
        <v>11105.129370337838</v>
      </c>
      <c r="T148" s="1">
        <f>[1]节奏总纲!T148</f>
        <v>5926.7517065145412</v>
      </c>
      <c r="V148" s="1">
        <f>[1]节奏总纲!V148</f>
        <v>145</v>
      </c>
      <c r="W148" s="1">
        <f>[1]节奏总纲!W148</f>
        <v>1551.6573958177105</v>
      </c>
      <c r="X148" s="1">
        <f>[1]节奏总纲!X148</f>
        <v>1340.6606926084714</v>
      </c>
      <c r="Y148" s="1">
        <f>[1]节奏总纲!Y148</f>
        <v>1065.4388249629465</v>
      </c>
      <c r="Z148" s="1">
        <f>[1]节奏总纲!Z148</f>
        <v>724.25335396633454</v>
      </c>
      <c r="AA148" s="1">
        <f>[1]节奏总纲!AA148</f>
        <v>379.61970776208909</v>
      </c>
      <c r="AC148" s="1">
        <f>[1]节奏总纲!AC148</f>
        <v>145</v>
      </c>
      <c r="AD148" s="1">
        <f>[1]节奏总纲!AD148</f>
        <v>71.895048862094214</v>
      </c>
      <c r="AE148" s="1">
        <f>[1]节奏总纲!AE148</f>
        <v>73.983200551411869</v>
      </c>
      <c r="AF148" s="1">
        <f>[1]节奏总纲!AF148</f>
        <v>76.847042117764815</v>
      </c>
      <c r="AG148" s="1">
        <f>[1]节奏总纲!AG148</f>
        <v>81.421783836457067</v>
      </c>
      <c r="AH148" s="1">
        <f>[1]节奏总纲!AH148</f>
        <v>90.692702721352973</v>
      </c>
      <c r="AZ148" s="1">
        <f>[1]节奏总纲!AZ148</f>
        <v>145</v>
      </c>
      <c r="BA148" s="1">
        <f>[1]节奏总纲!BA148</f>
        <v>40.518638521010651</v>
      </c>
      <c r="BB148" s="1">
        <f>[1]节奏总纲!BB148</f>
        <v>42.036975906461073</v>
      </c>
      <c r="BC148" s="1">
        <f>[1]节奏总纲!BC148</f>
        <v>43.978827256120113</v>
      </c>
      <c r="BD148" s="1">
        <f>[1]节奏总纲!BD148</f>
        <v>46.7058513934697</v>
      </c>
      <c r="BE148" s="1">
        <f>[1]节奏总纲!BE148</f>
        <v>51.400608478866879</v>
      </c>
      <c r="BI148" s="1">
        <f>[1]节奏总纲!BI148</f>
        <v>145</v>
      </c>
      <c r="BJ148" s="1">
        <f>[1]节奏总纲!BJ148</f>
        <v>3.4999999999999978</v>
      </c>
      <c r="BK148" s="1">
        <f>[1]节奏总纲!BK148</f>
        <v>3.5699999999999976</v>
      </c>
      <c r="BL148" s="1">
        <f>[1]节奏总纲!BL148</f>
        <v>3.7099999999999977</v>
      </c>
      <c r="BM148" s="1">
        <f>[1]节奏总纲!BM148</f>
        <v>3.9899999999999971</v>
      </c>
      <c r="BN148" s="1">
        <f>[1]节奏总纲!BN148</f>
        <v>4.8999999999999968</v>
      </c>
      <c r="BW148" s="1">
        <f>[1]节奏总纲!BW148</f>
        <v>145</v>
      </c>
      <c r="BX148" s="1">
        <f>[1]节奏总纲!BX148</f>
        <v>75.064622457794115</v>
      </c>
      <c r="BY148" s="1">
        <f>[1]节奏总纲!BY148</f>
        <v>75.445256632228848</v>
      </c>
      <c r="BZ148" s="1">
        <f>[1]节奏总纲!BZ148</f>
        <v>75.874710693729909</v>
      </c>
      <c r="CA148" s="1">
        <f>[1]节奏总纲!CA148</f>
        <v>76.294787124638759</v>
      </c>
      <c r="CB148" s="1">
        <f>[1]节奏总纲!CB148</f>
        <v>76.744300993869714</v>
      </c>
      <c r="CC148" s="1">
        <f>[1]节奏总纲!CC148</f>
        <v>76.744300993869714</v>
      </c>
    </row>
    <row r="149" spans="6:81" x14ac:dyDescent="0.15">
      <c r="F149" s="1">
        <f>[1]节奏总纲!F149</f>
        <v>147</v>
      </c>
      <c r="G149" s="1">
        <f>[1]节奏总纲!G149</f>
        <v>26614.886523801088</v>
      </c>
      <c r="N149" s="1">
        <f>[1]节奏总纲!N149</f>
        <v>156</v>
      </c>
      <c r="O149" s="1">
        <f>[1]节奏总纲!O149</f>
        <v>146</v>
      </c>
      <c r="P149" s="1">
        <f>[1]节奏总纲!P149</f>
        <v>24832.50022570635</v>
      </c>
      <c r="Q149" s="1">
        <f>[1]节奏总纲!Q149</f>
        <v>21035.61094119585</v>
      </c>
      <c r="R149" s="1">
        <f>[1]节奏总纲!R149</f>
        <v>16719.722401968087</v>
      </c>
      <c r="S149" s="1">
        <f>[1]节奏总纲!S149</f>
        <v>11847.5858576845</v>
      </c>
      <c r="T149" s="1">
        <f>[1]节奏总纲!T149</f>
        <v>6324.8378074874072</v>
      </c>
      <c r="V149" s="1">
        <f>[1]节奏总纲!V149</f>
        <v>146</v>
      </c>
      <c r="W149" s="1">
        <f>[1]节奏总纲!W149</f>
        <v>1663.0252197855516</v>
      </c>
      <c r="X149" s="1">
        <f>[1]节奏总纲!X149</f>
        <v>1404.1147686791555</v>
      </c>
      <c r="Y149" s="1">
        <f>[1]节奏总纲!Y149</f>
        <v>1068.7420354685873</v>
      </c>
      <c r="Z149" s="1">
        <f>[1]节奏总纲!Z149</f>
        <v>742.45648734666247</v>
      </c>
      <c r="AA149" s="1">
        <f>[1]节奏总纲!AA149</f>
        <v>398.08610097286601</v>
      </c>
      <c r="AC149" s="1">
        <f>[1]节奏总纲!AC149</f>
        <v>146</v>
      </c>
      <c r="AD149" s="1">
        <f>[1]节奏总纲!AD149</f>
        <v>71.996608965073719</v>
      </c>
      <c r="AE149" s="1">
        <f>[1]节奏总纲!AE149</f>
        <v>74.078973000522922</v>
      </c>
      <c r="AF149" s="1">
        <f>[1]节奏总纲!AF149</f>
        <v>76.946896070604097</v>
      </c>
      <c r="AG149" s="1">
        <f>[1]节奏总纲!AG149</f>
        <v>81.521267629865079</v>
      </c>
      <c r="AH149" s="1">
        <f>[1]节奏总纲!AH149</f>
        <v>90.798961767426448</v>
      </c>
      <c r="AZ149" s="1">
        <f>[1]节奏总纲!AZ149</f>
        <v>146</v>
      </c>
      <c r="BA149" s="1">
        <f>[1]节奏总纲!BA149</f>
        <v>40.565257713910484</v>
      </c>
      <c r="BB149" s="1">
        <f>[1]节奏总纲!BB149</f>
        <v>42.080366850119908</v>
      </c>
      <c r="BC149" s="1">
        <f>[1]节奏总纲!BC149</f>
        <v>44.024818750237806</v>
      </c>
      <c r="BD149" s="1">
        <f>[1]节奏总纲!BD149</f>
        <v>46.754011500516519</v>
      </c>
      <c r="BE149" s="1">
        <f>[1]节奏总纲!BE149</f>
        <v>51.446820014704571</v>
      </c>
      <c r="BI149" s="1">
        <f>[1]节奏总纲!BI149</f>
        <v>146</v>
      </c>
      <c r="BJ149" s="1">
        <f>[1]节奏总纲!BJ149</f>
        <v>3.4999999999999978</v>
      </c>
      <c r="BK149" s="1">
        <f>[1]节奏总纲!BK149</f>
        <v>3.5699999999999976</v>
      </c>
      <c r="BL149" s="1">
        <f>[1]节奏总纲!BL149</f>
        <v>3.7099999999999977</v>
      </c>
      <c r="BM149" s="1">
        <f>[1]节奏总纲!BM149</f>
        <v>3.9899999999999971</v>
      </c>
      <c r="BN149" s="1">
        <f>[1]节奏总纲!BN149</f>
        <v>4.8999999999999968</v>
      </c>
      <c r="BW149" s="1">
        <f>[1]节奏总纲!BW149</f>
        <v>146</v>
      </c>
      <c r="BX149" s="1">
        <f>[1]节奏总纲!BX149</f>
        <v>75.526704686495577</v>
      </c>
      <c r="BY149" s="1">
        <f>[1]节奏总纲!BY149</f>
        <v>75.932934505318755</v>
      </c>
      <c r="BZ149" s="1">
        <f>[1]节奏总纲!BZ149</f>
        <v>76.319625507968723</v>
      </c>
      <c r="CA149" s="1">
        <f>[1]节奏总纲!CA149</f>
        <v>76.740746590526484</v>
      </c>
      <c r="CB149" s="1">
        <f>[1]节奏总纲!CB149</f>
        <v>77.192425415760482</v>
      </c>
      <c r="CC149" s="1">
        <f>[1]节奏总纲!CC149</f>
        <v>77.192425415760482</v>
      </c>
    </row>
    <row r="150" spans="6:81" x14ac:dyDescent="0.15">
      <c r="F150" s="1">
        <f>[1]节奏总纲!F150</f>
        <v>148</v>
      </c>
      <c r="G150" s="1">
        <f>[1]节奏总纲!G150</f>
        <v>28525.200858087381</v>
      </c>
      <c r="N150" s="1">
        <f>[1]节奏总纲!N150</f>
        <v>157</v>
      </c>
      <c r="O150" s="1">
        <f>[1]节奏总纲!O150</f>
        <v>147</v>
      </c>
      <c r="P150" s="1">
        <f>[1]节奏总纲!P150</f>
        <v>26614.886523801088</v>
      </c>
      <c r="Q150" s="1">
        <f>[1]节奏总纲!Q150</f>
        <v>22470.948692045258</v>
      </c>
      <c r="R150" s="1">
        <f>[1]节奏总纲!R150</f>
        <v>17837.296948251489</v>
      </c>
      <c r="S150" s="1">
        <f>[1]节奏总纲!S150</f>
        <v>12631.425144195997</v>
      </c>
      <c r="T150" s="1">
        <f>[1]节奏总纲!T150</f>
        <v>6754.8581997407164</v>
      </c>
      <c r="V150" s="1">
        <f>[1]节奏总纲!V150</f>
        <v>147</v>
      </c>
      <c r="W150" s="1">
        <f>[1]节奏总纲!W150</f>
        <v>1782.3862980947379</v>
      </c>
      <c r="X150" s="1">
        <f>[1]节奏总纲!X150</f>
        <v>1435.3377508494086</v>
      </c>
      <c r="Y150" s="1">
        <f>[1]节奏总纲!Y150</f>
        <v>1117.574546283402</v>
      </c>
      <c r="Z150" s="1">
        <f>[1]节奏总纲!Z150</f>
        <v>783.83928651149654</v>
      </c>
      <c r="AA150" s="1">
        <f>[1]节奏总纲!AA150</f>
        <v>430.02039225330918</v>
      </c>
      <c r="AC150" s="1">
        <f>[1]节奏总纲!AC150</f>
        <v>147</v>
      </c>
      <c r="AD150" s="1">
        <f>[1]节奏总纲!AD150</f>
        <v>72.091594979242075</v>
      </c>
      <c r="AE150" s="1">
        <f>[1]节奏总纲!AE150</f>
        <v>74.173410870467364</v>
      </c>
      <c r="AF150" s="1">
        <f>[1]节奏总纲!AF150</f>
        <v>77.043751281705866</v>
      </c>
      <c r="AG150" s="1">
        <f>[1]节奏总纲!AG150</f>
        <v>81.620751423273092</v>
      </c>
      <c r="AH150" s="1">
        <f>[1]节奏总纲!AH150</f>
        <v>90.905220813499923</v>
      </c>
      <c r="AZ150" s="1">
        <f>[1]节奏总纲!AZ150</f>
        <v>147</v>
      </c>
      <c r="BA150" s="1">
        <f>[1]节奏总纲!BA150</f>
        <v>40.611876906810316</v>
      </c>
      <c r="BB150" s="1">
        <f>[1]节奏总纲!BB150</f>
        <v>42.123757793778736</v>
      </c>
      <c r="BC150" s="1">
        <f>[1]节奏总纲!BC150</f>
        <v>44.067911160744309</v>
      </c>
      <c r="BD150" s="1">
        <f>[1]节奏总纲!BD150</f>
        <v>46.802171607563338</v>
      </c>
      <c r="BE150" s="1">
        <f>[1]节奏总纲!BE150</f>
        <v>51.493031550542263</v>
      </c>
      <c r="BI150" s="1">
        <f>[1]节奏总纲!BI150</f>
        <v>147</v>
      </c>
      <c r="BJ150" s="1">
        <f>[1]节奏总纲!BJ150</f>
        <v>3.4999999999999978</v>
      </c>
      <c r="BK150" s="1">
        <f>[1]节奏总纲!BK150</f>
        <v>3.5699999999999976</v>
      </c>
      <c r="BL150" s="1">
        <f>[1]节奏总纲!BL150</f>
        <v>3.7099999999999977</v>
      </c>
      <c r="BM150" s="1">
        <f>[1]节奏总纲!BM150</f>
        <v>3.9899999999999971</v>
      </c>
      <c r="BN150" s="1">
        <f>[1]节奏总纲!BN150</f>
        <v>4.8999999999999968</v>
      </c>
      <c r="BW150" s="1">
        <f>[1]节奏总纲!BW150</f>
        <v>147</v>
      </c>
      <c r="BX150" s="1">
        <f>[1]节奏总纲!BX150</f>
        <v>76.018981963564528</v>
      </c>
      <c r="BY150" s="1">
        <f>[1]节奏总纲!BY150</f>
        <v>76.37307935688159</v>
      </c>
      <c r="BZ150" s="1">
        <f>[1]节奏总纲!BZ150</f>
        <v>76.767142595945487</v>
      </c>
      <c r="CA150" s="1">
        <f>[1]节奏总纲!CA150</f>
        <v>77.182945989803613</v>
      </c>
      <c r="CB150" s="1">
        <f>[1]节奏总纲!CB150</f>
        <v>77.639136792985582</v>
      </c>
      <c r="CC150" s="1">
        <f>[1]节奏总纲!CC150</f>
        <v>77.639136792985582</v>
      </c>
    </row>
    <row r="151" spans="6:81" x14ac:dyDescent="0.15">
      <c r="F151" s="1">
        <f>[1]节奏总纲!F151</f>
        <v>149</v>
      </c>
      <c r="G151" s="1">
        <f>[1]节奏总纲!G151</f>
        <v>30572.62506667812</v>
      </c>
      <c r="N151" s="1">
        <f>[1]节奏总纲!N151</f>
        <v>158</v>
      </c>
      <c r="O151" s="1">
        <f>[1]节奏总纲!O151</f>
        <v>148</v>
      </c>
      <c r="P151" s="1">
        <f>[1]节奏总纲!P151</f>
        <v>28525.200858087381</v>
      </c>
      <c r="Q151" s="1">
        <f>[1]节奏总纲!Q151</f>
        <v>24083.827084483179</v>
      </c>
      <c r="R151" s="1">
        <f>[1]节奏总纲!R151</f>
        <v>19128.999695433398</v>
      </c>
      <c r="S151" s="1">
        <f>[1]节奏总纲!S151</f>
        <v>13566.58552810636</v>
      </c>
      <c r="T151" s="1">
        <f>[1]节奏总纲!T151</f>
        <v>7242.5484978683862</v>
      </c>
      <c r="V151" s="1">
        <f>[1]节奏总纲!V151</f>
        <v>148</v>
      </c>
      <c r="W151" s="1">
        <f>[1]节奏总纲!W151</f>
        <v>1910.3143342862932</v>
      </c>
      <c r="X151" s="1">
        <f>[1]节奏总纲!X151</f>
        <v>1612.8783924379204</v>
      </c>
      <c r="Y151" s="1">
        <f>[1]节奏总纲!Y151</f>
        <v>1291.7027471819092</v>
      </c>
      <c r="Z151" s="1">
        <f>[1]节奏总纲!Z151</f>
        <v>935.16038391036273</v>
      </c>
      <c r="AA151" s="1">
        <f>[1]节奏总纲!AA151</f>
        <v>487.69029812766985</v>
      </c>
      <c r="AC151" s="1">
        <f>[1]节奏总纲!AC151</f>
        <v>148</v>
      </c>
      <c r="AD151" s="1">
        <f>[1]节奏总纲!AD151</f>
        <v>72.186353905945822</v>
      </c>
      <c r="AE151" s="1">
        <f>[1]节奏总纲!AE151</f>
        <v>74.267848740411821</v>
      </c>
      <c r="AF151" s="1">
        <f>[1]节奏总纲!AF151</f>
        <v>77.137200185007629</v>
      </c>
      <c r="AG151" s="1">
        <f>[1]节奏总纲!AG151</f>
        <v>81.720235216681118</v>
      </c>
      <c r="AH151" s="1">
        <f>[1]节奏总纲!AH151</f>
        <v>91.011076811620597</v>
      </c>
      <c r="AZ151" s="1">
        <f>[1]节奏总纲!AZ151</f>
        <v>148</v>
      </c>
      <c r="BA151" s="1">
        <f>[1]节奏总纲!BA151</f>
        <v>40.658496099710149</v>
      </c>
      <c r="BB151" s="1">
        <f>[1]节奏总纲!BB151</f>
        <v>42.167148737437564</v>
      </c>
      <c r="BC151" s="1">
        <f>[1]节奏总纲!BC151</f>
        <v>44.111003571250812</v>
      </c>
      <c r="BD151" s="1">
        <f>[1]节奏总纲!BD151</f>
        <v>46.850331714610157</v>
      </c>
      <c r="BE151" s="1">
        <f>[1]节奏总纲!BE151</f>
        <v>51.539243086379955</v>
      </c>
      <c r="BI151" s="1">
        <f>[1]节奏总纲!BI151</f>
        <v>148</v>
      </c>
      <c r="BJ151" s="1">
        <f>[1]节奏总纲!BJ151</f>
        <v>3.4999999999999978</v>
      </c>
      <c r="BK151" s="1">
        <f>[1]节奏总纲!BK151</f>
        <v>3.5699999999999976</v>
      </c>
      <c r="BL151" s="1">
        <f>[1]节奏总纲!BL151</f>
        <v>3.7099999999999977</v>
      </c>
      <c r="BM151" s="1">
        <f>[1]节奏总纲!BM151</f>
        <v>3.9899999999999971</v>
      </c>
      <c r="BN151" s="1">
        <f>[1]节奏总纲!BN151</f>
        <v>4.8999999999999968</v>
      </c>
      <c r="BW151" s="1">
        <f>[1]节奏总纲!BW151</f>
        <v>148</v>
      </c>
      <c r="BX151" s="1">
        <f>[1]节奏总纲!BX151</f>
        <v>76.477957149162563</v>
      </c>
      <c r="BY151" s="1">
        <f>[1]节奏总纲!BY151</f>
        <v>76.857470293382107</v>
      </c>
      <c r="BZ151" s="1">
        <f>[1]节奏总纲!BZ151</f>
        <v>77.245919604256756</v>
      </c>
      <c r="CA151" s="1">
        <f>[1]节奏总纲!CA151</f>
        <v>77.668675027947558</v>
      </c>
      <c r="CB151" s="1">
        <f>[1]节奏总纲!CB151</f>
        <v>78.126046531078771</v>
      </c>
      <c r="CC151" s="1">
        <f>[1]节奏总纲!CC151</f>
        <v>78.126046531078771</v>
      </c>
    </row>
    <row r="152" spans="6:81" x14ac:dyDescent="0.15">
      <c r="F152" s="1">
        <f>[1]节奏总纲!F152</f>
        <v>150</v>
      </c>
      <c r="G152" s="1">
        <f>[1]节奏总纲!G152</f>
        <v>32767</v>
      </c>
      <c r="N152" s="1">
        <f>[1]节奏总纲!N152</f>
        <v>159</v>
      </c>
      <c r="O152" s="1">
        <f>[1]节奏总纲!O152</f>
        <v>149</v>
      </c>
      <c r="P152" s="1">
        <f>[1]节奏总纲!P152</f>
        <v>30572.62506667812</v>
      </c>
      <c r="Q152" s="1">
        <f>[1]节奏总纲!Q152</f>
        <v>25818.581868809673</v>
      </c>
      <c r="R152" s="1">
        <f>[1]节奏总纲!R152</f>
        <v>20520.345944754354</v>
      </c>
      <c r="S152" s="1">
        <f>[1]节奏总纲!S152</f>
        <v>14549.512269232117</v>
      </c>
      <c r="T152" s="1">
        <f>[1]节奏总纲!T152</f>
        <v>7768.50402944291</v>
      </c>
      <c r="V152" s="1">
        <f>[1]节奏总纲!V152</f>
        <v>149</v>
      </c>
      <c r="W152" s="1">
        <f>[1]节奏总纲!W152</f>
        <v>2047.424208590739</v>
      </c>
      <c r="X152" s="1">
        <f>[1]节奏总纲!X152</f>
        <v>1734.7547843264947</v>
      </c>
      <c r="Y152" s="1">
        <f>[1]节奏总纲!Y152</f>
        <v>1391.3462493209554</v>
      </c>
      <c r="Z152" s="1">
        <f>[1]节奏总纲!Z152</f>
        <v>982.92674112575696</v>
      </c>
      <c r="AA152" s="1">
        <f>[1]节奏总纲!AA152</f>
        <v>525.95553157452377</v>
      </c>
      <c r="AC152" s="1">
        <f>[1]节奏总纲!AC152</f>
        <v>149</v>
      </c>
      <c r="AD152" s="1">
        <f>[1]节奏总纲!AD152</f>
        <v>72.281112832649583</v>
      </c>
      <c r="AE152" s="1">
        <f>[1]节奏总纲!AE152</f>
        <v>74.362286610356264</v>
      </c>
      <c r="AF152" s="1">
        <f>[1]节奏总纲!AF152</f>
        <v>77.230649088309391</v>
      </c>
      <c r="AG152" s="1">
        <f>[1]节奏总纲!AG152</f>
        <v>81.819719010089131</v>
      </c>
      <c r="AH152" s="1">
        <f>[1]节奏总纲!AH152</f>
        <v>91.113605194377854</v>
      </c>
      <c r="AZ152" s="1">
        <f>[1]节奏总纲!AZ152</f>
        <v>149</v>
      </c>
      <c r="BA152" s="1">
        <f>[1]节奏总纲!BA152</f>
        <v>40.705115292609982</v>
      </c>
      <c r="BB152" s="1">
        <f>[1]节奏总纲!BB152</f>
        <v>42.2105396810964</v>
      </c>
      <c r="BC152" s="1">
        <f>[1]节奏总纲!BC152</f>
        <v>44.154095981757315</v>
      </c>
      <c r="BD152" s="1">
        <f>[1]节奏总纲!BD152</f>
        <v>46.898491821656968</v>
      </c>
      <c r="BE152" s="1">
        <f>[1]节奏总纲!BE152</f>
        <v>51.585454622217647</v>
      </c>
      <c r="BI152" s="1">
        <f>[1]节奏总纲!BI152</f>
        <v>149</v>
      </c>
      <c r="BJ152" s="1">
        <f>[1]节奏总纲!BJ152</f>
        <v>3.4999999999999978</v>
      </c>
      <c r="BK152" s="1">
        <f>[1]节奏总纲!BK152</f>
        <v>3.5699999999999976</v>
      </c>
      <c r="BL152" s="1">
        <f>[1]节奏总纲!BL152</f>
        <v>3.7099999999999977</v>
      </c>
      <c r="BM152" s="1">
        <f>[1]节奏总纲!BM152</f>
        <v>3.9899999999999971</v>
      </c>
      <c r="BN152" s="1">
        <f>[1]节奏总纲!BN152</f>
        <v>4.8999999999999968</v>
      </c>
      <c r="BW152" s="1">
        <f>[1]节奏总纲!BW152</f>
        <v>149</v>
      </c>
      <c r="BX152" s="1">
        <f>[1]节奏总纲!BX152</f>
        <v>76.969874573049196</v>
      </c>
      <c r="BY152" s="1">
        <f>[1]节奏总纲!BY152</f>
        <v>77.327271482343065</v>
      </c>
      <c r="BZ152" s="1">
        <f>[1]节奏总纲!BZ152</f>
        <v>77.727703112223537</v>
      </c>
      <c r="CA152" s="1">
        <f>[1]节奏总纲!CA152</f>
        <v>78.1549799524241</v>
      </c>
      <c r="CB152" s="1">
        <f>[1]节奏总纲!CB152</f>
        <v>78.598533634779585</v>
      </c>
      <c r="CC152" s="1">
        <f>[1]节奏总纲!CC152</f>
        <v>78.598533634779585</v>
      </c>
    </row>
    <row r="153" spans="6:81" x14ac:dyDescent="0.15">
      <c r="F153" s="1">
        <f>[1]节奏总纲!F153</f>
        <v>151</v>
      </c>
      <c r="G153" s="1">
        <f>[1]节奏总纲!G153</f>
        <v>35118.87282038921</v>
      </c>
      <c r="N153" s="1">
        <f>[1]节奏总纲!N153</f>
        <v>160</v>
      </c>
      <c r="O153" s="1">
        <f>[1]节奏总纲!O153</f>
        <v>150</v>
      </c>
      <c r="P153" s="1">
        <f>[1]节奏总纲!P153</f>
        <v>32767</v>
      </c>
      <c r="Q153" s="1">
        <f>[1]节奏总纲!Q153</f>
        <v>27671.731500000002</v>
      </c>
      <c r="R153" s="1">
        <f>[1]节奏总纲!R153</f>
        <v>21996.487099999998</v>
      </c>
      <c r="S153" s="1">
        <f>[1]节奏总纲!S153</f>
        <v>15603.645400000001</v>
      </c>
      <c r="T153" s="1">
        <f>[1]节奏总纲!T153</f>
        <v>8355.5850000000009</v>
      </c>
      <c r="V153" s="1">
        <f>[1]节奏总纲!V153</f>
        <v>150</v>
      </c>
      <c r="W153" s="1">
        <f>[1]节奏总纲!W153</f>
        <v>2194.3749333218802</v>
      </c>
      <c r="X153" s="1">
        <f>[1]节奏总纲!X153</f>
        <v>1853.1496311903284</v>
      </c>
      <c r="Y153" s="1">
        <f>[1]节奏总纲!Y153</f>
        <v>1476.1411552456448</v>
      </c>
      <c r="Z153" s="1">
        <f>[1]节奏总纲!Z153</f>
        <v>1054.1331307678847</v>
      </c>
      <c r="AA153" s="1">
        <f>[1]节奏总纲!AA153</f>
        <v>587.08097055709095</v>
      </c>
      <c r="AC153" s="1">
        <f>[1]节奏总纲!AC153</f>
        <v>150</v>
      </c>
      <c r="AD153" s="1">
        <f>[1]节奏总纲!AD153</f>
        <v>72.375871759353331</v>
      </c>
      <c r="AE153" s="1">
        <f>[1]节奏总纲!AE153</f>
        <v>74.456724480300707</v>
      </c>
      <c r="AF153" s="1">
        <f>[1]节奏总纲!AF153</f>
        <v>77.324097991611154</v>
      </c>
      <c r="AG153" s="1">
        <f>[1]节奏总纲!AG153</f>
        <v>81.919202803497143</v>
      </c>
      <c r="AH153" s="1">
        <f>[1]节奏总纲!AH153</f>
        <v>91.216133577135096</v>
      </c>
      <c r="AZ153" s="1">
        <f>[1]节奏总纲!AZ153</f>
        <v>150</v>
      </c>
      <c r="BA153" s="1">
        <f>[1]节奏总纲!BA153</f>
        <v>40.751734485509814</v>
      </c>
      <c r="BB153" s="1">
        <f>[1]节奏总纲!BB153</f>
        <v>42.253930624755228</v>
      </c>
      <c r="BC153" s="1">
        <f>[1]节奏总纲!BC153</f>
        <v>44.197188392263818</v>
      </c>
      <c r="BD153" s="1">
        <f>[1]节奏总纲!BD153</f>
        <v>46.946651928703787</v>
      </c>
      <c r="BE153" s="1">
        <f>[1]节奏总纲!BE153</f>
        <v>51.631666158055346</v>
      </c>
      <c r="BI153" s="1">
        <f>[1]节奏总纲!BI153</f>
        <v>150</v>
      </c>
      <c r="BJ153" s="1">
        <f>[1]节奏总纲!BJ153</f>
        <v>3.4999999999999978</v>
      </c>
      <c r="BK153" s="1">
        <f>[1]节奏总纲!BK153</f>
        <v>3.5699999999999976</v>
      </c>
      <c r="BL153" s="1">
        <f>[1]节奏总纲!BL153</f>
        <v>3.7099999999999977</v>
      </c>
      <c r="BM153" s="1">
        <f>[1]节奏总纲!BM153</f>
        <v>3.9899999999999971</v>
      </c>
      <c r="BN153" s="1">
        <f>[1]节奏总纲!BN153</f>
        <v>4.8999999999999968</v>
      </c>
      <c r="BW153" s="1">
        <f>[1]节奏总纲!BW153</f>
        <v>150</v>
      </c>
      <c r="BX153" s="1">
        <f>[1]节奏总纲!BX153</f>
        <v>77.429859113413457</v>
      </c>
      <c r="BY153" s="1">
        <f>[1]节奏总纲!BY153</f>
        <v>77.808541114473428</v>
      </c>
      <c r="BZ153" s="1">
        <f>[1]节奏总纲!BZ153</f>
        <v>78.206550290005254</v>
      </c>
      <c r="CA153" s="1">
        <f>[1]节奏总纲!CA153</f>
        <v>78.628465142683979</v>
      </c>
      <c r="CB153" s="1">
        <f>[1]节奏总纲!CB153</f>
        <v>79.108907766261424</v>
      </c>
      <c r="CC153" s="1">
        <f>[1]节奏总纲!CC153</f>
        <v>79.108907766261424</v>
      </c>
    </row>
    <row r="154" spans="6:81" x14ac:dyDescent="0.15">
      <c r="F154" s="1">
        <f>[1]节奏总纲!F154</f>
        <v>152</v>
      </c>
      <c r="G154" s="1">
        <f>[1]节奏总纲!G154</f>
        <v>37639.547696542824</v>
      </c>
      <c r="N154" s="1">
        <f>[1]节奏总纲!N154</f>
        <v>161</v>
      </c>
      <c r="O154" s="1">
        <f>[1]节奏总纲!O154</f>
        <v>151</v>
      </c>
      <c r="P154" s="1">
        <f>[1]节奏总纲!P154</f>
        <v>35118.87282038921</v>
      </c>
      <c r="Q154" s="1">
        <f>[1]节奏总纲!Q154</f>
        <v>29671.935645946844</v>
      </c>
      <c r="R154" s="1">
        <f>[1]节奏总纲!R154</f>
        <v>23592.858760737468</v>
      </c>
      <c r="S154" s="1">
        <f>[1]节奏总纲!S154</f>
        <v>16804.380644556237</v>
      </c>
      <c r="T154" s="1">
        <f>[1]节奏总纲!T154</f>
        <v>9095.7880604808051</v>
      </c>
      <c r="V154" s="1">
        <f>[1]节奏总纲!V154</f>
        <v>151</v>
      </c>
      <c r="W154" s="1">
        <f>[1]节奏总纲!W154</f>
        <v>2351.8728203892097</v>
      </c>
      <c r="X154" s="1">
        <f>[1]节奏总纲!X154</f>
        <v>2000.2041459468419</v>
      </c>
      <c r="Y154" s="1">
        <f>[1]节奏总纲!Y154</f>
        <v>1596.3716607374699</v>
      </c>
      <c r="Z154" s="1">
        <f>[1]节奏总纲!Z154</f>
        <v>1200.7352445562356</v>
      </c>
      <c r="AA154" s="1">
        <f>[1]节奏总纲!AA154</f>
        <v>740.2030604808042</v>
      </c>
      <c r="AC154" s="1">
        <f>[1]节奏总纲!AC154</f>
        <v>151</v>
      </c>
      <c r="AD154" s="1">
        <f>[1]节奏总纲!AD154</f>
        <v>72.470630686057078</v>
      </c>
      <c r="AE154" s="1">
        <f>[1]节奏总纲!AE154</f>
        <v>74.551162350245164</v>
      </c>
      <c r="AF154" s="1">
        <f>[1]节奏总纲!AF154</f>
        <v>77.417546894912917</v>
      </c>
      <c r="AG154" s="1">
        <f>[1]节奏总纲!AG154</f>
        <v>82.01744549958407</v>
      </c>
      <c r="AH154" s="1">
        <f>[1]节奏总纲!AH154</f>
        <v>91.318661959892353</v>
      </c>
      <c r="AZ154" s="1">
        <f>[1]节奏总纲!AZ154</f>
        <v>151</v>
      </c>
      <c r="BA154" s="1">
        <f>[1]节奏总纲!BA154</f>
        <v>40.798353678409647</v>
      </c>
      <c r="BB154" s="1">
        <f>[1]节奏总纲!BB154</f>
        <v>42.297321568414056</v>
      </c>
      <c r="BC154" s="1">
        <f>[1]节奏总纲!BC154</f>
        <v>44.240280802770329</v>
      </c>
      <c r="BD154" s="1">
        <f>[1]节奏总纲!BD154</f>
        <v>46.994812035750606</v>
      </c>
      <c r="BE154" s="1">
        <f>[1]节奏总纲!BE154</f>
        <v>51.677877693893038</v>
      </c>
      <c r="BI154" s="1">
        <f>[1]节奏总纲!BI154</f>
        <v>151</v>
      </c>
      <c r="BJ154" s="1">
        <f>[1]节奏总纲!BJ154</f>
        <v>3.4999999999999978</v>
      </c>
      <c r="BK154" s="1">
        <f>[1]节奏总纲!BK154</f>
        <v>3.5699999999999976</v>
      </c>
      <c r="BL154" s="1">
        <f>[1]节奏总纲!BL154</f>
        <v>3.7099999999999977</v>
      </c>
      <c r="BM154" s="1">
        <f>[1]节奏总纲!BM154</f>
        <v>3.9899999999999971</v>
      </c>
      <c r="BN154" s="1">
        <f>[1]节奏总纲!BN154</f>
        <v>4.8999999999999968</v>
      </c>
      <c r="BW154" s="1">
        <f>[1]节奏总纲!BW154</f>
        <v>151</v>
      </c>
      <c r="BX154" s="1">
        <f>[1]节奏总纲!BX154</f>
        <v>77.918490985566862</v>
      </c>
      <c r="BY154" s="1">
        <f>[1]节奏总纲!BY154</f>
        <v>78.283647251084375</v>
      </c>
      <c r="BZ154" s="1">
        <f>[1]节奏总纲!BZ154</f>
        <v>78.684578676520431</v>
      </c>
      <c r="CA154" s="1">
        <f>[1]节奏总纲!CA154</f>
        <v>79.145115266529871</v>
      </c>
      <c r="CB154" s="1">
        <f>[1]节奏总纲!CB154</f>
        <v>79.683968750737293</v>
      </c>
      <c r="CC154" s="1">
        <f>[1]节奏总纲!CC154</f>
        <v>79.683968750737293</v>
      </c>
    </row>
    <row r="155" spans="6:81" x14ac:dyDescent="0.15">
      <c r="F155" s="1">
        <f>[1]节奏总纲!F155</f>
        <v>153</v>
      </c>
      <c r="G155" s="1">
        <f>[1]节奏总纲!G155</f>
        <v>40341.140136486232</v>
      </c>
      <c r="N155" s="1">
        <f>[1]节奏总纲!N155</f>
        <v>162</v>
      </c>
      <c r="O155" s="1">
        <f>[1]节奏总纲!O155</f>
        <v>152</v>
      </c>
      <c r="P155" s="1">
        <f>[1]节奏总纲!P155</f>
        <v>37639.547696542824</v>
      </c>
      <c r="Q155" s="1">
        <f>[1]节奏总纲!Q155</f>
        <v>31794.125939269725</v>
      </c>
      <c r="R155" s="1">
        <f>[1]节奏总纲!R155</f>
        <v>25425.514469014677</v>
      </c>
      <c r="S155" s="1">
        <f>[1]节奏总纲!S155</f>
        <v>18255.180632823271</v>
      </c>
      <c r="T155" s="1">
        <f>[1]节奏总纲!T155</f>
        <v>14114.830386203559</v>
      </c>
      <c r="V155" s="1">
        <f>[1]节奏总纲!V155</f>
        <v>152</v>
      </c>
      <c r="W155" s="1">
        <f>[1]节奏总纲!W155</f>
        <v>2520.6748761536146</v>
      </c>
      <c r="X155" s="1">
        <f>[1]节奏总纲!X155</f>
        <v>2122.1902933228812</v>
      </c>
      <c r="Y155" s="1">
        <f>[1]节奏总纲!Y155</f>
        <v>1832.6557082772088</v>
      </c>
      <c r="Z155" s="1">
        <f>[1]节奏总纲!Z155</f>
        <v>1450.7999882670338</v>
      </c>
      <c r="AA155" s="1">
        <f>[1]节奏总纲!AA155</f>
        <v>5019.042325722754</v>
      </c>
      <c r="AC155" s="1">
        <f>[1]节奏总纲!AC155</f>
        <v>152</v>
      </c>
      <c r="AD155" s="1">
        <f>[1]节奏总纲!AD155</f>
        <v>72.565389612760825</v>
      </c>
      <c r="AE155" s="1">
        <f>[1]节奏总纲!AE155</f>
        <v>74.645600220189607</v>
      </c>
      <c r="AF155" s="1">
        <f>[1]节奏总纲!AF155</f>
        <v>77.51099579821468</v>
      </c>
      <c r="AG155" s="1">
        <f>[1]节奏总纲!AG155</f>
        <v>82.110321933176039</v>
      </c>
      <c r="AH155" s="1">
        <f>[1]节奏总纲!AH155</f>
        <v>91.421190342649595</v>
      </c>
      <c r="AZ155" s="1">
        <f>[1]节奏总纲!AZ155</f>
        <v>152</v>
      </c>
      <c r="BA155" s="1">
        <f>[1]节奏总纲!BA155</f>
        <v>40.84497287130948</v>
      </c>
      <c r="BB155" s="1">
        <f>[1]节奏总纲!BB155</f>
        <v>42.340712512072891</v>
      </c>
      <c r="BC155" s="1">
        <f>[1]节奏总纲!BC155</f>
        <v>44.283373213276832</v>
      </c>
      <c r="BD155" s="1">
        <f>[1]节奏总纲!BD155</f>
        <v>47.037096473408994</v>
      </c>
      <c r="BE155" s="1">
        <f>[1]节奏总纲!BE155</f>
        <v>51.72408922973073</v>
      </c>
      <c r="BI155" s="1">
        <f>[1]节奏总纲!BI155</f>
        <v>152</v>
      </c>
      <c r="BJ155" s="1">
        <f>[1]节奏总纲!BJ155</f>
        <v>3.4999999999999978</v>
      </c>
      <c r="BK155" s="1">
        <f>[1]节奏总纲!BK155</f>
        <v>3.5699999999999976</v>
      </c>
      <c r="BL155" s="1">
        <f>[1]节奏总纲!BL155</f>
        <v>3.7099999999999977</v>
      </c>
      <c r="BM155" s="1">
        <f>[1]节奏总纲!BM155</f>
        <v>3.9899999999999971</v>
      </c>
      <c r="BN155" s="1">
        <f>[1]节奏总纲!BN155</f>
        <v>4.8999999999999968</v>
      </c>
      <c r="BW155" s="1">
        <f>[1]节奏总纲!BW155</f>
        <v>152</v>
      </c>
      <c r="BX155" s="1">
        <f>[1]节奏总纲!BX155</f>
        <v>78.382397883778651</v>
      </c>
      <c r="BY155" s="1">
        <f>[1]节奏总纲!BY155</f>
        <v>78.760259571422736</v>
      </c>
      <c r="BZ155" s="1">
        <f>[1]节奏总纲!BZ155</f>
        <v>79.201814062049863</v>
      </c>
      <c r="CA155" s="1">
        <f>[1]节奏总纲!CA155</f>
        <v>79.708675804221045</v>
      </c>
      <c r="CB155" s="1">
        <f>[1]节奏总纲!CB155</f>
        <v>80</v>
      </c>
      <c r="CC155" s="1">
        <f>[1]节奏总纲!CC155</f>
        <v>80</v>
      </c>
    </row>
    <row r="156" spans="6:81" x14ac:dyDescent="0.15">
      <c r="F156" s="1">
        <f>[1]节奏总纲!F156</f>
        <v>154</v>
      </c>
      <c r="G156" s="1">
        <f>[1]节奏总纲!G156</f>
        <v>43236.635220206183</v>
      </c>
      <c r="N156" s="1">
        <f>[1]节奏总纲!N156</f>
        <v>163</v>
      </c>
      <c r="O156" s="1">
        <f>[1]节奏总纲!O156</f>
        <v>153</v>
      </c>
      <c r="P156" s="1">
        <f>[1]节奏总纲!P156</f>
        <v>40341.140136486232</v>
      </c>
      <c r="Q156" s="1">
        <f>[1]节奏总纲!Q156</f>
        <v>34330.31025614978</v>
      </c>
      <c r="R156" s="1">
        <f>[1]节奏总纲!R156</f>
        <v>27552.998713220099</v>
      </c>
      <c r="S156" s="1">
        <f>[1]节奏总纲!S156</f>
        <v>24204.684081891737</v>
      </c>
      <c r="T156" s="1">
        <f>[1]节奏总纲!T156</f>
        <v>24204.684081891737</v>
      </c>
      <c r="V156" s="1">
        <f>[1]节奏总纲!V156</f>
        <v>153</v>
      </c>
      <c r="W156" s="1">
        <f>[1]节奏总纲!W156</f>
        <v>2701.592439943408</v>
      </c>
      <c r="X156" s="1">
        <f>[1]节奏总纲!X156</f>
        <v>2536.1843168800551</v>
      </c>
      <c r="Y156" s="1">
        <f>[1]节奏总纲!Y156</f>
        <v>2127.4842442054214</v>
      </c>
      <c r="Z156" s="1">
        <f>[1]节奏总纲!Z156</f>
        <v>5949.5034490684666</v>
      </c>
      <c r="AA156" s="1">
        <f>[1]节奏总纲!AA156</f>
        <v>10089.853695688178</v>
      </c>
      <c r="AC156" s="1">
        <f>[1]节奏总纲!AC156</f>
        <v>153</v>
      </c>
      <c r="AD156" s="1">
        <f>[1]节奏总纲!AD156</f>
        <v>72.660148539464572</v>
      </c>
      <c r="AE156" s="1">
        <f>[1]节奏总纲!AE156</f>
        <v>74.74003809013405</v>
      </c>
      <c r="AF156" s="1">
        <f>[1]节奏总纲!AF156</f>
        <v>77.604444701516456</v>
      </c>
      <c r="AG156" s="1">
        <f>[1]节奏总纲!AG156</f>
        <v>82.203198366767992</v>
      </c>
      <c r="AH156" s="1">
        <f>[1]节奏总纲!AH156</f>
        <v>91.523718725406852</v>
      </c>
      <c r="AZ156" s="1">
        <f>[1]节奏总纲!AZ156</f>
        <v>153</v>
      </c>
      <c r="BA156" s="1">
        <f>[1]节奏总纲!BA156</f>
        <v>40.891592064209313</v>
      </c>
      <c r="BB156" s="1">
        <f>[1]节奏总纲!BB156</f>
        <v>42.384103455731719</v>
      </c>
      <c r="BC156" s="1">
        <f>[1]节奏总纲!BC156</f>
        <v>44.326465623783335</v>
      </c>
      <c r="BD156" s="1">
        <f>[1]节奏总纲!BD156</f>
        <v>47.078671550054786</v>
      </c>
      <c r="BE156" s="1">
        <f>[1]节奏总纲!BE156</f>
        <v>51.770300765568422</v>
      </c>
      <c r="BI156" s="1">
        <f>[1]节奏总纲!BI156</f>
        <v>153</v>
      </c>
      <c r="BJ156" s="1">
        <f>[1]节奏总纲!BJ156</f>
        <v>3.4999999999999978</v>
      </c>
      <c r="BK156" s="1">
        <f>[1]节奏总纲!BK156</f>
        <v>3.5699999999999976</v>
      </c>
      <c r="BL156" s="1">
        <f>[1]节奏总纲!BL156</f>
        <v>3.7099999999999977</v>
      </c>
      <c r="BM156" s="1">
        <f>[1]节奏总纲!BM156</f>
        <v>3.9899999999999971</v>
      </c>
      <c r="BN156" s="1">
        <f>[1]节奏总纲!BN156</f>
        <v>4.8999999999999968</v>
      </c>
      <c r="BW156" s="1">
        <f>[1]节奏总纲!BW156</f>
        <v>153</v>
      </c>
      <c r="BX156" s="1">
        <f>[1]节奏总纲!BX156</f>
        <v>78.867787811519349</v>
      </c>
      <c r="BY156" s="1">
        <f>[1]节奏总纲!BY156</f>
        <v>79.28525743882193</v>
      </c>
      <c r="BZ156" s="1">
        <f>[1]节奏总纲!BZ156</f>
        <v>79.75275890824517</v>
      </c>
      <c r="CA156" s="1">
        <f>[1]节奏总纲!CA156</f>
        <v>80</v>
      </c>
      <c r="CB156" s="1">
        <f>[1]节奏总纲!CB156</f>
        <v>80</v>
      </c>
      <c r="CC156" s="1">
        <f>[1]节奏总纲!CC156</f>
        <v>80</v>
      </c>
    </row>
    <row r="157" spans="6:81" x14ac:dyDescent="0.15">
      <c r="F157" s="1">
        <f>[1]节奏总纲!F157</f>
        <v>155</v>
      </c>
      <c r="G157" s="1">
        <f>[1]节奏总纲!G157</f>
        <v>46339.950011841604</v>
      </c>
      <c r="N157" s="1">
        <f>[1]节奏总纲!N157</f>
        <v>164</v>
      </c>
      <c r="O157" s="1">
        <f>[1]节奏总纲!O157</f>
        <v>154</v>
      </c>
      <c r="P157" s="1">
        <f>[1]节奏总纲!P157</f>
        <v>43236.635220206183</v>
      </c>
      <c r="Q157" s="1">
        <f>[1]节奏总纲!Q157</f>
        <v>36967.323113276288</v>
      </c>
      <c r="R157" s="1">
        <f>[1]节奏总纲!R157</f>
        <v>33940.758647861854</v>
      </c>
      <c r="S157" s="1">
        <f>[1]节奏总纲!S157</f>
        <v>34156.941823962887</v>
      </c>
      <c r="T157" s="1">
        <f>[1]节奏总纲!T157</f>
        <v>34156.941823962887</v>
      </c>
      <c r="V157" s="1">
        <f>[1]节奏总纲!V157</f>
        <v>154</v>
      </c>
      <c r="W157" s="1">
        <f>[1]节奏总纲!W157</f>
        <v>2895.4950837199503</v>
      </c>
      <c r="X157" s="1">
        <f>[1]节奏总纲!X157</f>
        <v>2637.0128571265086</v>
      </c>
      <c r="Y157" s="1">
        <f>[1]节奏总纲!Y157</f>
        <v>6387.7599346417555</v>
      </c>
      <c r="Z157" s="1">
        <f>[1]节奏总纲!Z157</f>
        <v>9952.2577420711496</v>
      </c>
      <c r="AA157" s="1">
        <f>[1]节奏总纲!AA157</f>
        <v>9952.2577420711496</v>
      </c>
      <c r="AC157" s="1">
        <f>[1]节奏总纲!AC157</f>
        <v>154</v>
      </c>
      <c r="AD157" s="1">
        <f>[1]节奏总纲!AD157</f>
        <v>72.754907466168333</v>
      </c>
      <c r="AE157" s="1">
        <f>[1]节奏总纲!AE157</f>
        <v>74.834475960078507</v>
      </c>
      <c r="AF157" s="1">
        <f>[1]节奏总纲!AF157</f>
        <v>77.697893604818219</v>
      </c>
      <c r="AG157" s="1">
        <f>[1]节奏总纲!AG157</f>
        <v>82.29607480035996</v>
      </c>
      <c r="AH157" s="1">
        <f>[1]节奏总纲!AH157</f>
        <v>91.626247108164094</v>
      </c>
      <c r="AZ157" s="1">
        <f>[1]节奏总纲!AZ157</f>
        <v>154</v>
      </c>
      <c r="BA157" s="1">
        <f>[1]节奏总纲!BA157</f>
        <v>40.938211257109145</v>
      </c>
      <c r="BB157" s="1">
        <f>[1]节奏总纲!BB157</f>
        <v>42.427494399390554</v>
      </c>
      <c r="BC157" s="1">
        <f>[1]节奏总纲!BC157</f>
        <v>44.369558034289838</v>
      </c>
      <c r="BD157" s="1">
        <f>[1]节奏总纲!BD157</f>
        <v>47.12024662670057</v>
      </c>
      <c r="BE157" s="1">
        <f>[1]节奏总纲!BE157</f>
        <v>51.816512301406114</v>
      </c>
      <c r="BI157" s="1">
        <f>[1]节奏总纲!BI157</f>
        <v>154</v>
      </c>
      <c r="BJ157" s="1">
        <f>[1]节奏总纲!BJ157</f>
        <v>3.4999999999999978</v>
      </c>
      <c r="BK157" s="1">
        <f>[1]节奏总纲!BK157</f>
        <v>3.5699999999999976</v>
      </c>
      <c r="BL157" s="1">
        <f>[1]节奏总纲!BL157</f>
        <v>3.7099999999999977</v>
      </c>
      <c r="BM157" s="1">
        <f>[1]节奏总纲!BM157</f>
        <v>3.9899999999999971</v>
      </c>
      <c r="BN157" s="1">
        <f>[1]节奏总纲!BN157</f>
        <v>4.8999999999999968</v>
      </c>
      <c r="BW157" s="1">
        <f>[1]节奏总纲!BW157</f>
        <v>154</v>
      </c>
      <c r="BX157" s="1">
        <f>[1]节奏总纲!BX157</f>
        <v>79.335561067249373</v>
      </c>
      <c r="BY157" s="1">
        <f>[1]节奏总纲!BY157</f>
        <v>79.797428791068725</v>
      </c>
      <c r="BZ157" s="1">
        <f>[1]节奏总纲!BZ157</f>
        <v>80</v>
      </c>
      <c r="CA157" s="1">
        <f>[1]节奏总纲!CA157</f>
        <v>80</v>
      </c>
      <c r="CB157" s="1">
        <f>[1]节奏总纲!CB157</f>
        <v>80</v>
      </c>
      <c r="CC157" s="1">
        <f>[1]节奏总纲!CC157</f>
        <v>80</v>
      </c>
    </row>
    <row r="158" spans="6:81" x14ac:dyDescent="0.15">
      <c r="F158" s="1">
        <f>[1]节奏总纲!F158</f>
        <v>156</v>
      </c>
      <c r="G158" s="1">
        <f>[1]节奏总纲!G158</f>
        <v>49666.000451412707</v>
      </c>
      <c r="N158" s="1">
        <f>[1]节奏总纲!N158</f>
        <v>165</v>
      </c>
      <c r="O158" s="1">
        <f>[1]节奏总纲!O158</f>
        <v>155</v>
      </c>
      <c r="P158" s="1">
        <f>[1]节奏总纲!P158</f>
        <v>46339.950011841604</v>
      </c>
      <c r="Q158" s="1">
        <f>[1]节奏总纲!Q158</f>
        <v>44078.560451263736</v>
      </c>
      <c r="R158" s="1">
        <f>[1]节奏总纲!R158</f>
        <v>44402.940101346627</v>
      </c>
      <c r="S158" s="1">
        <f>[1]节奏总纲!S158</f>
        <v>44402.940101346627</v>
      </c>
      <c r="T158" s="1">
        <f>[1]节奏总纲!T158</f>
        <v>44541.959951382152</v>
      </c>
      <c r="V158" s="1">
        <f>[1]节奏总纲!V158</f>
        <v>155</v>
      </c>
      <c r="W158" s="1">
        <f>[1]节奏总纲!W158</f>
        <v>3103.314791635421</v>
      </c>
      <c r="X158" s="1">
        <f>[1]节奏总纲!X158</f>
        <v>7111.237337987448</v>
      </c>
      <c r="Y158" s="1">
        <f>[1]节奏总纲!Y158</f>
        <v>10462.181453484773</v>
      </c>
      <c r="Z158" s="1">
        <f>[1]节奏总纲!Z158</f>
        <v>10245.99827738374</v>
      </c>
      <c r="AA158" s="1">
        <f>[1]节奏总纲!AA158</f>
        <v>10385.018127419266</v>
      </c>
      <c r="AC158" s="1">
        <f>[1]节奏总纲!AC158</f>
        <v>155</v>
      </c>
      <c r="AD158" s="1">
        <f>[1]节奏总纲!AD158</f>
        <v>72.849666392872081</v>
      </c>
      <c r="AE158" s="1">
        <f>[1]节奏总纲!AE158</f>
        <v>74.92891383002295</v>
      </c>
      <c r="AF158" s="1">
        <f>[1]节奏总纲!AF158</f>
        <v>77.791342508119982</v>
      </c>
      <c r="AG158" s="1">
        <f>[1]节奏总纲!AG158</f>
        <v>82.388951233951914</v>
      </c>
      <c r="AH158" s="1">
        <f>[1]节奏总纲!AH158</f>
        <v>91.72877549092135</v>
      </c>
      <c r="AZ158" s="1">
        <f>[1]节奏总纲!AZ158</f>
        <v>155</v>
      </c>
      <c r="BA158" s="1">
        <f>[1]节奏总纲!BA158</f>
        <v>40.984830450008985</v>
      </c>
      <c r="BB158" s="1">
        <f>[1]节奏总纲!BB158</f>
        <v>42.470885343049382</v>
      </c>
      <c r="BC158" s="1">
        <f>[1]节奏总纲!BC158</f>
        <v>44.412650444796341</v>
      </c>
      <c r="BD158" s="1">
        <f>[1]节奏总纲!BD158</f>
        <v>47.161821703346362</v>
      </c>
      <c r="BE158" s="1">
        <f>[1]节奏总纲!BE158</f>
        <v>51.862723837243806</v>
      </c>
      <c r="BI158" s="1">
        <f>[1]节奏总纲!BI158</f>
        <v>155</v>
      </c>
      <c r="BJ158" s="1">
        <f>[1]节奏总纲!BJ158</f>
        <v>3.4999999999999978</v>
      </c>
      <c r="BK158" s="1">
        <f>[1]节奏总纲!BK158</f>
        <v>3.5699999999999976</v>
      </c>
      <c r="BL158" s="1">
        <f>[1]节奏总纲!BL158</f>
        <v>3.7099999999999977</v>
      </c>
      <c r="BM158" s="1">
        <f>[1]节奏总纲!BM158</f>
        <v>3.9899999999999971</v>
      </c>
      <c r="BN158" s="1">
        <f>[1]节奏总纲!BN158</f>
        <v>4.8999999999999968</v>
      </c>
      <c r="BW158" s="1">
        <f>[1]节奏总纲!BW158</f>
        <v>155</v>
      </c>
      <c r="BX158" s="1">
        <f>[1]节奏总纲!BX158</f>
        <v>79.8177517942256</v>
      </c>
      <c r="BY158" s="1">
        <f>[1]节奏总纲!BY158</f>
        <v>80</v>
      </c>
      <c r="BZ158" s="1">
        <f>[1]节奏总纲!BZ158</f>
        <v>80</v>
      </c>
      <c r="CA158" s="1">
        <f>[1]节奏总纲!CA158</f>
        <v>80</v>
      </c>
      <c r="CB158" s="1">
        <f>[1]节奏总纲!CB158</f>
        <v>80</v>
      </c>
      <c r="CC158" s="1">
        <f>[1]节奏总纲!CC158</f>
        <v>80</v>
      </c>
    </row>
    <row r="159" spans="6:81" x14ac:dyDescent="0.15">
      <c r="F159" s="1">
        <f>[1]节奏总纲!F159</f>
        <v>157</v>
      </c>
      <c r="G159" s="1">
        <f>[1]节奏总纲!G159</f>
        <v>53230.773047602182</v>
      </c>
      <c r="N159" s="1">
        <f>[1]节奏总纲!N159</f>
        <v>166</v>
      </c>
      <c r="O159" s="1">
        <f>[1]节奏总纲!O159</f>
        <v>156</v>
      </c>
      <c r="P159" s="1">
        <f>[1]节奏总纲!P159</f>
        <v>49666.000451412707</v>
      </c>
      <c r="Q159" s="1">
        <f>[1]节奏总纲!Q159</f>
        <v>49666.000451412707</v>
      </c>
      <c r="R159" s="1">
        <f>[1]节奏总纲!R159</f>
        <v>50162.660455926831</v>
      </c>
      <c r="S159" s="1">
        <f>[1]节奏总纲!S159</f>
        <v>50162.660455926831</v>
      </c>
      <c r="T159" s="1">
        <f>[1]节奏总纲!T159</f>
        <v>50311.658457281068</v>
      </c>
      <c r="V159" s="1">
        <f>[1]节奏总纲!V159</f>
        <v>156</v>
      </c>
      <c r="W159" s="1">
        <f>[1]节奏总纲!W159</f>
        <v>3326.0504395711032</v>
      </c>
      <c r="X159" s="1">
        <f>[1]节奏总纲!X159</f>
        <v>5587.4400001489703</v>
      </c>
      <c r="Y159" s="1">
        <f>[1]节奏总纲!Y159</f>
        <v>5759.720354580204</v>
      </c>
      <c r="Z159" s="1">
        <f>[1]节奏总纲!Z159</f>
        <v>5759.720354580204</v>
      </c>
      <c r="AA159" s="1">
        <f>[1]节奏总纲!AA159</f>
        <v>5769.6985058989158</v>
      </c>
      <c r="AC159" s="1">
        <f>[1]节奏总纲!AC159</f>
        <v>156</v>
      </c>
      <c r="AD159" s="1">
        <f>[1]节奏总纲!AD159</f>
        <v>72.944425319575828</v>
      </c>
      <c r="AE159" s="1">
        <f>[1]节奏总纲!AE159</f>
        <v>75.022035011469043</v>
      </c>
      <c r="AF159" s="1">
        <f>[1]节奏总纲!AF159</f>
        <v>77.884791411421745</v>
      </c>
      <c r="AG159" s="1">
        <f>[1]节奏总纲!AG159</f>
        <v>82.481827667543882</v>
      </c>
      <c r="AH159" s="1">
        <f>[1]节奏总纲!AH159</f>
        <v>91.831303873678593</v>
      </c>
      <c r="AZ159" s="1">
        <f>[1]节奏总纲!AZ159</f>
        <v>156</v>
      </c>
      <c r="BA159" s="1">
        <f>[1]节奏总纲!BA159</f>
        <v>41.027136894088379</v>
      </c>
      <c r="BB159" s="1">
        <f>[1]节奏总纲!BB159</f>
        <v>42.51427628670821</v>
      </c>
      <c r="BC159" s="1">
        <f>[1]节奏总纲!BC159</f>
        <v>44.455742855302844</v>
      </c>
      <c r="BD159" s="1">
        <f>[1]节奏总纲!BD159</f>
        <v>47.203396779992147</v>
      </c>
      <c r="BE159" s="1">
        <f>[1]节奏总纲!BE159</f>
        <v>51.908935373081505</v>
      </c>
      <c r="BI159" s="1">
        <f>[1]节奏总纲!BI159</f>
        <v>156</v>
      </c>
      <c r="BJ159" s="1">
        <f>[1]节奏总纲!BJ159</f>
        <v>3.4999999999999978</v>
      </c>
      <c r="BK159" s="1">
        <f>[1]节奏总纲!BK159</f>
        <v>3.5699999999999976</v>
      </c>
      <c r="BL159" s="1">
        <f>[1]节奏总纲!BL159</f>
        <v>3.7099999999999977</v>
      </c>
      <c r="BM159" s="1">
        <f>[1]节奏总纲!BM159</f>
        <v>3.9899999999999971</v>
      </c>
      <c r="BN159" s="1">
        <f>[1]节奏总纲!BN159</f>
        <v>4.8999999999999968</v>
      </c>
      <c r="BW159" s="1">
        <f>[1]节奏总纲!BW159</f>
        <v>156</v>
      </c>
      <c r="BX159" s="1">
        <f>[1]节奏总纲!BX159</f>
        <v>80</v>
      </c>
      <c r="BY159" s="1">
        <f>[1]节奏总纲!BY159</f>
        <v>80</v>
      </c>
      <c r="BZ159" s="1">
        <f>[1]节奏总纲!BZ159</f>
        <v>80</v>
      </c>
      <c r="CA159" s="1">
        <f>[1]节奏总纲!CA159</f>
        <v>80</v>
      </c>
      <c r="CB159" s="1">
        <f>[1]节奏总纲!CB159</f>
        <v>80</v>
      </c>
      <c r="CC159" s="1">
        <f>[1]节奏总纲!CC159</f>
        <v>80</v>
      </c>
    </row>
    <row r="160" spans="6:81" x14ac:dyDescent="0.15">
      <c r="F160" s="1">
        <f>[1]节奏总纲!F160</f>
        <v>158</v>
      </c>
      <c r="G160" s="1">
        <f>[1]节奏总纲!G160</f>
        <v>57051.401716174769</v>
      </c>
      <c r="N160" s="1">
        <f>[1]节奏总纲!N160</f>
        <v>167</v>
      </c>
      <c r="O160" s="1">
        <f>[1]节奏总纲!O160</f>
        <v>157</v>
      </c>
      <c r="P160" s="1">
        <f>[1]节奏总纲!P160</f>
        <v>53230.773047602182</v>
      </c>
      <c r="Q160" s="1">
        <f>[1]节奏总纲!Q160</f>
        <v>53230.773047602182</v>
      </c>
      <c r="R160" s="1">
        <f>[1]节奏总纲!R160</f>
        <v>53763.080778078205</v>
      </c>
      <c r="S160" s="1">
        <f>[1]节奏总纲!S160</f>
        <v>53763.080778078205</v>
      </c>
      <c r="T160" s="1">
        <f>[1]节奏总纲!T160</f>
        <v>53763.080778078205</v>
      </c>
      <c r="V160" s="1">
        <f>[1]节奏总纲!V160</f>
        <v>157</v>
      </c>
      <c r="W160" s="1">
        <f>[1]节奏总纲!W160</f>
        <v>3564.7725961894757</v>
      </c>
      <c r="X160" s="1">
        <f>[1]节奏总纲!X160</f>
        <v>3564.7725961894757</v>
      </c>
      <c r="Y160" s="1">
        <f>[1]节奏总纲!Y160</f>
        <v>3600.4203221513744</v>
      </c>
      <c r="Z160" s="1">
        <f>[1]节奏总纲!Z160</f>
        <v>3600.4203221513744</v>
      </c>
      <c r="AA160" s="1">
        <f>[1]节奏总纲!AA160</f>
        <v>3451.4223207971372</v>
      </c>
      <c r="AC160" s="1">
        <f>[1]节奏总纲!AC160</f>
        <v>157</v>
      </c>
      <c r="AD160" s="1">
        <f>[1]节奏总纲!AD160</f>
        <v>73.036560194527354</v>
      </c>
      <c r="AE160" s="1">
        <f>[1]节奏总纲!AE160</f>
        <v>75.111147990406067</v>
      </c>
      <c r="AF160" s="1">
        <f>[1]节奏总纲!AF160</f>
        <v>77.978240314723507</v>
      </c>
      <c r="AG160" s="1">
        <f>[1]节奏总纲!AG160</f>
        <v>82.574704101135836</v>
      </c>
      <c r="AH160" s="1">
        <f>[1]节奏总纲!AH160</f>
        <v>91.933832256435849</v>
      </c>
      <c r="AZ160" s="1">
        <f>[1]节奏总纲!AZ160</f>
        <v>157</v>
      </c>
      <c r="BA160" s="1">
        <f>[1]节奏总纲!BA160</f>
        <v>41.067363109180121</v>
      </c>
      <c r="BB160" s="1">
        <f>[1]节奏总纲!BB160</f>
        <v>42.557667230367045</v>
      </c>
      <c r="BC160" s="1">
        <f>[1]节奏总纲!BC160</f>
        <v>44.498835265809355</v>
      </c>
      <c r="BD160" s="1">
        <f>[1]节奏总纲!BD160</f>
        <v>47.244971856637939</v>
      </c>
      <c r="BE160" s="1">
        <f>[1]节奏总纲!BE160</f>
        <v>51.955146908919197</v>
      </c>
      <c r="BI160" s="1">
        <f>[1]节奏总纲!BI160</f>
        <v>157</v>
      </c>
      <c r="BJ160" s="1">
        <f>[1]节奏总纲!BJ160</f>
        <v>3.4999999999999978</v>
      </c>
      <c r="BK160" s="1">
        <f>[1]节奏总纲!BK160</f>
        <v>3.5699999999999976</v>
      </c>
      <c r="BL160" s="1">
        <f>[1]节奏总纲!BL160</f>
        <v>3.7099999999999977</v>
      </c>
      <c r="BM160" s="1">
        <f>[1]节奏总纲!BM160</f>
        <v>3.9899999999999971</v>
      </c>
      <c r="BN160" s="1">
        <f>[1]节奏总纲!BN160</f>
        <v>4.8999999999999968</v>
      </c>
      <c r="BW160" s="1">
        <f>[1]节奏总纲!BW160</f>
        <v>157</v>
      </c>
      <c r="BX160" s="1">
        <f>[1]节奏总纲!BX160</f>
        <v>80</v>
      </c>
      <c r="BY160" s="1">
        <f>[1]节奏总纲!BY160</f>
        <v>80</v>
      </c>
      <c r="BZ160" s="1">
        <f>[1]节奏总纲!BZ160</f>
        <v>80</v>
      </c>
      <c r="CA160" s="1">
        <f>[1]节奏总纲!CA160</f>
        <v>80</v>
      </c>
      <c r="CB160" s="1">
        <f>[1]节奏总纲!CB160</f>
        <v>80</v>
      </c>
      <c r="CC160" s="1">
        <f>[1]节奏总纲!CC160</f>
        <v>80</v>
      </c>
    </row>
    <row r="161" spans="6:81" x14ac:dyDescent="0.15">
      <c r="F161" s="1">
        <f>[1]节奏总纲!F161</f>
        <v>159</v>
      </c>
      <c r="G161" s="1">
        <f>[1]节奏总纲!G161</f>
        <v>61146.25013335624</v>
      </c>
      <c r="N161" s="1">
        <f>[1]节奏总纲!N161</f>
        <v>168</v>
      </c>
      <c r="O161" s="1">
        <f>[1]节奏总纲!O161</f>
        <v>158</v>
      </c>
      <c r="P161" s="1">
        <f>[1]节奏总纲!P161</f>
        <v>57051.401716174769</v>
      </c>
      <c r="Q161" s="1">
        <f>[1]节奏总纲!Q161</f>
        <v>57051.401716174769</v>
      </c>
      <c r="R161" s="1">
        <f>[1]节奏总纲!R161</f>
        <v>57621.915733336515</v>
      </c>
      <c r="S161" s="1">
        <f>[1]节奏总纲!S161</f>
        <v>57621.915733336515</v>
      </c>
      <c r="T161" s="1">
        <f>[1]节奏总纲!T161</f>
        <v>57621.915733336515</v>
      </c>
      <c r="V161" s="1">
        <f>[1]节奏总纲!V161</f>
        <v>158</v>
      </c>
      <c r="W161" s="1">
        <f>[1]节奏总纲!W161</f>
        <v>3820.6286685725863</v>
      </c>
      <c r="X161" s="1">
        <f>[1]节奏总纲!X161</f>
        <v>3820.6286685725863</v>
      </c>
      <c r="Y161" s="1">
        <f>[1]节奏总纲!Y161</f>
        <v>3858.8349552583095</v>
      </c>
      <c r="Z161" s="1">
        <f>[1]节奏总纲!Z161</f>
        <v>3858.8349552583095</v>
      </c>
      <c r="AA161" s="1">
        <f>[1]节奏总纲!AA161</f>
        <v>3858.8349552583095</v>
      </c>
      <c r="AC161" s="1">
        <f>[1]节奏总纲!AC161</f>
        <v>158</v>
      </c>
      <c r="AD161" s="1">
        <f>[1]节奏总纲!AD161</f>
        <v>73.124973399384572</v>
      </c>
      <c r="AE161" s="1">
        <f>[1]节奏总纲!AE161</f>
        <v>75.200260969343077</v>
      </c>
      <c r="AF161" s="1">
        <f>[1]节奏总纲!AF161</f>
        <v>78.066694029528094</v>
      </c>
      <c r="AG161" s="1">
        <f>[1]节奏总纲!AG161</f>
        <v>82.667580534727804</v>
      </c>
      <c r="AH161" s="1">
        <f>[1]节奏总纲!AH161</f>
        <v>92.033129415212969</v>
      </c>
      <c r="AZ161" s="1">
        <f>[1]节奏总纲!AZ161</f>
        <v>158</v>
      </c>
      <c r="BA161" s="1">
        <f>[1]节奏总纲!BA161</f>
        <v>41.107589324271871</v>
      </c>
      <c r="BB161" s="1">
        <f>[1]节奏总纲!BB161</f>
        <v>42.601058174025873</v>
      </c>
      <c r="BC161" s="1">
        <f>[1]节奏总纲!BC161</f>
        <v>44.541927676315858</v>
      </c>
      <c r="BD161" s="1">
        <f>[1]节奏总纲!BD161</f>
        <v>47.286546933283724</v>
      </c>
      <c r="BE161" s="1">
        <f>[1]节奏总纲!BE161</f>
        <v>52.001173105835825</v>
      </c>
      <c r="BI161" s="1">
        <f>[1]节奏总纲!BI161</f>
        <v>158</v>
      </c>
      <c r="BJ161" s="1">
        <f>[1]节奏总纲!BJ161</f>
        <v>3.4999999999999978</v>
      </c>
      <c r="BK161" s="1">
        <f>[1]节奏总纲!BK161</f>
        <v>3.5699999999999976</v>
      </c>
      <c r="BL161" s="1">
        <f>[1]节奏总纲!BL161</f>
        <v>3.7099999999999977</v>
      </c>
      <c r="BM161" s="1">
        <f>[1]节奏总纲!BM161</f>
        <v>3.9899999999999971</v>
      </c>
      <c r="BN161" s="1">
        <f>[1]节奏总纲!BN161</f>
        <v>4.8999999999999968</v>
      </c>
      <c r="BW161" s="1">
        <f>[1]节奏总纲!BW161</f>
        <v>158</v>
      </c>
      <c r="BX161" s="1">
        <f>[1]节奏总纲!BX161</f>
        <v>80</v>
      </c>
      <c r="BY161" s="1">
        <f>[1]节奏总纲!BY161</f>
        <v>80</v>
      </c>
      <c r="BZ161" s="1">
        <f>[1]节奏总纲!BZ161</f>
        <v>80</v>
      </c>
      <c r="CA161" s="1">
        <f>[1]节奏总纲!CA161</f>
        <v>80</v>
      </c>
      <c r="CB161" s="1">
        <f>[1]节奏总纲!CB161</f>
        <v>80</v>
      </c>
      <c r="CC161" s="1">
        <f>[1]节奏总纲!CC161</f>
        <v>80</v>
      </c>
    </row>
    <row r="162" spans="6:81" x14ac:dyDescent="0.15">
      <c r="F162" s="1">
        <f>[1]节奏总纲!F162</f>
        <v>160</v>
      </c>
      <c r="G162" s="1">
        <f>[1]节奏总纲!G162</f>
        <v>65535</v>
      </c>
      <c r="N162" s="1">
        <f>[1]节奏总纲!N162</f>
        <v>169</v>
      </c>
      <c r="O162" s="1">
        <f>[1]节奏总纲!O162</f>
        <v>159</v>
      </c>
      <c r="P162" s="1">
        <f>[1]节奏总纲!P162</f>
        <v>61146.25013335624</v>
      </c>
      <c r="Q162" s="1">
        <f>[1]节奏总纲!Q162</f>
        <v>61146.25013335624</v>
      </c>
      <c r="R162" s="1">
        <f>[1]节奏总纲!R162</f>
        <v>61757.7126346898</v>
      </c>
      <c r="S162" s="1">
        <f>[1]节奏总纲!S162</f>
        <v>61757.7126346898</v>
      </c>
      <c r="T162" s="1">
        <f>[1]节奏总纲!T162</f>
        <v>61757.7126346898</v>
      </c>
      <c r="V162" s="1">
        <f>[1]节奏总纲!V162</f>
        <v>159</v>
      </c>
      <c r="W162" s="1">
        <f>[1]节奏总纲!W162</f>
        <v>4094.8484171814707</v>
      </c>
      <c r="X162" s="1">
        <f>[1]节奏总纲!X162</f>
        <v>4094.8484171814707</v>
      </c>
      <c r="Y162" s="1">
        <f>[1]节奏总纲!Y162</f>
        <v>4135.7969013532856</v>
      </c>
      <c r="Z162" s="1">
        <f>[1]节奏总纲!Z162</f>
        <v>4135.7969013532856</v>
      </c>
      <c r="AA162" s="1">
        <f>[1]节奏总纲!AA162</f>
        <v>4135.7969013532856</v>
      </c>
      <c r="AC162" s="1">
        <f>[1]节奏总纲!AC162</f>
        <v>159</v>
      </c>
      <c r="AD162" s="1">
        <f>[1]节奏总纲!AD162</f>
        <v>73.213386604241791</v>
      </c>
      <c r="AE162" s="1">
        <f>[1]节奏总纲!AE162</f>
        <v>75.289373948280101</v>
      </c>
      <c r="AF162" s="1">
        <f>[1]节奏总纲!AF162</f>
        <v>78.153631564737054</v>
      </c>
      <c r="AG162" s="1">
        <f>[1]节奏总纲!AG162</f>
        <v>82.760456968319758</v>
      </c>
      <c r="AH162" s="1">
        <f>[1]节奏总纲!AH162</f>
        <v>92.126546512350387</v>
      </c>
      <c r="AZ162" s="1">
        <f>[1]节奏总纲!AZ162</f>
        <v>159</v>
      </c>
      <c r="BA162" s="1">
        <f>[1]节奏总纲!BA162</f>
        <v>41.147815539363613</v>
      </c>
      <c r="BB162" s="1">
        <f>[1]节奏总纲!BB162</f>
        <v>42.644449117684701</v>
      </c>
      <c r="BC162" s="1">
        <f>[1]节奏总纲!BC162</f>
        <v>44.585020086822361</v>
      </c>
      <c r="BD162" s="1">
        <f>[1]节奏总纲!BD162</f>
        <v>47.328122009929508</v>
      </c>
      <c r="BE162" s="1">
        <f>[1]节奏总纲!BE162</f>
        <v>52.041079787427918</v>
      </c>
      <c r="BI162" s="1">
        <f>[1]节奏总纲!BI162</f>
        <v>159</v>
      </c>
      <c r="BJ162" s="1">
        <f>[1]节奏总纲!BJ162</f>
        <v>3.4999999999999978</v>
      </c>
      <c r="BK162" s="1">
        <f>[1]节奏总纲!BK162</f>
        <v>3.5699999999999976</v>
      </c>
      <c r="BL162" s="1">
        <f>[1]节奏总纲!BL162</f>
        <v>3.7099999999999977</v>
      </c>
      <c r="BM162" s="1">
        <f>[1]节奏总纲!BM162</f>
        <v>3.9899999999999971</v>
      </c>
      <c r="BN162" s="1">
        <f>[1]节奏总纲!BN162</f>
        <v>4.8999999999999968</v>
      </c>
      <c r="BW162" s="1">
        <f>[1]节奏总纲!BW162</f>
        <v>159</v>
      </c>
      <c r="BX162" s="1">
        <f>[1]节奏总纲!BX162</f>
        <v>80</v>
      </c>
      <c r="BY162" s="1">
        <f>[1]节奏总纲!BY162</f>
        <v>80</v>
      </c>
      <c r="BZ162" s="1">
        <f>[1]节奏总纲!BZ162</f>
        <v>80</v>
      </c>
      <c r="CA162" s="1">
        <f>[1]节奏总纲!CA162</f>
        <v>80</v>
      </c>
      <c r="CB162" s="1">
        <f>[1]节奏总纲!CB162</f>
        <v>80</v>
      </c>
      <c r="CC162" s="1">
        <f>[1]节奏总纲!CC162</f>
        <v>80</v>
      </c>
    </row>
    <row r="163" spans="6:81" x14ac:dyDescent="0.15">
      <c r="N163" s="1">
        <f>[1]节奏总纲!N163</f>
        <v>170</v>
      </c>
      <c r="O163" s="1">
        <f>[1]节奏总纲!O163</f>
        <v>160</v>
      </c>
      <c r="P163" s="1">
        <f>[1]节奏总纲!P163</f>
        <v>65535</v>
      </c>
      <c r="Q163" s="1">
        <f>[1]节奏总纲!Q163</f>
        <v>65535</v>
      </c>
      <c r="R163" s="1">
        <f>[1]节奏总纲!R163</f>
        <v>66190.350000000006</v>
      </c>
      <c r="S163" s="1">
        <f>[1]节奏总纲!S163</f>
        <v>66190.350000000006</v>
      </c>
      <c r="T163" s="1">
        <f>[1]节奏总纲!T163</f>
        <v>66190.350000000006</v>
      </c>
      <c r="V163" s="1">
        <f>[1]节奏总纲!V163</f>
        <v>160</v>
      </c>
      <c r="W163" s="1">
        <f>[1]节奏总纲!W163</f>
        <v>4388.7498666437605</v>
      </c>
      <c r="X163" s="1">
        <f>[1]节奏总纲!X163</f>
        <v>4388.7498666437605</v>
      </c>
      <c r="Y163" s="1">
        <f>[1]节奏总纲!Y163</f>
        <v>4432.6373653102055</v>
      </c>
      <c r="Z163" s="1">
        <f>[1]节奏总纲!Z163</f>
        <v>4432.6373653102055</v>
      </c>
      <c r="AA163" s="1">
        <f>[1]节奏总纲!AA163</f>
        <v>4432.6373653102055</v>
      </c>
      <c r="AC163" s="1">
        <f>[1]节奏总纲!AC163</f>
        <v>160</v>
      </c>
      <c r="AD163" s="1">
        <f>[1]节奏总纲!AD163</f>
        <v>73.301799809099009</v>
      </c>
      <c r="AE163" s="1">
        <f>[1]节奏总纲!AE163</f>
        <v>75.378486927217125</v>
      </c>
      <c r="AF163" s="1">
        <f>[1]节奏总纲!AF163</f>
        <v>78.240569099946029</v>
      </c>
      <c r="AG163" s="1">
        <f>[1]节奏总纲!AG163</f>
        <v>82.853333401911726</v>
      </c>
      <c r="AH163" s="1">
        <f>[1]节奏总纲!AH163</f>
        <v>92.219963609487792</v>
      </c>
      <c r="AZ163" s="1">
        <f>[1]节奏总纲!AZ163</f>
        <v>160</v>
      </c>
      <c r="BA163" s="1">
        <f>[1]节奏总纲!BA163</f>
        <v>41.188041754455355</v>
      </c>
      <c r="BB163" s="1">
        <f>[1]节奏总纲!BB163</f>
        <v>42.687840061343536</v>
      </c>
      <c r="BC163" s="1">
        <f>[1]节奏总纲!BC163</f>
        <v>44.628112497328864</v>
      </c>
      <c r="BD163" s="1">
        <f>[1]节奏总纲!BD163</f>
        <v>47.3696970865753</v>
      </c>
      <c r="BE163" s="1">
        <f>[1]节奏总纲!BE163</f>
        <v>52.080986469020011</v>
      </c>
      <c r="BI163" s="1">
        <f>[1]节奏总纲!BI163</f>
        <v>160</v>
      </c>
      <c r="BJ163" s="1">
        <f>[1]节奏总纲!BJ163</f>
        <v>3.4999999999999978</v>
      </c>
      <c r="BK163" s="1">
        <f>[1]节奏总纲!BK163</f>
        <v>3.5699999999999976</v>
      </c>
      <c r="BL163" s="1">
        <f>[1]节奏总纲!BL163</f>
        <v>3.7099999999999977</v>
      </c>
      <c r="BM163" s="1">
        <f>[1]节奏总纲!BM163</f>
        <v>3.9899999999999971</v>
      </c>
      <c r="BN163" s="1">
        <f>[1]节奏总纲!BN163</f>
        <v>4.8999999999999968</v>
      </c>
      <c r="BW163" s="1">
        <f>[1]节奏总纲!BW163</f>
        <v>160</v>
      </c>
      <c r="BX163" s="1">
        <f>[1]节奏总纲!BX163</f>
        <v>80</v>
      </c>
      <c r="BY163" s="1">
        <f>[1]节奏总纲!BY163</f>
        <v>80</v>
      </c>
      <c r="BZ163" s="1">
        <f>[1]节奏总纲!BZ163</f>
        <v>80</v>
      </c>
      <c r="CA163" s="1">
        <f>[1]节奏总纲!CA163</f>
        <v>80</v>
      </c>
      <c r="CB163" s="1">
        <f>[1]节奏总纲!CB163</f>
        <v>80</v>
      </c>
      <c r="CC163" s="1">
        <f>[1]节奏总纲!CC163</f>
        <v>80</v>
      </c>
    </row>
    <row r="164" spans="6:81" x14ac:dyDescent="0.15">
      <c r="AC164" s="1">
        <f>[1]节奏总纲!AC164</f>
        <v>161</v>
      </c>
      <c r="AD164" s="1">
        <f>[1]节奏总纲!AD164</f>
        <v>73.390213013956213</v>
      </c>
      <c r="AE164" s="1">
        <f>[1]节奏总纲!AE164</f>
        <v>75.467599906154135</v>
      </c>
      <c r="AF164" s="1">
        <f>[1]节奏总纲!AF164</f>
        <v>78.32750663515499</v>
      </c>
      <c r="AG164" s="1">
        <f>[1]节奏总纲!AG164</f>
        <v>82.94620983550368</v>
      </c>
      <c r="AH164" s="1">
        <f>[1]节奏总纲!AH164</f>
        <v>92.313380706625196</v>
      </c>
      <c r="AZ164" s="1">
        <f>[1]节奏总纲!AZ164</f>
        <v>161</v>
      </c>
      <c r="BA164" s="1">
        <f>[1]节奏总纲!BA164</f>
        <v>41.228267969547105</v>
      </c>
      <c r="BB164" s="1">
        <f>[1]节奏总纲!BB164</f>
        <v>42.731231005002364</v>
      </c>
      <c r="BC164" s="1">
        <f>[1]节奏总纲!BC164</f>
        <v>44.671204907835367</v>
      </c>
      <c r="BD164" s="1">
        <f>[1]节奏总纲!BD164</f>
        <v>47.411272163221085</v>
      </c>
      <c r="BE164" s="1">
        <f>[1]节奏总纲!BE164</f>
        <v>52.120893150612112</v>
      </c>
    </row>
    <row r="165" spans="6:81" x14ac:dyDescent="0.15">
      <c r="AC165" s="1">
        <f>[1]节奏总纲!AC165</f>
        <v>162</v>
      </c>
      <c r="AD165" s="1">
        <f>[1]节奏总纲!AD165</f>
        <v>73.478626218813432</v>
      </c>
      <c r="AE165" s="1">
        <f>[1]节奏总纲!AE165</f>
        <v>75.556712885091159</v>
      </c>
      <c r="AF165" s="1">
        <f>[1]节奏总纲!AF165</f>
        <v>78.414444170363964</v>
      </c>
      <c r="AG165" s="1">
        <f>[1]节奏总纲!AG165</f>
        <v>83.036921590135321</v>
      </c>
      <c r="AH165" s="1">
        <f>[1]节奏总纲!AH165</f>
        <v>92.406797803762601</v>
      </c>
      <c r="AZ165" s="1">
        <f>[1]节奏总纲!AZ165</f>
        <v>162</v>
      </c>
      <c r="BA165" s="1">
        <f>[1]节奏总纲!BA165</f>
        <v>41.268494184638847</v>
      </c>
      <c r="BB165" s="1">
        <f>[1]节奏总纲!BB165</f>
        <v>42.774621948661192</v>
      </c>
      <c r="BC165" s="1">
        <f>[1]节奏总纲!BC165</f>
        <v>44.714297318341877</v>
      </c>
      <c r="BD165" s="1">
        <f>[1]节奏总纲!BD165</f>
        <v>47.452847239866877</v>
      </c>
      <c r="BE165" s="1">
        <f>[1]节奏总纲!BE165</f>
        <v>52.160799832204205</v>
      </c>
    </row>
    <row r="166" spans="6:81" x14ac:dyDescent="0.15">
      <c r="AC166" s="1">
        <f>[1]节奏总纲!AC166</f>
        <v>163</v>
      </c>
      <c r="AD166" s="1">
        <f>[1]节奏总纲!AD166</f>
        <v>73.56703942367065</v>
      </c>
      <c r="AE166" s="1">
        <f>[1]节奏总纲!AE166</f>
        <v>75.645825864028183</v>
      </c>
      <c r="AF166" s="1">
        <f>[1]节奏总纲!AF166</f>
        <v>78.501381705572925</v>
      </c>
      <c r="AG166" s="1">
        <f>[1]节奏总纲!AG166</f>
        <v>83.124654333465756</v>
      </c>
      <c r="AH166" s="1">
        <f>[1]节奏总纲!AH166</f>
        <v>92.500214900900005</v>
      </c>
      <c r="AZ166" s="1">
        <f>[1]节奏总纲!AZ166</f>
        <v>163</v>
      </c>
      <c r="BA166" s="1">
        <f>[1]节奏总纲!BA166</f>
        <v>41.308720399730589</v>
      </c>
      <c r="BB166" s="1">
        <f>[1]节奏总纲!BB166</f>
        <v>42.818012892320027</v>
      </c>
      <c r="BC166" s="1">
        <f>[1]节奏总纲!BC166</f>
        <v>44.757389728848381</v>
      </c>
      <c r="BD166" s="1">
        <f>[1]节奏总纲!BD166</f>
        <v>47.494422316512662</v>
      </c>
      <c r="BE166" s="1">
        <f>[1]节奏总纲!BE166</f>
        <v>52.200706513796298</v>
      </c>
    </row>
    <row r="167" spans="6:81" x14ac:dyDescent="0.15">
      <c r="AC167" s="1">
        <f>[1]节奏总纲!AC167</f>
        <v>164</v>
      </c>
      <c r="AD167" s="1">
        <f>[1]节奏总纲!AD167</f>
        <v>73.655452628527868</v>
      </c>
      <c r="AE167" s="1">
        <f>[1]节奏总纲!AE167</f>
        <v>75.734938842965192</v>
      </c>
      <c r="AF167" s="1">
        <f>[1]节奏总纲!AF167</f>
        <v>78.5883192407819</v>
      </c>
      <c r="AG167" s="1">
        <f>[1]节奏总纲!AG167</f>
        <v>83.21238707679619</v>
      </c>
      <c r="AH167" s="1">
        <f>[1]节奏总纲!AH167</f>
        <v>92.593631998037409</v>
      </c>
      <c r="AZ167" s="1">
        <f>[1]节奏总纲!AZ167</f>
        <v>164</v>
      </c>
      <c r="BA167" s="1">
        <f>[1]节奏总纲!BA167</f>
        <v>41.348946614822331</v>
      </c>
      <c r="BB167" s="1">
        <f>[1]节奏总纲!BB167</f>
        <v>42.861403835978855</v>
      </c>
      <c r="BC167" s="1">
        <f>[1]节奏总纲!BC167</f>
        <v>44.800482139354884</v>
      </c>
      <c r="BD167" s="1">
        <f>[1]节奏总纲!BD167</f>
        <v>47.535997393158453</v>
      </c>
      <c r="BE167" s="1">
        <f>[1]节奏总纲!BE167</f>
        <v>52.240613195388391</v>
      </c>
    </row>
    <row r="168" spans="6:81" x14ac:dyDescent="0.15">
      <c r="AC168" s="1">
        <f>[1]节奏总纲!AC168</f>
        <v>165</v>
      </c>
      <c r="AD168" s="1">
        <f>[1]节奏总纲!AD168</f>
        <v>73.743865833385087</v>
      </c>
      <c r="AE168" s="1">
        <f>[1]节奏总纲!AE168</f>
        <v>75.824051821902216</v>
      </c>
      <c r="AF168" s="1">
        <f>[1]节奏总纲!AF168</f>
        <v>78.67525677599086</v>
      </c>
      <c r="AG168" s="1">
        <f>[1]节奏总纲!AG168</f>
        <v>83.300119820126625</v>
      </c>
      <c r="AH168" s="1">
        <f>[1]节奏总纲!AH168</f>
        <v>92.687049095174814</v>
      </c>
      <c r="AZ168" s="1">
        <f>[1]节奏总纲!AZ168</f>
        <v>165</v>
      </c>
      <c r="BA168" s="1">
        <f>[1]节奏总纲!BA168</f>
        <v>41.389172829914081</v>
      </c>
      <c r="BB168" s="1">
        <f>[1]节奏总纲!BB168</f>
        <v>42.904794779637683</v>
      </c>
      <c r="BC168" s="1">
        <f>[1]节奏总纲!BC168</f>
        <v>44.843574549861387</v>
      </c>
      <c r="BD168" s="1">
        <f>[1]节奏总纲!BD168</f>
        <v>47.577572469804238</v>
      </c>
      <c r="BE168" s="1">
        <f>[1]节奏总纲!BE168</f>
        <v>52.280519876980485</v>
      </c>
    </row>
    <row r="169" spans="6:81" x14ac:dyDescent="0.15">
      <c r="AC169" s="1">
        <f>[1]节奏总纲!AC169</f>
        <v>166</v>
      </c>
      <c r="AD169" s="1">
        <f>[1]节奏总纲!AD169</f>
        <v>73.832279038242305</v>
      </c>
      <c r="AE169" s="1">
        <f>[1]节奏总纲!AE169</f>
        <v>75.91316480083924</v>
      </c>
      <c r="AF169" s="1">
        <f>[1]节奏总纲!AF169</f>
        <v>78.762194311199835</v>
      </c>
      <c r="AG169" s="1">
        <f>[1]节奏总纲!AG169</f>
        <v>83.387852563457059</v>
      </c>
      <c r="AH169" s="1">
        <f>[1]节奏总纲!AH169</f>
        <v>92.780466192312218</v>
      </c>
      <c r="AZ169" s="1">
        <f>[1]节奏总纲!AZ169</f>
        <v>166</v>
      </c>
      <c r="BA169" s="1">
        <f>[1]节奏总纲!BA169</f>
        <v>41.429399045005823</v>
      </c>
      <c r="BB169" s="1">
        <f>[1]节奏总纲!BB169</f>
        <v>42.948185723296518</v>
      </c>
      <c r="BC169" s="1">
        <f>[1]节奏总纲!BC169</f>
        <v>44.88666696036789</v>
      </c>
      <c r="BD169" s="1">
        <f>[1]节奏总纲!BD169</f>
        <v>47.619147546450023</v>
      </c>
      <c r="BE169" s="1">
        <f>[1]节奏总纲!BE169</f>
        <v>52.320426558572585</v>
      </c>
    </row>
    <row r="170" spans="6:81" x14ac:dyDescent="0.15">
      <c r="AC170" s="1">
        <f>[1]节奏总纲!AC170</f>
        <v>167</v>
      </c>
      <c r="AD170" s="1">
        <f>[1]节奏总纲!AD170</f>
        <v>73.920692243099523</v>
      </c>
      <c r="AE170" s="1">
        <f>[1]节奏总纲!AE170</f>
        <v>76.002103770254962</v>
      </c>
      <c r="AF170" s="1">
        <f>[1]节奏总纲!AF170</f>
        <v>78.849131846408795</v>
      </c>
      <c r="AG170" s="1">
        <f>[1]节奏总纲!AG170</f>
        <v>83.475585306787494</v>
      </c>
      <c r="AH170" s="1">
        <f>[1]节奏总纲!AH170</f>
        <v>92.873883289449623</v>
      </c>
      <c r="AZ170" s="1">
        <f>[1]节奏总纲!AZ170</f>
        <v>167</v>
      </c>
      <c r="BA170" s="1">
        <f>[1]节奏总纲!BA170</f>
        <v>41.469625260097565</v>
      </c>
      <c r="BB170" s="1">
        <f>[1]节奏总纲!BB170</f>
        <v>42.991576666955346</v>
      </c>
      <c r="BC170" s="1">
        <f>[1]节奏总纲!BC170</f>
        <v>44.9297593708744</v>
      </c>
      <c r="BD170" s="1">
        <f>[1]节奏总纲!BD170</f>
        <v>47.660722623095815</v>
      </c>
      <c r="BE170" s="1">
        <f>[1]节奏总纲!BE170</f>
        <v>52.360333240164678</v>
      </c>
    </row>
    <row r="171" spans="6:81" x14ac:dyDescent="0.15">
      <c r="AC171" s="1">
        <f>[1]节奏总纲!AC171</f>
        <v>168</v>
      </c>
      <c r="AD171" s="1">
        <f>[1]节奏总纲!AD171</f>
        <v>74.008495683346354</v>
      </c>
      <c r="AE171" s="1">
        <f>[1]节奏总纲!AE171</f>
        <v>76.084409020469636</v>
      </c>
      <c r="AF171" s="1">
        <f>[1]节奏总纲!AF171</f>
        <v>78.93606938161777</v>
      </c>
      <c r="AG171" s="1">
        <f>[1]节奏总纲!AG171</f>
        <v>83.563318050117928</v>
      </c>
      <c r="AH171" s="1">
        <f>[1]节奏总纲!AH171</f>
        <v>92.967300386587027</v>
      </c>
      <c r="AZ171" s="1">
        <f>[1]节奏总纲!AZ171</f>
        <v>168</v>
      </c>
      <c r="BA171" s="1">
        <f>[1]节奏总纲!BA171</f>
        <v>41.509851475189308</v>
      </c>
      <c r="BB171" s="1">
        <f>[1]节奏总纲!BB171</f>
        <v>43.030177309109042</v>
      </c>
      <c r="BC171" s="1">
        <f>[1]节奏总纲!BC171</f>
        <v>44.972851781380903</v>
      </c>
      <c r="BD171" s="1">
        <f>[1]节奏总纲!BD171</f>
        <v>47.7022976997416</v>
      </c>
      <c r="BE171" s="1">
        <f>[1]节奏总纲!BE171</f>
        <v>52.400239921756771</v>
      </c>
    </row>
    <row r="172" spans="6:81" x14ac:dyDescent="0.15">
      <c r="AC172" s="1">
        <f>[1]节奏总纲!AC172</f>
        <v>169</v>
      </c>
      <c r="AD172" s="1">
        <f>[1]节奏总纲!AD172</f>
        <v>74.090988120365651</v>
      </c>
      <c r="AE172" s="1">
        <f>[1]节奏总纲!AE172</f>
        <v>76.166714270684309</v>
      </c>
      <c r="AF172" s="1">
        <f>[1]节奏总纲!AF172</f>
        <v>79.022812309215297</v>
      </c>
      <c r="AG172" s="1">
        <f>[1]节奏总纲!AG172</f>
        <v>83.651050793448363</v>
      </c>
      <c r="AH172" s="1">
        <f>[1]节奏总纲!AH172</f>
        <v>93.057555567360481</v>
      </c>
      <c r="AZ172" s="1">
        <f>[1]节奏总纲!AZ172</f>
        <v>169</v>
      </c>
      <c r="BA172" s="1">
        <f>[1]节奏总纲!BA172</f>
        <v>41.550077690281057</v>
      </c>
      <c r="BB172" s="1">
        <f>[1]节奏总纲!BB172</f>
        <v>43.067624017543686</v>
      </c>
      <c r="BC172" s="1">
        <f>[1]节奏总纲!BC172</f>
        <v>45.013762077986961</v>
      </c>
      <c r="BD172" s="1">
        <f>[1]节奏总纲!BD172</f>
        <v>47.743872776387391</v>
      </c>
      <c r="BE172" s="1">
        <f>[1]节奏总纲!BE172</f>
        <v>52.440146603348865</v>
      </c>
    </row>
    <row r="173" spans="6:81" x14ac:dyDescent="0.15">
      <c r="AC173" s="1">
        <f>[1]节奏总纲!AC173</f>
        <v>170</v>
      </c>
      <c r="AD173" s="1">
        <f>[1]节奏总纲!AD173</f>
        <v>74.173480557384934</v>
      </c>
      <c r="AE173" s="1">
        <f>[1]节奏总纲!AE173</f>
        <v>76.249019520898997</v>
      </c>
      <c r="AF173" s="1">
        <f>[1]节奏总纲!AF173</f>
        <v>79.109014469658547</v>
      </c>
      <c r="AG173" s="1">
        <f>[1]节奏总纲!AG173</f>
        <v>83.738783536778797</v>
      </c>
      <c r="AH173" s="1">
        <f>[1]节奏总纲!AH173</f>
        <v>93.146107887007233</v>
      </c>
      <c r="AZ173" s="1">
        <f>[1]节奏总纲!AZ173</f>
        <v>170</v>
      </c>
      <c r="BA173" s="1">
        <f>[1]节奏总纲!BA173</f>
        <v>41.590303905372799</v>
      </c>
      <c r="BB173" s="1">
        <f>[1]节奏总纲!BB173</f>
        <v>43.105070725978337</v>
      </c>
      <c r="BC173" s="1">
        <f>[1]节奏总纲!BC173</f>
        <v>45.050956883357138</v>
      </c>
      <c r="BD173" s="1">
        <f>[1]节奏总纲!BD173</f>
        <v>47.785447853033176</v>
      </c>
      <c r="BE173" s="1">
        <f>[1]节奏总纲!BE173</f>
        <v>52.480053284940965</v>
      </c>
    </row>
    <row r="174" spans="6:81" x14ac:dyDescent="0.15">
      <c r="AC174" s="1">
        <f>[1]节奏总纲!AC174</f>
        <v>171</v>
      </c>
      <c r="AD174" s="1">
        <f>[1]节奏总纲!AD174</f>
        <v>74.255972994404218</v>
      </c>
      <c r="AE174" s="1">
        <f>[1]节奏总纲!AE174</f>
        <v>76.331324771113671</v>
      </c>
      <c r="AF174" s="1">
        <f>[1]节奏总纲!AF174</f>
        <v>79.195216630101797</v>
      </c>
      <c r="AG174" s="1">
        <f>[1]节奏总纲!AG174</f>
        <v>83.826516280109232</v>
      </c>
      <c r="AH174" s="1">
        <f>[1]节奏总纲!AH174</f>
        <v>93.23466020665397</v>
      </c>
      <c r="AZ174" s="1">
        <f>[1]节奏总纲!AZ174</f>
        <v>171</v>
      </c>
      <c r="BA174" s="1">
        <f>[1]节奏总纲!BA174</f>
        <v>41.630530120464542</v>
      </c>
      <c r="BB174" s="1">
        <f>[1]节奏总纲!BB174</f>
        <v>43.14251743441298</v>
      </c>
      <c r="BC174" s="1">
        <f>[1]节奏总纲!BC174</f>
        <v>45.088151688727308</v>
      </c>
      <c r="BD174" s="1">
        <f>[1]节奏总纲!BD174</f>
        <v>47.827022929678968</v>
      </c>
      <c r="BE174" s="1">
        <f>[1]节奏总纲!BE174</f>
        <v>52.519959966533058</v>
      </c>
    </row>
    <row r="175" spans="6:81" x14ac:dyDescent="0.15">
      <c r="AC175" s="1">
        <f>[1]节奏总纲!AC175</f>
        <v>172</v>
      </c>
      <c r="AD175" s="1">
        <f>[1]节奏总纲!AD175</f>
        <v>74.338465431423501</v>
      </c>
      <c r="AE175" s="1">
        <f>[1]节奏总纲!AE175</f>
        <v>76.413630021328345</v>
      </c>
      <c r="AF175" s="1">
        <f>[1]节奏总纲!AF175</f>
        <v>79.281418790545047</v>
      </c>
      <c r="AG175" s="1">
        <f>[1]节奏总纲!AG175</f>
        <v>83.914249023439666</v>
      </c>
      <c r="AH175" s="1">
        <f>[1]节奏总纲!AH175</f>
        <v>93.323212526300722</v>
      </c>
      <c r="AZ175" s="1">
        <f>[1]节奏总纲!AZ175</f>
        <v>172</v>
      </c>
      <c r="BA175" s="1">
        <f>[1]节奏总纲!BA175</f>
        <v>41.670756335556291</v>
      </c>
      <c r="BB175" s="1">
        <f>[1]节奏总纲!BB175</f>
        <v>43.179964142847631</v>
      </c>
      <c r="BC175" s="1">
        <f>[1]节奏总纲!BC175</f>
        <v>45.125346494097485</v>
      </c>
      <c r="BD175" s="1">
        <f>[1]节奏总纲!BD175</f>
        <v>47.868598006324753</v>
      </c>
      <c r="BE175" s="1">
        <f>[1]节奏总纲!BE175</f>
        <v>52.559866648125151</v>
      </c>
    </row>
    <row r="176" spans="6:81" x14ac:dyDescent="0.15">
      <c r="AC176" s="1">
        <f>[1]节奏总纲!AC176</f>
        <v>173</v>
      </c>
      <c r="AD176" s="1">
        <f>[1]节奏总纲!AD176</f>
        <v>74.420957868442784</v>
      </c>
      <c r="AE176" s="1">
        <f>[1]节奏总纲!AE176</f>
        <v>76.495935271543019</v>
      </c>
      <c r="AF176" s="1">
        <f>[1]节奏总纲!AF176</f>
        <v>79.367620950988297</v>
      </c>
      <c r="AG176" s="1">
        <f>[1]节奏总纲!AG176</f>
        <v>84.00179325525086</v>
      </c>
      <c r="AH176" s="1">
        <f>[1]节奏总纲!AH176</f>
        <v>93.411764845947459</v>
      </c>
      <c r="AZ176" s="1">
        <f>[1]节奏总纲!AZ176</f>
        <v>173</v>
      </c>
      <c r="BA176" s="1">
        <f>[1]节奏总纲!BA176</f>
        <v>41.710982550648033</v>
      </c>
      <c r="BB176" s="1">
        <f>[1]节奏总纲!BB176</f>
        <v>43.217410851282274</v>
      </c>
      <c r="BC176" s="1">
        <f>[1]节奏总纲!BC176</f>
        <v>45.162541299467655</v>
      </c>
      <c r="BD176" s="1">
        <f>[1]节奏总纲!BD176</f>
        <v>47.910173082970537</v>
      </c>
      <c r="BE176" s="1">
        <f>[1]节奏总纲!BE176</f>
        <v>52.599773329717245</v>
      </c>
    </row>
    <row r="177" spans="29:57" x14ac:dyDescent="0.15">
      <c r="AC177" s="1">
        <f>[1]节奏总纲!AC177</f>
        <v>174</v>
      </c>
      <c r="AD177" s="1">
        <f>[1]节奏总纲!AD177</f>
        <v>74.503450305462081</v>
      </c>
      <c r="AE177" s="1">
        <f>[1]节奏总纲!AE177</f>
        <v>76.578240521757706</v>
      </c>
      <c r="AF177" s="1">
        <f>[1]节奏总纲!AF177</f>
        <v>79.453823111431561</v>
      </c>
      <c r="AG177" s="1">
        <f>[1]节奏总纲!AG177</f>
        <v>84.08118060043364</v>
      </c>
      <c r="AH177" s="1">
        <f>[1]节奏总纲!AH177</f>
        <v>93.500317165594211</v>
      </c>
      <c r="AZ177" s="1">
        <f>[1]节奏总纲!AZ177</f>
        <v>174</v>
      </c>
      <c r="BA177" s="1">
        <f>[1]节奏总纲!BA177</f>
        <v>41.751208765739776</v>
      </c>
      <c r="BB177" s="1">
        <f>[1]节奏总纲!BB177</f>
        <v>43.254857559716925</v>
      </c>
      <c r="BC177" s="1">
        <f>[1]节奏总纲!BC177</f>
        <v>45.199736104837832</v>
      </c>
      <c r="BD177" s="1">
        <f>[1]节奏总纲!BD177</f>
        <v>47.951748159616329</v>
      </c>
      <c r="BE177" s="1">
        <f>[1]节奏总纲!BE177</f>
        <v>52.639680011309345</v>
      </c>
    </row>
    <row r="178" spans="29:57" x14ac:dyDescent="0.15">
      <c r="AC178" s="1">
        <f>[1]节奏总纲!AC178</f>
        <v>175</v>
      </c>
      <c r="AD178" s="1">
        <f>[1]节奏总纲!AD178</f>
        <v>74.585942742481365</v>
      </c>
      <c r="AE178" s="1">
        <f>[1]节奏总纲!AE178</f>
        <v>76.66054577197238</v>
      </c>
      <c r="AF178" s="1">
        <f>[1]节奏总纲!AF178</f>
        <v>79.540025271874811</v>
      </c>
      <c r="AG178" s="1">
        <f>[1]节奏总纲!AG178</f>
        <v>84.160567945616407</v>
      </c>
      <c r="AH178" s="1">
        <f>[1]节奏总纲!AH178</f>
        <v>93.588869485240949</v>
      </c>
      <c r="AZ178" s="1">
        <f>[1]节奏总纲!AZ178</f>
        <v>175</v>
      </c>
      <c r="BA178" s="1">
        <f>[1]节奏总纲!BA178</f>
        <v>41.791434980831518</v>
      </c>
      <c r="BB178" s="1">
        <f>[1]节奏总纲!BB178</f>
        <v>43.292304268151575</v>
      </c>
      <c r="BC178" s="1">
        <f>[1]节奏总纲!BC178</f>
        <v>45.236930910208002</v>
      </c>
      <c r="BD178" s="1">
        <f>[1]节奏总纲!BD178</f>
        <v>47.993323236262114</v>
      </c>
      <c r="BE178" s="1">
        <f>[1]节奏总纲!BE178</f>
        <v>52.679586692901438</v>
      </c>
    </row>
    <row r="179" spans="29:57" x14ac:dyDescent="0.15">
      <c r="AC179" s="1">
        <f>[1]节奏总纲!AC179</f>
        <v>176</v>
      </c>
      <c r="AD179" s="1">
        <f>[1]节奏总纲!AD179</f>
        <v>74.668435179500648</v>
      </c>
      <c r="AE179" s="1">
        <f>[1]节奏总纲!AE179</f>
        <v>76.742851022187054</v>
      </c>
      <c r="AF179" s="1">
        <f>[1]节奏总纲!AF179</f>
        <v>79.626227432318061</v>
      </c>
      <c r="AG179" s="1">
        <f>[1]节奏总纲!AG179</f>
        <v>84.239955290799188</v>
      </c>
      <c r="AH179" s="1">
        <f>[1]节奏总纲!AH179</f>
        <v>93.6774218048877</v>
      </c>
      <c r="AZ179" s="1">
        <f>[1]节奏总纲!AZ179</f>
        <v>176</v>
      </c>
      <c r="BA179" s="1">
        <f>[1]节奏总纲!BA179</f>
        <v>41.831661195923267</v>
      </c>
      <c r="BB179" s="1">
        <f>[1]节奏总纲!BB179</f>
        <v>43.329750976586219</v>
      </c>
      <c r="BC179" s="1">
        <f>[1]节奏总纲!BC179</f>
        <v>45.274125715578172</v>
      </c>
      <c r="BD179" s="1">
        <f>[1]节奏总纲!BD179</f>
        <v>48.030128751164234</v>
      </c>
      <c r="BE179" s="1">
        <f>[1]节奏总纲!BE179</f>
        <v>52.719493374493531</v>
      </c>
    </row>
    <row r="180" spans="29:57" x14ac:dyDescent="0.15">
      <c r="AC180" s="1">
        <f>[1]节奏总纲!AC180</f>
        <v>177</v>
      </c>
      <c r="AD180" s="1">
        <f>[1]节奏总纲!AD180</f>
        <v>74.750927616519931</v>
      </c>
      <c r="AE180" s="1">
        <f>[1]节奏总纲!AE180</f>
        <v>76.825156272401728</v>
      </c>
      <c r="AF180" s="1">
        <f>[1]节奏总纲!AF180</f>
        <v>79.71242959276131</v>
      </c>
      <c r="AG180" s="1">
        <f>[1]节奏总纲!AG180</f>
        <v>84.319342635981968</v>
      </c>
      <c r="AH180" s="1">
        <f>[1]节奏总纲!AH180</f>
        <v>93.765974124534438</v>
      </c>
      <c r="AZ180" s="1">
        <f>[1]节奏总纲!AZ180</f>
        <v>177</v>
      </c>
      <c r="BA180" s="1">
        <f>[1]节奏总纲!BA180</f>
        <v>41.87188741101501</v>
      </c>
      <c r="BB180" s="1">
        <f>[1]节奏总纲!BB180</f>
        <v>43.367197685020869</v>
      </c>
      <c r="BC180" s="1">
        <f>[1]节奏总纲!BC180</f>
        <v>45.31132052094835</v>
      </c>
      <c r="BD180" s="1">
        <f>[1]节奏总纲!BD180</f>
        <v>48.066021750983474</v>
      </c>
      <c r="BE180" s="1">
        <f>[1]节奏总纲!BE180</f>
        <v>52.759400056085624</v>
      </c>
    </row>
    <row r="181" spans="29:57" x14ac:dyDescent="0.15">
      <c r="AC181" s="1">
        <f>[1]节奏总纲!AC181</f>
        <v>178</v>
      </c>
      <c r="AD181" s="1">
        <f>[1]节奏总纲!AD181</f>
        <v>74.833420053539214</v>
      </c>
      <c r="AE181" s="1">
        <f>[1]节奏总纲!AE181</f>
        <v>76.907461522616416</v>
      </c>
      <c r="AF181" s="1">
        <f>[1]节奏总纲!AF181</f>
        <v>79.79863175320456</v>
      </c>
      <c r="AG181" s="1">
        <f>[1]节奏总纲!AG181</f>
        <v>84.398729981164735</v>
      </c>
      <c r="AH181" s="1">
        <f>[1]节奏总纲!AH181</f>
        <v>93.85452644418119</v>
      </c>
      <c r="AZ181" s="1">
        <f>[1]节奏总纲!AZ181</f>
        <v>178</v>
      </c>
      <c r="BA181" s="1">
        <f>[1]节奏总纲!BA181</f>
        <v>41.912113626106752</v>
      </c>
      <c r="BB181" s="1">
        <f>[1]节奏总纲!BB181</f>
        <v>43.404644393455513</v>
      </c>
      <c r="BC181" s="1">
        <f>[1]节奏总纲!BC181</f>
        <v>45.34851532631852</v>
      </c>
      <c r="BD181" s="1">
        <f>[1]节奏总纲!BD181</f>
        <v>48.101914750802706</v>
      </c>
      <c r="BE181" s="1">
        <f>[1]节奏总纲!BE181</f>
        <v>52.799306737677718</v>
      </c>
    </row>
    <row r="182" spans="29:57" x14ac:dyDescent="0.15">
      <c r="AC182" s="1">
        <f>[1]节奏总纲!AC182</f>
        <v>179</v>
      </c>
      <c r="AD182" s="1">
        <f>[1]节奏总纲!AD182</f>
        <v>74.915912490558512</v>
      </c>
      <c r="AE182" s="1">
        <f>[1]节奏总纲!AE182</f>
        <v>76.989766772831089</v>
      </c>
      <c r="AF182" s="1">
        <f>[1]节奏总纲!AF182</f>
        <v>79.88483391364781</v>
      </c>
      <c r="AG182" s="1">
        <f>[1]节奏总纲!AG182</f>
        <v>84.478117326347515</v>
      </c>
      <c r="AH182" s="1">
        <f>[1]节奏总纲!AH182</f>
        <v>93.943078763827941</v>
      </c>
      <c r="AZ182" s="1">
        <f>[1]节奏总纲!AZ182</f>
        <v>179</v>
      </c>
      <c r="BA182" s="1">
        <f>[1]节奏总纲!BA182</f>
        <v>41.952339841198494</v>
      </c>
      <c r="BB182" s="1">
        <f>[1]节奏总纲!BB182</f>
        <v>43.442091101890163</v>
      </c>
      <c r="BC182" s="1">
        <f>[1]节奏总纲!BC182</f>
        <v>45.385710131688697</v>
      </c>
      <c r="BD182" s="1">
        <f>[1]节奏总纲!BD182</f>
        <v>48.137807750621946</v>
      </c>
      <c r="BE182" s="1">
        <f>[1]节奏总纲!BE182</f>
        <v>52.839213419269818</v>
      </c>
    </row>
    <row r="183" spans="29:57" x14ac:dyDescent="0.15">
      <c r="AC183" s="1">
        <f>[1]节奏总纲!AC183</f>
        <v>180</v>
      </c>
      <c r="AD183" s="1">
        <f>[1]节奏总纲!AD183</f>
        <v>74.998404927577795</v>
      </c>
      <c r="AE183" s="1">
        <f>[1]节奏总纲!AE183</f>
        <v>77.06778397927944</v>
      </c>
      <c r="AF183" s="1">
        <f>[1]节奏总纲!AF183</f>
        <v>79.97103607409106</v>
      </c>
      <c r="AG183" s="1">
        <f>[1]节奏总纲!AG183</f>
        <v>84.557504671530296</v>
      </c>
      <c r="AH183" s="1">
        <f>[1]节奏总纲!AH183</f>
        <v>94.027056817114342</v>
      </c>
      <c r="AZ183" s="1">
        <f>[1]节奏总纲!AZ183</f>
        <v>180</v>
      </c>
      <c r="BA183" s="1">
        <f>[1]节奏总纲!BA183</f>
        <v>41.992566056290244</v>
      </c>
      <c r="BB183" s="1">
        <f>[1]节奏总纲!BB183</f>
        <v>43.479537810324807</v>
      </c>
      <c r="BC183" s="1">
        <f>[1]节奏总纲!BC183</f>
        <v>45.422904937058867</v>
      </c>
      <c r="BD183" s="1">
        <f>[1]节奏总纲!BD183</f>
        <v>48.173700750441178</v>
      </c>
      <c r="BE183" s="1">
        <f>[1]节奏总纲!BE183</f>
        <v>52.879120100861911</v>
      </c>
    </row>
    <row r="184" spans="29:57" x14ac:dyDescent="0.15">
      <c r="AC184" s="1">
        <f>[1]节奏总纲!AC184</f>
        <v>181</v>
      </c>
      <c r="AD184" s="1">
        <f>[1]节奏总纲!AD184</f>
        <v>75.075479910097457</v>
      </c>
      <c r="AE184" s="1">
        <f>[1]节奏总纲!AE184</f>
        <v>77.145192343015793</v>
      </c>
      <c r="AF184" s="1">
        <f>[1]节奏总纲!AF184</f>
        <v>80.053817475702374</v>
      </c>
      <c r="AG184" s="1">
        <f>[1]节奏总纲!AG184</f>
        <v>84.636892016713063</v>
      </c>
      <c r="AH184" s="1">
        <f>[1]节奏总纲!AH184</f>
        <v>94.102803318799971</v>
      </c>
      <c r="AZ184" s="1">
        <f>[1]节奏总纲!AZ184</f>
        <v>181</v>
      </c>
      <c r="BA184" s="1">
        <f>[1]节奏总纲!BA184</f>
        <v>42.028297717729309</v>
      </c>
      <c r="BB184" s="1">
        <f>[1]节奏总纲!BB184</f>
        <v>43.516984518759458</v>
      </c>
      <c r="BC184" s="1">
        <f>[1]节奏总纲!BC184</f>
        <v>45.460099742429037</v>
      </c>
      <c r="BD184" s="1">
        <f>[1]节奏总纲!BD184</f>
        <v>48.209593750260417</v>
      </c>
      <c r="BE184" s="1">
        <f>[1]节奏总纲!BE184</f>
        <v>52.919026782454004</v>
      </c>
    </row>
    <row r="185" spans="29:57" x14ac:dyDescent="0.15">
      <c r="AC185" s="1">
        <f>[1]节奏总纲!AC185</f>
        <v>182</v>
      </c>
      <c r="AD185" s="1">
        <f>[1]节奏总纲!AD185</f>
        <v>75.152448075388719</v>
      </c>
      <c r="AE185" s="1">
        <f>[1]节奏总纲!AE185</f>
        <v>77.222600706752132</v>
      </c>
      <c r="AF185" s="1">
        <f>[1]节奏总纲!AF185</f>
        <v>80.134867890916794</v>
      </c>
      <c r="AG185" s="1">
        <f>[1]节奏总纲!AG185</f>
        <v>84.716279361895843</v>
      </c>
      <c r="AH185" s="1">
        <f>[1]节奏总纲!AH185</f>
        <v>94.1785498204856</v>
      </c>
      <c r="AZ185" s="1">
        <f>[1]节奏总纲!AZ185</f>
        <v>182</v>
      </c>
      <c r="BA185" s="1">
        <f>[1]节奏总纲!BA185</f>
        <v>42.063010472656373</v>
      </c>
      <c r="BB185" s="1">
        <f>[1]节奏总纲!BB185</f>
        <v>43.554431227194108</v>
      </c>
      <c r="BC185" s="1">
        <f>[1]节奏总纲!BC185</f>
        <v>45.497294547799214</v>
      </c>
      <c r="BD185" s="1">
        <f>[1]节奏总纲!BD185</f>
        <v>48.24548675007965</v>
      </c>
      <c r="BE185" s="1">
        <f>[1]节奏总纲!BE185</f>
        <v>52.958933464046098</v>
      </c>
    </row>
    <row r="186" spans="29:57" x14ac:dyDescent="0.15">
      <c r="AC186" s="1">
        <f>[1]节奏总纲!AC186</f>
        <v>183</v>
      </c>
      <c r="AD186" s="1">
        <f>[1]节奏总纲!AD186</f>
        <v>75.229416240679981</v>
      </c>
      <c r="AE186" s="1">
        <f>[1]节奏总纲!AE186</f>
        <v>77.300009070488485</v>
      </c>
      <c r="AF186" s="1">
        <f>[1]节奏总纲!AF186</f>
        <v>80.215918306131215</v>
      </c>
      <c r="AG186" s="1">
        <f>[1]节奏总纲!AG186</f>
        <v>84.795666707078624</v>
      </c>
      <c r="AH186" s="1">
        <f>[1]节奏总纲!AH186</f>
        <v>94.254296322171228</v>
      </c>
      <c r="AZ186" s="1">
        <f>[1]节奏总纲!AZ186</f>
        <v>183</v>
      </c>
      <c r="BA186" s="1">
        <f>[1]节奏总纲!BA186</f>
        <v>42.097723227583437</v>
      </c>
      <c r="BB186" s="1">
        <f>[1]节奏总纲!BB186</f>
        <v>43.591877935628752</v>
      </c>
      <c r="BC186" s="1">
        <f>[1]节奏总纲!BC186</f>
        <v>45.534489353169384</v>
      </c>
      <c r="BD186" s="1">
        <f>[1]节奏总纲!BD186</f>
        <v>48.281379749898889</v>
      </c>
      <c r="BE186" s="1">
        <f>[1]节奏总纲!BE186</f>
        <v>52.998840145638198</v>
      </c>
    </row>
    <row r="187" spans="29:57" x14ac:dyDescent="0.15">
      <c r="AC187" s="1">
        <f>[1]节奏总纲!AC187</f>
        <v>184</v>
      </c>
      <c r="AD187" s="1">
        <f>[1]节奏总纲!AD187</f>
        <v>75.306384405971258</v>
      </c>
      <c r="AE187" s="1">
        <f>[1]节奏总纲!AE187</f>
        <v>77.377417434224824</v>
      </c>
      <c r="AF187" s="1">
        <f>[1]节奏总纲!AF187</f>
        <v>80.296968721345635</v>
      </c>
      <c r="AG187" s="1">
        <f>[1]节奏总纲!AG187</f>
        <v>84.87505405226139</v>
      </c>
      <c r="AH187" s="1">
        <f>[1]节奏总纲!AH187</f>
        <v>94.330042823856857</v>
      </c>
      <c r="AZ187" s="1">
        <f>[1]节奏总纲!AZ187</f>
        <v>184</v>
      </c>
      <c r="BA187" s="1">
        <f>[1]节奏总纲!BA187</f>
        <v>42.132435982510501</v>
      </c>
      <c r="BB187" s="1">
        <f>[1]节奏总纲!BB187</f>
        <v>43.629324644063402</v>
      </c>
      <c r="BC187" s="1">
        <f>[1]节奏总纲!BC187</f>
        <v>45.571684158539561</v>
      </c>
      <c r="BD187" s="1">
        <f>[1]节奏总纲!BD187</f>
        <v>48.317272749718121</v>
      </c>
      <c r="BE187" s="1">
        <f>[1]节奏总纲!BE187</f>
        <v>53.033462597729766</v>
      </c>
    </row>
    <row r="188" spans="29:57" x14ac:dyDescent="0.15">
      <c r="AC188" s="1">
        <f>[1]节奏总纲!AC188</f>
        <v>185</v>
      </c>
      <c r="AD188" s="1">
        <f>[1]节奏总纲!AD188</f>
        <v>75.38335257126252</v>
      </c>
      <c r="AE188" s="1">
        <f>[1]节奏总纲!AE188</f>
        <v>77.454825797961163</v>
      </c>
      <c r="AF188" s="1">
        <f>[1]节奏总纲!AF188</f>
        <v>80.378019136560056</v>
      </c>
      <c r="AG188" s="1">
        <f>[1]节奏总纲!AG188</f>
        <v>84.954441397444171</v>
      </c>
      <c r="AH188" s="1">
        <f>[1]节奏总纲!AH188</f>
        <v>94.405789325542486</v>
      </c>
      <c r="AZ188" s="1">
        <f>[1]节奏总纲!AZ188</f>
        <v>185</v>
      </c>
      <c r="BA188" s="1">
        <f>[1]节奏总纲!BA188</f>
        <v>42.167148737437564</v>
      </c>
      <c r="BB188" s="1">
        <f>[1]节奏总纲!BB188</f>
        <v>43.666771352498046</v>
      </c>
      <c r="BC188" s="1">
        <f>[1]节奏总纲!BC188</f>
        <v>45.608878963909731</v>
      </c>
      <c r="BD188" s="1">
        <f>[1]节奏总纲!BD188</f>
        <v>48.353165749537354</v>
      </c>
      <c r="BE188" s="1">
        <f>[1]节奏总纲!BE188</f>
        <v>53.067926870763252</v>
      </c>
    </row>
    <row r="189" spans="29:57" x14ac:dyDescent="0.15">
      <c r="AC189" s="1">
        <f>[1]节奏总纲!AC189</f>
        <v>186</v>
      </c>
      <c r="AD189" s="1">
        <f>[1]节奏总纲!AD189</f>
        <v>75.460320736553783</v>
      </c>
      <c r="AE189" s="1">
        <f>[1]节奏总纲!AE189</f>
        <v>77.532234161697517</v>
      </c>
      <c r="AF189" s="1">
        <f>[1]节奏总纲!AF189</f>
        <v>80.459069551774476</v>
      </c>
      <c r="AG189" s="1">
        <f>[1]节奏总纲!AG189</f>
        <v>85.030832425973387</v>
      </c>
      <c r="AH189" s="1">
        <f>[1]节奏总纲!AH189</f>
        <v>94.4815358272281</v>
      </c>
      <c r="AZ189" s="1">
        <f>[1]节奏总纲!AZ189</f>
        <v>186</v>
      </c>
      <c r="BA189" s="1">
        <f>[1]节奏总纲!BA189</f>
        <v>42.201861492364635</v>
      </c>
      <c r="BB189" s="1">
        <f>[1]节奏总纲!BB189</f>
        <v>43.704218060932696</v>
      </c>
      <c r="BC189" s="1">
        <f>[1]节奏总纲!BC189</f>
        <v>45.646073769279901</v>
      </c>
      <c r="BD189" s="1">
        <f>[1]节奏总纲!BD189</f>
        <v>48.389058749356593</v>
      </c>
      <c r="BE189" s="1">
        <f>[1]节奏总纲!BE189</f>
        <v>53.102391143796744</v>
      </c>
    </row>
    <row r="190" spans="29:57" x14ac:dyDescent="0.15">
      <c r="AC190" s="1">
        <f>[1]节奏总纲!AC190</f>
        <v>187</v>
      </c>
      <c r="AD190" s="1">
        <f>[1]节奏总纲!AD190</f>
        <v>75.537288901845045</v>
      </c>
      <c r="AE190" s="1">
        <f>[1]节奏总纲!AE190</f>
        <v>77.609642525433856</v>
      </c>
      <c r="AF190" s="1">
        <f>[1]节奏总纲!AF190</f>
        <v>80.540119966988897</v>
      </c>
      <c r="AG190" s="1">
        <f>[1]节奏总纲!AG190</f>
        <v>85.103188187775231</v>
      </c>
      <c r="AH190" s="1">
        <f>[1]节奏总纲!AH190</f>
        <v>94.557282328913729</v>
      </c>
      <c r="AZ190" s="1">
        <f>[1]节奏总纲!AZ190</f>
        <v>187</v>
      </c>
      <c r="BA190" s="1">
        <f>[1]节奏总纲!BA190</f>
        <v>42.236574247291699</v>
      </c>
      <c r="BB190" s="1">
        <f>[1]节奏总纲!BB190</f>
        <v>43.741664769367347</v>
      </c>
      <c r="BC190" s="1">
        <f>[1]节奏总纲!BC190</f>
        <v>45.683268574650079</v>
      </c>
      <c r="BD190" s="1">
        <f>[1]节奏总纲!BD190</f>
        <v>48.424951749175825</v>
      </c>
      <c r="BE190" s="1">
        <f>[1]节奏总纲!BE190</f>
        <v>53.13685541683023</v>
      </c>
    </row>
    <row r="191" spans="29:57" x14ac:dyDescent="0.15">
      <c r="AC191" s="1">
        <f>[1]节奏总纲!AC191</f>
        <v>188</v>
      </c>
      <c r="AD191" s="1">
        <f>[1]节奏总纲!AD191</f>
        <v>75.614257067136322</v>
      </c>
      <c r="AE191" s="1">
        <f>[1]节奏总纲!AE191</f>
        <v>77.687050889170209</v>
      </c>
      <c r="AF191" s="1">
        <f>[1]节奏总纲!AF191</f>
        <v>80.621170382203317</v>
      </c>
      <c r="AG191" s="1">
        <f>[1]节奏总纲!AG191</f>
        <v>85.175543949577076</v>
      </c>
      <c r="AH191" s="1">
        <f>[1]节奏总纲!AH191</f>
        <v>94.633028830599358</v>
      </c>
      <c r="AZ191" s="1">
        <f>[1]节奏总纲!AZ191</f>
        <v>188</v>
      </c>
      <c r="BA191" s="1">
        <f>[1]节奏总纲!BA191</f>
        <v>42.271287002218763</v>
      </c>
      <c r="BB191" s="1">
        <f>[1]节奏总纲!BB191</f>
        <v>43.77911147780199</v>
      </c>
      <c r="BC191" s="1">
        <f>[1]节奏总纲!BC191</f>
        <v>45.720463380020249</v>
      </c>
      <c r="BD191" s="1">
        <f>[1]节奏总纲!BD191</f>
        <v>48.460844748995065</v>
      </c>
      <c r="BE191" s="1">
        <f>[1]节奏总纲!BE191</f>
        <v>53.171319689863722</v>
      </c>
    </row>
    <row r="192" spans="29:57" x14ac:dyDescent="0.15">
      <c r="AC192" s="1">
        <f>[1]节奏总纲!AC192</f>
        <v>189</v>
      </c>
      <c r="AD192" s="1">
        <f>[1]节奏总纲!AD192</f>
        <v>75.691225232427584</v>
      </c>
      <c r="AE192" s="1">
        <f>[1]节奏总纲!AE192</f>
        <v>77.764459252906548</v>
      </c>
      <c r="AF192" s="1">
        <f>[1]节奏总纲!AF192</f>
        <v>80.702220797417738</v>
      </c>
      <c r="AG192" s="1">
        <f>[1]节奏总纲!AG192</f>
        <v>85.247899711378935</v>
      </c>
      <c r="AH192" s="1">
        <f>[1]节奏总纲!AH192</f>
        <v>94.708775332284986</v>
      </c>
      <c r="AZ192" s="1">
        <f>[1]节奏总纲!AZ192</f>
        <v>189</v>
      </c>
      <c r="BA192" s="1">
        <f>[1]节奏总纲!BA192</f>
        <v>42.305999757145827</v>
      </c>
      <c r="BB192" s="1">
        <f>[1]节奏总纲!BB192</f>
        <v>43.816558186236641</v>
      </c>
      <c r="BC192" s="1">
        <f>[1]节奏总纲!BC192</f>
        <v>45.757658185390426</v>
      </c>
      <c r="BD192" s="1">
        <f>[1]节奏总纲!BD192</f>
        <v>48.496737748814297</v>
      </c>
      <c r="BE192" s="1">
        <f>[1]节奏总纲!BE192</f>
        <v>53.205783962897208</v>
      </c>
    </row>
    <row r="193" spans="29:57" x14ac:dyDescent="0.15">
      <c r="AC193" s="1">
        <f>[1]节奏总纲!AC193</f>
        <v>190</v>
      </c>
      <c r="AD193" s="1">
        <f>[1]节奏总纲!AD193</f>
        <v>75.768193397718846</v>
      </c>
      <c r="AE193" s="1">
        <f>[1]节奏总纲!AE193</f>
        <v>77.841867616642901</v>
      </c>
      <c r="AF193" s="1">
        <f>[1]节奏总纲!AF193</f>
        <v>80.783271212632158</v>
      </c>
      <c r="AG193" s="1">
        <f>[1]节奏总纲!AG193</f>
        <v>85.320255473180779</v>
      </c>
      <c r="AH193" s="1">
        <f>[1]节奏总纲!AH193</f>
        <v>94.784521833970615</v>
      </c>
      <c r="AZ193" s="1">
        <f>[1]节奏总纲!AZ193</f>
        <v>190</v>
      </c>
      <c r="BA193" s="1">
        <f>[1]节奏总纲!BA193</f>
        <v>42.340712512072891</v>
      </c>
      <c r="BB193" s="1">
        <f>[1]节奏总纲!BB193</f>
        <v>43.854004894671284</v>
      </c>
      <c r="BC193" s="1">
        <f>[1]节奏总纲!BC193</f>
        <v>45.794852990760596</v>
      </c>
      <c r="BD193" s="1">
        <f>[1]节奏总纲!BD193</f>
        <v>48.532630748633537</v>
      </c>
      <c r="BE193" s="1">
        <f>[1]节奏总纲!BE193</f>
        <v>53.240248235930693</v>
      </c>
    </row>
    <row r="194" spans="29:57" x14ac:dyDescent="0.15">
      <c r="AC194" s="1">
        <f>[1]节奏总纲!AC194</f>
        <v>191</v>
      </c>
      <c r="AD194" s="1">
        <f>[1]节奏总纲!AD194</f>
        <v>75.845161563010109</v>
      </c>
      <c r="AE194" s="1">
        <f>[1]节奏总纲!AE194</f>
        <v>77.91927598037924</v>
      </c>
      <c r="AF194" s="1">
        <f>[1]节奏总纲!AF194</f>
        <v>80.864321627846579</v>
      </c>
      <c r="AG194" s="1">
        <f>[1]节奏总纲!AG194</f>
        <v>85.392611234982624</v>
      </c>
      <c r="AH194" s="1">
        <f>[1]节奏总纲!AH194</f>
        <v>94.860268335656244</v>
      </c>
      <c r="AZ194" s="1">
        <f>[1]节奏总纲!AZ194</f>
        <v>191</v>
      </c>
      <c r="BA194" s="1">
        <f>[1]节奏总纲!BA194</f>
        <v>42.375425266999954</v>
      </c>
      <c r="BB194" s="1">
        <f>[1]节奏总纲!BB194</f>
        <v>43.891451603105935</v>
      </c>
      <c r="BC194" s="1">
        <f>[1]节奏总纲!BC194</f>
        <v>45.832047796130773</v>
      </c>
      <c r="BD194" s="1">
        <f>[1]节奏总纲!BD194</f>
        <v>48.568523748452769</v>
      </c>
      <c r="BE194" s="1">
        <f>[1]节奏总纲!BE194</f>
        <v>53.274712508964186</v>
      </c>
    </row>
    <row r="195" spans="29:57" x14ac:dyDescent="0.15">
      <c r="AC195" s="1">
        <f>[1]节奏总纲!AC195</f>
        <v>192</v>
      </c>
      <c r="AD195" s="1">
        <f>[1]节奏总纲!AD195</f>
        <v>75.922129728301385</v>
      </c>
      <c r="AE195" s="1">
        <f>[1]节奏总纲!AE195</f>
        <v>77.996684344115593</v>
      </c>
      <c r="AF195" s="1">
        <f>[1]节奏总纲!AF195</f>
        <v>80.945372043060999</v>
      </c>
      <c r="AG195" s="1">
        <f>[1]节奏总纲!AG195</f>
        <v>85.464966996784469</v>
      </c>
      <c r="AH195" s="1">
        <f>[1]节奏总纲!AH195</f>
        <v>94.936014837341872</v>
      </c>
      <c r="AZ195" s="1">
        <f>[1]节奏总纲!AZ195</f>
        <v>192</v>
      </c>
      <c r="BA195" s="1">
        <f>[1]节奏总纲!BA195</f>
        <v>42.410138021927018</v>
      </c>
      <c r="BB195" s="1">
        <f>[1]节奏总纲!BB195</f>
        <v>43.928898311540578</v>
      </c>
      <c r="BC195" s="1">
        <f>[1]节奏总纲!BC195</f>
        <v>45.869242601500943</v>
      </c>
      <c r="BD195" s="1">
        <f>[1]节奏总纲!BD195</f>
        <v>48.604416748272008</v>
      </c>
      <c r="BE195" s="1">
        <f>[1]节奏总纲!BE195</f>
        <v>53.309176781997671</v>
      </c>
    </row>
    <row r="196" spans="29:57" x14ac:dyDescent="0.15">
      <c r="AC196" s="1">
        <f>[1]节奏总纲!AC196</f>
        <v>193</v>
      </c>
      <c r="AD196" s="1">
        <f>[1]节奏总纲!AD196</f>
        <v>75.999097893592648</v>
      </c>
      <c r="AE196" s="1">
        <f>[1]节奏总纲!AE196</f>
        <v>78.068193736526268</v>
      </c>
      <c r="AF196" s="1">
        <f>[1]节奏总纲!AF196</f>
        <v>81.02378934476593</v>
      </c>
      <c r="AG196" s="1">
        <f>[1]节奏总纲!AG196</f>
        <v>85.537322758586328</v>
      </c>
      <c r="AH196" s="1">
        <f>[1]节奏总纲!AH196</f>
        <v>95.011078787937279</v>
      </c>
      <c r="AZ196" s="1">
        <f>[1]节奏总纲!AZ196</f>
        <v>193</v>
      </c>
      <c r="BA196" s="1">
        <f>[1]节奏总纲!BA196</f>
        <v>42.444850776854082</v>
      </c>
      <c r="BB196" s="1">
        <f>[1]节奏总纲!BB196</f>
        <v>43.966345019975229</v>
      </c>
      <c r="BC196" s="1">
        <f>[1]节奏总纲!BC196</f>
        <v>45.906437406871113</v>
      </c>
      <c r="BD196" s="1">
        <f>[1]节奏总纲!BD196</f>
        <v>48.640309748091241</v>
      </c>
      <c r="BE196" s="1">
        <f>[1]节奏总纲!BE196</f>
        <v>53.343641055031163</v>
      </c>
    </row>
    <row r="197" spans="29:57" x14ac:dyDescent="0.15">
      <c r="AC197" s="1">
        <f>[1]节奏总纲!AC197</f>
        <v>194</v>
      </c>
      <c r="AD197" s="1">
        <f>[1]节奏总纲!AD197</f>
        <v>76.070972142474872</v>
      </c>
      <c r="AE197" s="1">
        <f>[1]节奏总纲!AE197</f>
        <v>78.139439149396253</v>
      </c>
      <c r="AF197" s="1">
        <f>[1]节奏总纲!AF197</f>
        <v>81.096762731680187</v>
      </c>
      <c r="AG197" s="1">
        <f>[1]节奏总纲!AG197</f>
        <v>85.609678520388172</v>
      </c>
      <c r="AH197" s="1">
        <f>[1]节奏总纲!AH197</f>
        <v>95.082429458741387</v>
      </c>
      <c r="AZ197" s="1">
        <f>[1]节奏总纲!AZ197</f>
        <v>194</v>
      </c>
      <c r="BA197" s="1">
        <f>[1]节奏总纲!BA197</f>
        <v>42.479563531781146</v>
      </c>
      <c r="BB197" s="1">
        <f>[1]节奏总纲!BB197</f>
        <v>44.003272544984547</v>
      </c>
      <c r="BC197" s="1">
        <f>[1]节奏总纲!BC197</f>
        <v>45.94363221224129</v>
      </c>
      <c r="BD197" s="1">
        <f>[1]节奏总纲!BD197</f>
        <v>48.67620274791048</v>
      </c>
      <c r="BE197" s="1">
        <f>[1]节奏总纲!BE197</f>
        <v>53.378105328064649</v>
      </c>
    </row>
    <row r="198" spans="29:57" x14ac:dyDescent="0.15">
      <c r="AC198" s="1">
        <f>[1]节奏总纲!AC198</f>
        <v>195</v>
      </c>
      <c r="AD198" s="1">
        <f>[1]节奏总纲!AD198</f>
        <v>76.142785979989682</v>
      </c>
      <c r="AE198" s="1">
        <f>[1]节奏总纲!AE198</f>
        <v>78.210684562266223</v>
      </c>
      <c r="AF198" s="1">
        <f>[1]节奏总纲!AF198</f>
        <v>81.169736118594443</v>
      </c>
      <c r="AG198" s="1">
        <f>[1]节奏总纲!AG198</f>
        <v>85.682034282190017</v>
      </c>
      <c r="AH198" s="1">
        <f>[1]节奏总纲!AH198</f>
        <v>95.153780129545481</v>
      </c>
      <c r="AZ198" s="1">
        <f>[1]节奏总纲!AZ198</f>
        <v>195</v>
      </c>
      <c r="BA198" s="1">
        <f>[1]节奏总纲!BA198</f>
        <v>42.51427628670821</v>
      </c>
      <c r="BB198" s="1">
        <f>[1]节奏总纲!BB198</f>
        <v>44.035591852864428</v>
      </c>
      <c r="BC198" s="1">
        <f>[1]节奏总纲!BC198</f>
        <v>45.98082701761146</v>
      </c>
      <c r="BD198" s="1">
        <f>[1]节奏总纲!BD198</f>
        <v>48.712095747729713</v>
      </c>
      <c r="BE198" s="1">
        <f>[1]节奏总纲!BE198</f>
        <v>53.412569601098134</v>
      </c>
    </row>
    <row r="199" spans="29:57" x14ac:dyDescent="0.15">
      <c r="AC199" s="1">
        <f>[1]节奏总纲!AC199</f>
        <v>196</v>
      </c>
      <c r="AD199" s="1">
        <f>[1]节奏总纲!AD199</f>
        <v>76.214599817504492</v>
      </c>
      <c r="AE199" s="1">
        <f>[1]节奏总纲!AE199</f>
        <v>78.281929975136208</v>
      </c>
      <c r="AF199" s="1">
        <f>[1]节奏总纲!AF199</f>
        <v>81.242709505508685</v>
      </c>
      <c r="AG199" s="1">
        <f>[1]节奏总纲!AG199</f>
        <v>85.754390043991862</v>
      </c>
      <c r="AH199" s="1">
        <f>[1]节奏总纲!AH199</f>
        <v>95.225130800349589</v>
      </c>
      <c r="AZ199" s="1">
        <f>[1]节奏总纲!AZ199</f>
        <v>196</v>
      </c>
      <c r="BA199" s="1">
        <f>[1]节奏总纲!BA199</f>
        <v>42.548989041635274</v>
      </c>
      <c r="BB199" s="1">
        <f>[1]节奏总纲!BB199</f>
        <v>44.067911160744309</v>
      </c>
      <c r="BC199" s="1">
        <f>[1]节奏总纲!BC199</f>
        <v>46.01555652579863</v>
      </c>
      <c r="BD199" s="1">
        <f>[1]节奏总纲!BD199</f>
        <v>48.747988747548945</v>
      </c>
      <c r="BE199" s="1">
        <f>[1]节奏总纲!BE199</f>
        <v>53.447033874131627</v>
      </c>
    </row>
    <row r="200" spans="29:57" x14ac:dyDescent="0.15">
      <c r="AC200" s="1">
        <f>[1]节奏总纲!AC200</f>
        <v>197</v>
      </c>
      <c r="AD200" s="1">
        <f>[1]节奏总纲!AD200</f>
        <v>76.286413655019302</v>
      </c>
      <c r="AE200" s="1">
        <f>[1]节奏总纲!AE200</f>
        <v>78.353175388006179</v>
      </c>
      <c r="AF200" s="1">
        <f>[1]节奏总纲!AF200</f>
        <v>81.315682892422942</v>
      </c>
      <c r="AG200" s="1">
        <f>[1]节奏总纲!AG200</f>
        <v>85.82674580579372</v>
      </c>
      <c r="AH200" s="1">
        <f>[1]节奏总纲!AH200</f>
        <v>95.296481471153683</v>
      </c>
      <c r="AZ200" s="1">
        <f>[1]节奏总纲!AZ200</f>
        <v>197</v>
      </c>
      <c r="BA200" s="1">
        <f>[1]节奏总纲!BA200</f>
        <v>42.583701796562345</v>
      </c>
      <c r="BB200" s="1">
        <f>[1]节奏总纲!BB200</f>
        <v>44.100230468624183</v>
      </c>
      <c r="BC200" s="1">
        <f>[1]节奏总纲!BC200</f>
        <v>46.047663263829847</v>
      </c>
      <c r="BD200" s="1">
        <f>[1]节奏总纲!BD200</f>
        <v>48.783881747368184</v>
      </c>
      <c r="BE200" s="1">
        <f>[1]节奏总纲!BE200</f>
        <v>53.481498147165112</v>
      </c>
    </row>
    <row r="201" spans="29:57" x14ac:dyDescent="0.15">
      <c r="AC201" s="1">
        <f>[1]节奏总纲!AC201</f>
        <v>198</v>
      </c>
      <c r="AD201" s="1">
        <f>[1]节奏总纲!AD201</f>
        <v>76.358227492534112</v>
      </c>
      <c r="AE201" s="1">
        <f>[1]节奏总纲!AE201</f>
        <v>78.424420800876163</v>
      </c>
      <c r="AF201" s="1">
        <f>[1]节奏总纲!AF201</f>
        <v>81.388656279337198</v>
      </c>
      <c r="AG201" s="1">
        <f>[1]节奏总纲!AG201</f>
        <v>85.899101567595565</v>
      </c>
      <c r="AH201" s="1">
        <f>[1]节奏总纲!AH201</f>
        <v>95.367832141957777</v>
      </c>
      <c r="AZ201" s="1">
        <f>[1]节奏总纲!AZ201</f>
        <v>198</v>
      </c>
      <c r="BA201" s="1">
        <f>[1]节奏总纲!BA201</f>
        <v>42.618414551489408</v>
      </c>
      <c r="BB201" s="1">
        <f>[1]节奏总纲!BB201</f>
        <v>44.132549776504064</v>
      </c>
      <c r="BC201" s="1">
        <f>[1]节奏总纲!BC201</f>
        <v>46.079770001861057</v>
      </c>
      <c r="BD201" s="1">
        <f>[1]节奏总纲!BD201</f>
        <v>48.819774747187417</v>
      </c>
      <c r="BE201" s="1">
        <f>[1]节奏总纲!BE201</f>
        <v>53.515962420198605</v>
      </c>
    </row>
    <row r="202" spans="29:57" x14ac:dyDescent="0.15">
      <c r="AC202" s="1">
        <f>[1]节奏总纲!AC202</f>
        <v>199</v>
      </c>
      <c r="AD202" s="1">
        <f>[1]节奏总纲!AD202</f>
        <v>76.430041330048923</v>
      </c>
      <c r="AE202" s="1">
        <f>[1]节奏总纲!AE202</f>
        <v>78.495666213746148</v>
      </c>
      <c r="AF202" s="1">
        <f>[1]节奏总纲!AF202</f>
        <v>81.461629666251454</v>
      </c>
      <c r="AG202" s="1">
        <f>[1]节奏总纲!AG202</f>
        <v>85.97145732939741</v>
      </c>
      <c r="AH202" s="1">
        <f>[1]节奏总纲!AH202</f>
        <v>95.439182812761885</v>
      </c>
      <c r="AZ202" s="1">
        <f>[1]节奏总纲!AZ202</f>
        <v>199</v>
      </c>
      <c r="BA202" s="1">
        <f>[1]节奏总纲!BA202</f>
        <v>42.653127306416472</v>
      </c>
      <c r="BB202" s="1">
        <f>[1]节奏总纲!BB202</f>
        <v>44.164869084383938</v>
      </c>
      <c r="BC202" s="1">
        <f>[1]节奏总纲!BC202</f>
        <v>46.111876739892267</v>
      </c>
      <c r="BD202" s="1">
        <f>[1]节奏总纲!BD202</f>
        <v>48.855667747006656</v>
      </c>
      <c r="BE202" s="1">
        <f>[1]节奏总纲!BE202</f>
        <v>53.55042669323209</v>
      </c>
    </row>
    <row r="203" spans="29:57" x14ac:dyDescent="0.15">
      <c r="AC203" s="1">
        <f>[1]节奏总纲!AC203</f>
        <v>200</v>
      </c>
      <c r="AD203" s="1">
        <f>[1]节奏总纲!AD203</f>
        <v>76.501855167563733</v>
      </c>
      <c r="AE203" s="1">
        <f>[1]节奏总纲!AE203</f>
        <v>78.566911626616118</v>
      </c>
      <c r="AF203" s="1">
        <f>[1]节奏总纲!AF203</f>
        <v>81.534603053165696</v>
      </c>
      <c r="AG203" s="1">
        <f>[1]节奏总纲!AG203</f>
        <v>86.045919706798657</v>
      </c>
      <c r="AH203" s="1">
        <f>[1]节奏总纲!AH203</f>
        <v>95.510533483565979</v>
      </c>
      <c r="AZ203" s="1">
        <f>[1]节奏总纲!AZ203</f>
        <v>200</v>
      </c>
      <c r="BA203" s="1">
        <f>[1]节奏总纲!BA203</f>
        <v>42.687840061343536</v>
      </c>
      <c r="BB203" s="1">
        <f>[1]节奏总纲!BB203</f>
        <v>44.197188392263818</v>
      </c>
      <c r="BC203" s="1">
        <f>[1]节奏总纲!BC203</f>
        <v>46.143983477923484</v>
      </c>
      <c r="BD203" s="1">
        <f>[1]节奏总纲!BD203</f>
        <v>48.891560746825888</v>
      </c>
      <c r="BE203" s="1">
        <f>[1]节奏总纲!BE203</f>
        <v>53.584890966265583</v>
      </c>
    </row>
    <row r="204" spans="29:57" x14ac:dyDescent="0.15">
      <c r="AC204" s="1">
        <f>[1]节奏总纲!AC204</f>
        <v>201</v>
      </c>
      <c r="AD204" s="1">
        <f>[1]节奏总纲!AD204</f>
        <v>76.573669005078543</v>
      </c>
      <c r="AE204" s="1">
        <f>[1]节奏总纲!AE204</f>
        <v>78.638157039486103</v>
      </c>
      <c r="AF204" s="1">
        <f>[1]节奏总纲!AF204</f>
        <v>81.607576440079953</v>
      </c>
      <c r="AG204" s="1">
        <f>[1]节奏总纲!AG204</f>
        <v>86.121754469336281</v>
      </c>
      <c r="AH204" s="1">
        <f>[1]节奏总纲!AH204</f>
        <v>95.581884154370087</v>
      </c>
      <c r="AZ204" s="1">
        <f>[1]节奏总纲!AZ204</f>
        <v>201</v>
      </c>
      <c r="BA204" s="1">
        <f>[1]节奏总纲!BA204</f>
        <v>42.7225528162706</v>
      </c>
      <c r="BB204" s="1">
        <f>[1]节奏总纲!BB204</f>
        <v>44.229507700143699</v>
      </c>
      <c r="BC204" s="1">
        <f>[1]节奏总纲!BC204</f>
        <v>46.176090215954694</v>
      </c>
      <c r="BD204" s="1">
        <f>[1]节奏总纲!BD204</f>
        <v>48.927453746645128</v>
      </c>
      <c r="BE204" s="1">
        <f>[1]节奏总纲!BE204</f>
        <v>53.619355239299068</v>
      </c>
    </row>
    <row r="205" spans="29:57" x14ac:dyDescent="0.15">
      <c r="AC205" s="1">
        <f>[1]节奏总纲!AC205</f>
        <v>202</v>
      </c>
      <c r="AD205" s="1">
        <f>[1]节奏总纲!AD205</f>
        <v>76.645482842593353</v>
      </c>
      <c r="AE205" s="1">
        <f>[1]节奏总纲!AE205</f>
        <v>78.709402452356088</v>
      </c>
      <c r="AF205" s="1">
        <f>[1]节奏总纲!AF205</f>
        <v>81.680549826994209</v>
      </c>
      <c r="AG205" s="1">
        <f>[1]节奏总纲!AG205</f>
        <v>86.197589231873891</v>
      </c>
      <c r="AH205" s="1">
        <f>[1]节奏总纲!AH205</f>
        <v>95.653234825174181</v>
      </c>
      <c r="AZ205" s="1">
        <f>[1]节奏总纲!AZ205</f>
        <v>202</v>
      </c>
      <c r="BA205" s="1">
        <f>[1]节奏总纲!BA205</f>
        <v>42.757265571197664</v>
      </c>
      <c r="BB205" s="1">
        <f>[1]节奏总纲!BB205</f>
        <v>44.261827008023573</v>
      </c>
      <c r="BC205" s="1">
        <f>[1]节奏总纲!BC205</f>
        <v>46.208196953985905</v>
      </c>
      <c r="BD205" s="1">
        <f>[1]节奏总纲!BD205</f>
        <v>48.96334674646436</v>
      </c>
      <c r="BE205" s="1">
        <f>[1]节奏总纲!BE205</f>
        <v>53.653819512332554</v>
      </c>
    </row>
    <row r="206" spans="29:57" x14ac:dyDescent="0.15">
      <c r="AC206" s="1">
        <f>[1]节奏总纲!AC206</f>
        <v>203</v>
      </c>
      <c r="AD206" s="1">
        <f>[1]节奏总纲!AD206</f>
        <v>76.717296680108163</v>
      </c>
      <c r="AE206" s="1">
        <f>[1]节奏总纲!AE206</f>
        <v>78.780647865226058</v>
      </c>
      <c r="AF206" s="1">
        <f>[1]节奏总纲!AF206</f>
        <v>81.753523213908451</v>
      </c>
      <c r="AG206" s="1">
        <f>[1]节奏总纲!AG206</f>
        <v>86.273423994411502</v>
      </c>
      <c r="AH206" s="1">
        <f>[1]节奏总纲!AH206</f>
        <v>95.724585495978289</v>
      </c>
      <c r="AZ206" s="1">
        <f>[1]节奏总纲!AZ206</f>
        <v>203</v>
      </c>
      <c r="BA206" s="1">
        <f>[1]节奏总纲!BA206</f>
        <v>42.791978326124728</v>
      </c>
      <c r="BB206" s="1">
        <f>[1]节奏总纲!BB206</f>
        <v>44.294146315903454</v>
      </c>
      <c r="BC206" s="1">
        <f>[1]节奏总纲!BC206</f>
        <v>46.240303692017122</v>
      </c>
      <c r="BD206" s="1">
        <f>[1]节奏总纲!BD206</f>
        <v>48.9992397462836</v>
      </c>
      <c r="BE206" s="1">
        <f>[1]节奏总纲!BE206</f>
        <v>53.688283785366046</v>
      </c>
    </row>
    <row r="207" spans="29:57" x14ac:dyDescent="0.15">
      <c r="AC207" s="1">
        <f>[1]节奏总纲!AC207</f>
        <v>204</v>
      </c>
      <c r="AD207" s="1">
        <f>[1]节奏总纲!AD207</f>
        <v>76.789110517622973</v>
      </c>
      <c r="AE207" s="1">
        <f>[1]节奏总纲!AE207</f>
        <v>78.851893278096043</v>
      </c>
      <c r="AF207" s="1">
        <f>[1]节奏总纲!AF207</f>
        <v>81.826496600822708</v>
      </c>
      <c r="AG207" s="1">
        <f>[1]节奏总纲!AG207</f>
        <v>86.349258756949112</v>
      </c>
      <c r="AH207" s="1">
        <f>[1]节奏总纲!AH207</f>
        <v>95.795936166782383</v>
      </c>
      <c r="AZ207" s="1">
        <f>[1]节奏总纲!AZ207</f>
        <v>204</v>
      </c>
      <c r="BA207" s="1">
        <f>[1]节奏总纲!BA207</f>
        <v>42.826691081051791</v>
      </c>
      <c r="BB207" s="1">
        <f>[1]节奏总纲!BB207</f>
        <v>44.326465623783335</v>
      </c>
      <c r="BC207" s="1">
        <f>[1]节奏总纲!BC207</f>
        <v>46.272410430048332</v>
      </c>
      <c r="BD207" s="1">
        <f>[1]节奏总纲!BD207</f>
        <v>49.030333272797542</v>
      </c>
      <c r="BE207" s="1">
        <f>[1]节奏总纲!BE207</f>
        <v>53.722748058399532</v>
      </c>
    </row>
    <row r="208" spans="29:57" x14ac:dyDescent="0.15">
      <c r="AC208" s="1">
        <f>[1]节奏总纲!AC208</f>
        <v>205</v>
      </c>
      <c r="AD208" s="1">
        <f>[1]节奏总纲!AD208</f>
        <v>76.860924355137783</v>
      </c>
      <c r="AE208" s="1">
        <f>[1]节奏总纲!AE208</f>
        <v>78.923138690966013</v>
      </c>
      <c r="AF208" s="1">
        <f>[1]节奏总纲!AF208</f>
        <v>81.899469987736964</v>
      </c>
      <c r="AG208" s="1">
        <f>[1]节奏总纲!AG208</f>
        <v>86.425093519486722</v>
      </c>
      <c r="AH208" s="1">
        <f>[1]节奏总纲!AH208</f>
        <v>95.867286837586477</v>
      </c>
      <c r="AZ208" s="1">
        <f>[1]节奏总纲!AZ208</f>
        <v>205</v>
      </c>
      <c r="BA208" s="1">
        <f>[1]节奏总纲!BA208</f>
        <v>42.861403835978855</v>
      </c>
      <c r="BB208" s="1">
        <f>[1]节奏总纲!BB208</f>
        <v>44.358784931663209</v>
      </c>
      <c r="BC208" s="1">
        <f>[1]节奏总纲!BC208</f>
        <v>46.304517168079542</v>
      </c>
      <c r="BD208" s="1">
        <f>[1]节奏总纲!BD208</f>
        <v>49.061322941292346</v>
      </c>
      <c r="BE208" s="1">
        <f>[1]节奏总纲!BE208</f>
        <v>53.757212331433024</v>
      </c>
    </row>
    <row r="209" spans="29:57" x14ac:dyDescent="0.15">
      <c r="AC209" s="1">
        <f>[1]节奏总纲!AC209</f>
        <v>206</v>
      </c>
      <c r="AD209" s="1">
        <f>[1]节奏总纲!AD209</f>
        <v>76.932738192652593</v>
      </c>
      <c r="AE209" s="1">
        <f>[1]节奏总纲!AE209</f>
        <v>78.994384103835998</v>
      </c>
      <c r="AF209" s="1">
        <f>[1]节奏总纲!AF209</f>
        <v>81.972443374651206</v>
      </c>
      <c r="AG209" s="1">
        <f>[1]节奏总纲!AG209</f>
        <v>86.500928282024347</v>
      </c>
      <c r="AH209" s="1">
        <f>[1]节奏总纲!AH209</f>
        <v>95.938637508390585</v>
      </c>
      <c r="AZ209" s="1">
        <f>[1]节奏总纲!AZ209</f>
        <v>206</v>
      </c>
      <c r="BA209" s="1">
        <f>[1]节奏总纲!BA209</f>
        <v>42.896116590905919</v>
      </c>
      <c r="BB209" s="1">
        <f>[1]节奏总纲!BB209</f>
        <v>44.39110423954309</v>
      </c>
      <c r="BC209" s="1">
        <f>[1]节奏总纲!BC209</f>
        <v>46.336623906110759</v>
      </c>
      <c r="BD209" s="1">
        <f>[1]节奏总纲!BD209</f>
        <v>49.09231260978715</v>
      </c>
      <c r="BE209" s="1">
        <f>[1]节奏总纲!BE209</f>
        <v>53.79167660446651</v>
      </c>
    </row>
    <row r="210" spans="29:57" x14ac:dyDescent="0.15">
      <c r="AC210" s="1">
        <f>[1]节奏总纲!AC210</f>
        <v>207</v>
      </c>
      <c r="AD210" s="1">
        <f>[1]节奏总纲!AD210</f>
        <v>77.004247194324648</v>
      </c>
      <c r="AE210" s="1">
        <f>[1]节奏总纲!AE210</f>
        <v>79.061386416569832</v>
      </c>
      <c r="AF210" s="1">
        <f>[1]节奏总纲!AF210</f>
        <v>82.041007317281839</v>
      </c>
      <c r="AG210" s="1">
        <f>[1]节奏总纲!AG210</f>
        <v>86.576763044561957</v>
      </c>
      <c r="AH210" s="1">
        <f>[1]节奏总纲!AH210</f>
        <v>96.008512635801992</v>
      </c>
      <c r="AZ210" s="1">
        <f>[1]节奏总纲!AZ210</f>
        <v>207</v>
      </c>
      <c r="BA210" s="1">
        <f>[1]节奏总纲!BA210</f>
        <v>42.930829345832983</v>
      </c>
      <c r="BB210" s="1">
        <f>[1]节奏总纲!BB210</f>
        <v>44.423423547422971</v>
      </c>
      <c r="BC210" s="1">
        <f>[1]节奏总纲!BC210</f>
        <v>46.368730644141969</v>
      </c>
      <c r="BD210" s="1">
        <f>[1]节奏总纲!BD210</f>
        <v>49.123302278281955</v>
      </c>
      <c r="BE210" s="1">
        <f>[1]节奏总纲!BE210</f>
        <v>53.826140877499995</v>
      </c>
    </row>
    <row r="211" spans="29:57" x14ac:dyDescent="0.15">
      <c r="AC211" s="1">
        <f>[1]节奏总纲!AC211</f>
        <v>208</v>
      </c>
      <c r="AD211" s="1">
        <f>[1]节奏总纲!AD211</f>
        <v>77.07125187397483</v>
      </c>
      <c r="AE211" s="1">
        <f>[1]节奏总纲!AE211</f>
        <v>79.128025648620252</v>
      </c>
      <c r="AF211" s="1">
        <f>[1]节奏总纲!AF211</f>
        <v>82.106895829081836</v>
      </c>
      <c r="AG211" s="1">
        <f>[1]节奏总纲!AG211</f>
        <v>86.652597807099568</v>
      </c>
      <c r="AH211" s="1">
        <f>[1]节奏总纲!AH211</f>
        <v>96.069322745727362</v>
      </c>
      <c r="AZ211" s="1">
        <f>[1]节奏总纲!AZ211</f>
        <v>208</v>
      </c>
      <c r="BA211" s="1">
        <f>[1]节奏总纲!BA211</f>
        <v>42.965542100760054</v>
      </c>
      <c r="BB211" s="1">
        <f>[1]节奏总纲!BB211</f>
        <v>44.455742855302844</v>
      </c>
      <c r="BC211" s="1">
        <f>[1]节奏总纲!BC211</f>
        <v>46.400837382173179</v>
      </c>
      <c r="BD211" s="1">
        <f>[1]节奏总纲!BD211</f>
        <v>49.154291946776759</v>
      </c>
      <c r="BE211" s="1">
        <f>[1]节奏总纲!BE211</f>
        <v>53.860605150533488</v>
      </c>
    </row>
    <row r="212" spans="29:57" x14ac:dyDescent="0.15">
      <c r="AC212" s="1">
        <f>[1]节奏总纲!AC212</f>
        <v>209</v>
      </c>
      <c r="AD212" s="1">
        <f>[1]节奏总纲!AD212</f>
        <v>77.138256553625013</v>
      </c>
      <c r="AE212" s="1">
        <f>[1]节奏总纲!AE212</f>
        <v>79.194664880670672</v>
      </c>
      <c r="AF212" s="1">
        <f>[1]节奏总纲!AF212</f>
        <v>82.172784340881819</v>
      </c>
      <c r="AG212" s="1">
        <f>[1]节奏总纲!AG212</f>
        <v>86.728432569637178</v>
      </c>
      <c r="AH212" s="1">
        <f>[1]节奏总纲!AH212</f>
        <v>96.130132855652732</v>
      </c>
      <c r="AZ212" s="1">
        <f>[1]节奏总纲!AZ212</f>
        <v>209</v>
      </c>
      <c r="BA212" s="1">
        <f>[1]节奏总纲!BA212</f>
        <v>43.000219942361319</v>
      </c>
      <c r="BB212" s="1">
        <f>[1]节奏总纲!BB212</f>
        <v>44.488062163182725</v>
      </c>
      <c r="BC212" s="1">
        <f>[1]节奏总纲!BC212</f>
        <v>46.432944120204397</v>
      </c>
      <c r="BD212" s="1">
        <f>[1]节奏总纲!BD212</f>
        <v>49.18528161527157</v>
      </c>
      <c r="BE212" s="1">
        <f>[1]节奏总纲!BE212</f>
        <v>53.895069423566973</v>
      </c>
    </row>
    <row r="213" spans="29:57" x14ac:dyDescent="0.15">
      <c r="AC213" s="1">
        <f>[1]节奏总纲!AC213</f>
        <v>210</v>
      </c>
      <c r="AD213" s="1">
        <f>[1]节奏总纲!AD213</f>
        <v>77.205261233275195</v>
      </c>
      <c r="AE213" s="1">
        <f>[1]节奏总纲!AE213</f>
        <v>79.261304112721092</v>
      </c>
      <c r="AF213" s="1">
        <f>[1]节奏总纲!AF213</f>
        <v>82.238672852681816</v>
      </c>
      <c r="AG213" s="1">
        <f>[1]节奏总纲!AG213</f>
        <v>86.804267332174788</v>
      </c>
      <c r="AH213" s="1">
        <f>[1]节奏总纲!AH213</f>
        <v>96.190942965578103</v>
      </c>
      <c r="AZ213" s="1">
        <f>[1]节奏总纲!AZ213</f>
        <v>210</v>
      </c>
      <c r="BA213" s="1">
        <f>[1]节奏总纲!BA213</f>
        <v>43.030177309109042</v>
      </c>
      <c r="BB213" s="1">
        <f>[1]节奏总纲!BB213</f>
        <v>44.520381471062606</v>
      </c>
      <c r="BC213" s="1">
        <f>[1]节奏总纲!BC213</f>
        <v>46.465050858235607</v>
      </c>
      <c r="BD213" s="1">
        <f>[1]节奏总纲!BD213</f>
        <v>49.216271283766375</v>
      </c>
      <c r="BE213" s="1">
        <f>[1]节奏总纲!BE213</f>
        <v>53.929533696600465</v>
      </c>
    </row>
    <row r="214" spans="29:57" x14ac:dyDescent="0.15">
      <c r="AC214" s="1">
        <f>[1]节奏总纲!AC214</f>
        <v>211</v>
      </c>
      <c r="AD214" s="1">
        <f>[1]节奏总纲!AD214</f>
        <v>77.272265912925377</v>
      </c>
      <c r="AE214" s="1">
        <f>[1]节奏总纲!AE214</f>
        <v>79.327943344771512</v>
      </c>
      <c r="AF214" s="1">
        <f>[1]节奏总纲!AF214</f>
        <v>82.304561364481813</v>
      </c>
      <c r="AG214" s="1">
        <f>[1]节奏总纲!AG214</f>
        <v>86.880102094712413</v>
      </c>
      <c r="AH214" s="1">
        <f>[1]节奏总纲!AH214</f>
        <v>96.251753075503458</v>
      </c>
      <c r="AZ214" s="1">
        <f>[1]节奏总纲!AZ214</f>
        <v>211</v>
      </c>
      <c r="BA214" s="1">
        <f>[1]节奏总纲!BA214</f>
        <v>43.060134675856759</v>
      </c>
      <c r="BB214" s="1">
        <f>[1]节奏总纲!BB214</f>
        <v>44.55270077894248</v>
      </c>
      <c r="BC214" s="1">
        <f>[1]节奏总纲!BC214</f>
        <v>46.497157596266817</v>
      </c>
      <c r="BD214" s="1">
        <f>[1]节奏总纲!BD214</f>
        <v>49.247260952261179</v>
      </c>
      <c r="BE214" s="1">
        <f>[1]节奏总纲!BE214</f>
        <v>53.963997969633951</v>
      </c>
    </row>
    <row r="215" spans="29:57" x14ac:dyDescent="0.15">
      <c r="AC215" s="1">
        <f>[1]节奏总纲!AC215</f>
        <v>212</v>
      </c>
      <c r="AD215" s="1">
        <f>[1]节奏总纲!AD215</f>
        <v>77.339270592575559</v>
      </c>
      <c r="AE215" s="1">
        <f>[1]节奏总纲!AE215</f>
        <v>79.394582576821932</v>
      </c>
      <c r="AF215" s="1">
        <f>[1]节奏总纲!AF215</f>
        <v>82.370449876281796</v>
      </c>
      <c r="AG215" s="1">
        <f>[1]节奏总纲!AG215</f>
        <v>86.955936857250023</v>
      </c>
      <c r="AH215" s="1">
        <f>[1]节奏总纲!AH215</f>
        <v>96.312563185428829</v>
      </c>
      <c r="AZ215" s="1">
        <f>[1]节奏总纲!AZ215</f>
        <v>212</v>
      </c>
      <c r="BA215" s="1">
        <f>[1]节奏总纲!BA215</f>
        <v>43.090092042604475</v>
      </c>
      <c r="BB215" s="1">
        <f>[1]节奏总纲!BB215</f>
        <v>44.585020086822361</v>
      </c>
      <c r="BC215" s="1">
        <f>[1]节奏总纲!BC215</f>
        <v>46.529264334298034</v>
      </c>
      <c r="BD215" s="1">
        <f>[1]节奏总纲!BD215</f>
        <v>49.278250620755983</v>
      </c>
      <c r="BE215" s="1">
        <f>[1]节奏总纲!BE215</f>
        <v>53.998462242667436</v>
      </c>
    </row>
    <row r="216" spans="29:57" x14ac:dyDescent="0.15">
      <c r="AC216" s="1">
        <f>[1]节奏总纲!AC216</f>
        <v>213</v>
      </c>
      <c r="AD216" s="1">
        <f>[1]节奏总纲!AD216</f>
        <v>77.406275272225741</v>
      </c>
      <c r="AE216" s="1">
        <f>[1]节奏总纲!AE216</f>
        <v>79.461221808872352</v>
      </c>
      <c r="AF216" s="1">
        <f>[1]节奏总纲!AF216</f>
        <v>82.436338388081793</v>
      </c>
      <c r="AG216" s="1">
        <f>[1]节奏总纲!AG216</f>
        <v>87.031203567981635</v>
      </c>
      <c r="AH216" s="1">
        <f>[1]节奏总纲!AH216</f>
        <v>96.373373295354199</v>
      </c>
      <c r="AZ216" s="1">
        <f>[1]节奏总纲!AZ216</f>
        <v>213</v>
      </c>
      <c r="BA216" s="1">
        <f>[1]节奏总纲!BA216</f>
        <v>43.120049409352191</v>
      </c>
      <c r="BB216" s="1">
        <f>[1]节奏总纲!BB216</f>
        <v>44.617339394702242</v>
      </c>
      <c r="BC216" s="1">
        <f>[1]节奏总纲!BC216</f>
        <v>46.561371072329244</v>
      </c>
      <c r="BD216" s="1">
        <f>[1]节奏总纲!BD216</f>
        <v>49.309240289250788</v>
      </c>
      <c r="BE216" s="1">
        <f>[1]节奏总纲!BE216</f>
        <v>54.028437871105552</v>
      </c>
    </row>
    <row r="217" spans="29:57" x14ac:dyDescent="0.15">
      <c r="AC217" s="1">
        <f>[1]节奏总纲!AC217</f>
        <v>214</v>
      </c>
      <c r="AD217" s="1">
        <f>[1]节奏总纲!AD217</f>
        <v>77.473279951875909</v>
      </c>
      <c r="AE217" s="1">
        <f>[1]节奏总纲!AE217</f>
        <v>79.527861040922772</v>
      </c>
      <c r="AF217" s="1">
        <f>[1]节奏总纲!AF217</f>
        <v>82.502226899881776</v>
      </c>
      <c r="AG217" s="1">
        <f>[1]节奏总纲!AG217</f>
        <v>87.10568246405397</v>
      </c>
      <c r="AH217" s="1">
        <f>[1]节奏总纲!AH217</f>
        <v>96.434183405279569</v>
      </c>
      <c r="AZ217" s="1">
        <f>[1]节奏总纲!AZ217</f>
        <v>214</v>
      </c>
      <c r="BA217" s="1">
        <f>[1]节奏总纲!BA217</f>
        <v>43.150006776099914</v>
      </c>
      <c r="BB217" s="1">
        <f>[1]节奏总纲!BB217</f>
        <v>44.649658702582116</v>
      </c>
      <c r="BC217" s="1">
        <f>[1]节奏总纲!BC217</f>
        <v>46.593477810360454</v>
      </c>
      <c r="BD217" s="1">
        <f>[1]节奏总纲!BD217</f>
        <v>49.340229957745592</v>
      </c>
      <c r="BE217" s="1">
        <f>[1]节奏总纲!BE217</f>
        <v>54.058203867701586</v>
      </c>
    </row>
    <row r="218" spans="29:57" x14ac:dyDescent="0.15">
      <c r="AC218" s="1">
        <f>[1]节奏总纲!AC218</f>
        <v>215</v>
      </c>
      <c r="AD218" s="1">
        <f>[1]节奏总纲!AD218</f>
        <v>77.540284631526092</v>
      </c>
      <c r="AE218" s="1">
        <f>[1]节奏总纲!AE218</f>
        <v>79.594500272973193</v>
      </c>
      <c r="AF218" s="1">
        <f>[1]节奏总纲!AF218</f>
        <v>82.568115411681774</v>
      </c>
      <c r="AG218" s="1">
        <f>[1]节奏总纲!AG218</f>
        <v>87.180161360126306</v>
      </c>
      <c r="AH218" s="1">
        <f>[1]节奏总纲!AH218</f>
        <v>96.494993515204939</v>
      </c>
      <c r="AZ218" s="1">
        <f>[1]节奏总纲!AZ218</f>
        <v>215</v>
      </c>
      <c r="BA218" s="1">
        <f>[1]节奏总纲!BA218</f>
        <v>43.179964142847631</v>
      </c>
      <c r="BB218" s="1">
        <f>[1]节奏总纲!BB218</f>
        <v>44.681978010461997</v>
      </c>
      <c r="BC218" s="1">
        <f>[1]节奏总纲!BC218</f>
        <v>46.625584548391664</v>
      </c>
      <c r="BD218" s="1">
        <f>[1]节奏总纲!BD218</f>
        <v>49.371219626240396</v>
      </c>
      <c r="BE218" s="1">
        <f>[1]节奏总纲!BE218</f>
        <v>54.087969864297619</v>
      </c>
    </row>
    <row r="219" spans="29:57" x14ac:dyDescent="0.15">
      <c r="AC219" s="1">
        <f>[1]节奏总纲!AC219</f>
        <v>216</v>
      </c>
      <c r="AD219" s="1">
        <f>[1]节奏总纲!AD219</f>
        <v>77.607289311176274</v>
      </c>
      <c r="AE219" s="1">
        <f>[1]节奏总纲!AE219</f>
        <v>79.661139505023613</v>
      </c>
      <c r="AF219" s="1">
        <f>[1]节奏总纲!AF219</f>
        <v>82.634003923481771</v>
      </c>
      <c r="AG219" s="1">
        <f>[1]节奏总纲!AG219</f>
        <v>87.254640256198641</v>
      </c>
      <c r="AH219" s="1">
        <f>[1]节奏总纲!AH219</f>
        <v>96.555803625130309</v>
      </c>
      <c r="AZ219" s="1">
        <f>[1]节奏总纲!AZ219</f>
        <v>216</v>
      </c>
      <c r="BA219" s="1">
        <f>[1]节奏总纲!BA219</f>
        <v>43.209921509595347</v>
      </c>
      <c r="BB219" s="1">
        <f>[1]节奏总纲!BB219</f>
        <v>44.71429731834187</v>
      </c>
      <c r="BC219" s="1">
        <f>[1]节奏总纲!BC219</f>
        <v>46.657691286422882</v>
      </c>
      <c r="BD219" s="1">
        <f>[1]节奏总纲!BD219</f>
        <v>49.402209294735208</v>
      </c>
      <c r="BE219" s="1">
        <f>[1]节奏总纲!BE219</f>
        <v>54.117735860893646</v>
      </c>
    </row>
    <row r="220" spans="29:57" x14ac:dyDescent="0.15">
      <c r="AC220" s="1">
        <f>[1]节奏总纲!AC220</f>
        <v>217</v>
      </c>
      <c r="AD220" s="1">
        <f>[1]节奏总纲!AD220</f>
        <v>77.674293990826456</v>
      </c>
      <c r="AE220" s="1">
        <f>[1]节奏总纲!AE220</f>
        <v>79.727778737074033</v>
      </c>
      <c r="AF220" s="1">
        <f>[1]节奏总纲!AF220</f>
        <v>82.699892435281754</v>
      </c>
      <c r="AG220" s="1">
        <f>[1]节奏总纲!AG220</f>
        <v>87.329119152270991</v>
      </c>
      <c r="AH220" s="1">
        <f>[1]节奏总纲!AH220</f>
        <v>96.61661373505568</v>
      </c>
      <c r="AZ220" s="1">
        <f>[1]节奏总纲!AZ220</f>
        <v>217</v>
      </c>
      <c r="BA220" s="1">
        <f>[1]节奏总纲!BA220</f>
        <v>43.239878876343063</v>
      </c>
      <c r="BB220" s="1">
        <f>[1]节奏总纲!BB220</f>
        <v>44.746616626221751</v>
      </c>
      <c r="BC220" s="1">
        <f>[1]节奏总纲!BC220</f>
        <v>46.689798024454092</v>
      </c>
      <c r="BD220" s="1">
        <f>[1]节奏总纲!BD220</f>
        <v>49.433198963230012</v>
      </c>
      <c r="BE220" s="1">
        <f>[1]节奏总纲!BE220</f>
        <v>54.147501857489679</v>
      </c>
    </row>
    <row r="221" spans="29:57" x14ac:dyDescent="0.15">
      <c r="AC221" s="1">
        <f>[1]节奏总纲!AC221</f>
        <v>218</v>
      </c>
      <c r="AD221" s="1">
        <f>[1]节奏总纲!AD221</f>
        <v>77.741298670476638</v>
      </c>
      <c r="AE221" s="1">
        <f>[1]节奏总纲!AE221</f>
        <v>79.794417969124453</v>
      </c>
      <c r="AF221" s="1">
        <f>[1]节奏总纲!AF221</f>
        <v>82.765780947081751</v>
      </c>
      <c r="AG221" s="1">
        <f>[1]节奏总纲!AG221</f>
        <v>87.403598048343326</v>
      </c>
      <c r="AH221" s="1">
        <f>[1]节奏总纲!AH221</f>
        <v>96.67742384498105</v>
      </c>
      <c r="AZ221" s="1">
        <f>[1]节奏总纲!AZ221</f>
        <v>218</v>
      </c>
      <c r="BA221" s="1">
        <f>[1]节奏总纲!BA221</f>
        <v>43.269836243090786</v>
      </c>
      <c r="BB221" s="1">
        <f>[1]节奏总纲!BB221</f>
        <v>44.778935934101632</v>
      </c>
      <c r="BC221" s="1">
        <f>[1]节奏总纲!BC221</f>
        <v>46.721904762485302</v>
      </c>
      <c r="BD221" s="1">
        <f>[1]节奏总纲!BD221</f>
        <v>49.464188631724817</v>
      </c>
      <c r="BE221" s="1">
        <f>[1]节奏总纲!BE221</f>
        <v>54.177267854085706</v>
      </c>
    </row>
    <row r="222" spans="29:57" x14ac:dyDescent="0.15">
      <c r="AC222" s="1">
        <f>[1]节奏总纲!AC222</f>
        <v>219</v>
      </c>
      <c r="AD222" s="1">
        <f>[1]节奏总纲!AD222</f>
        <v>77.80830335012682</v>
      </c>
      <c r="AE222" s="1">
        <f>[1]节奏总纲!AE222</f>
        <v>79.861057201174873</v>
      </c>
      <c r="AF222" s="1">
        <f>[1]节奏总纲!AF222</f>
        <v>82.831669458881734</v>
      </c>
      <c r="AG222" s="1">
        <f>[1]节奏总纲!AG222</f>
        <v>87.478076944415662</v>
      </c>
      <c r="AH222" s="1">
        <f>[1]节奏总纲!AH222</f>
        <v>96.73823395490642</v>
      </c>
      <c r="AZ222" s="1">
        <f>[1]节奏总纲!AZ222</f>
        <v>219</v>
      </c>
      <c r="BA222" s="1">
        <f>[1]节奏总纲!BA222</f>
        <v>43.299793609838503</v>
      </c>
      <c r="BB222" s="1">
        <f>[1]节奏总纲!BB222</f>
        <v>44.811255241981506</v>
      </c>
      <c r="BC222" s="1">
        <f>[1]节奏总纲!BC222</f>
        <v>46.754011500516519</v>
      </c>
      <c r="BD222" s="1">
        <f>[1]节奏总纲!BD222</f>
        <v>49.495178300219621</v>
      </c>
      <c r="BE222" s="1">
        <f>[1]节奏总纲!BE222</f>
        <v>54.207033850681739</v>
      </c>
    </row>
    <row r="223" spans="29:57" x14ac:dyDescent="0.15">
      <c r="AC223" s="1">
        <f>[1]节奏总纲!AC223</f>
        <v>220</v>
      </c>
      <c r="AD223" s="1">
        <f>[1]节奏总纲!AD223</f>
        <v>77.875308029777003</v>
      </c>
      <c r="AE223" s="1">
        <f>[1]节奏总纲!AE223</f>
        <v>79.927696433225293</v>
      </c>
      <c r="AF223" s="1">
        <f>[1]节奏总纲!AF223</f>
        <v>82.897557970681731</v>
      </c>
      <c r="AG223" s="1">
        <f>[1]节奏总纲!AG223</f>
        <v>87.552555840488012</v>
      </c>
      <c r="AH223" s="1">
        <f>[1]节奏总纲!AH223</f>
        <v>96.79904406483179</v>
      </c>
      <c r="AZ223" s="1">
        <f>[1]节奏总纲!AZ223</f>
        <v>220</v>
      </c>
      <c r="BA223" s="1">
        <f>[1]节奏总纲!BA223</f>
        <v>43.329750976586219</v>
      </c>
      <c r="BB223" s="1">
        <f>[1]节奏总纲!BB223</f>
        <v>44.843574549861387</v>
      </c>
      <c r="BC223" s="1">
        <f>[1]节奏总纲!BC223</f>
        <v>46.786118238547729</v>
      </c>
      <c r="BD223" s="1">
        <f>[1]节奏总纲!BD223</f>
        <v>49.526167968714425</v>
      </c>
      <c r="BE223" s="1">
        <f>[1]节奏总纲!BE223</f>
        <v>54.236799847277773</v>
      </c>
    </row>
    <row r="224" spans="29:57" x14ac:dyDescent="0.15">
      <c r="AC224" s="1">
        <f>[1]节奏总纲!AC224</f>
        <v>221</v>
      </c>
      <c r="AD224" s="1">
        <f>[1]节奏总纲!AD224</f>
        <v>77.942312709427185</v>
      </c>
      <c r="AE224" s="1">
        <f>[1]节奏总纲!AE224</f>
        <v>79.994335665275713</v>
      </c>
      <c r="AF224" s="1">
        <f>[1]节奏总纲!AF224</f>
        <v>82.963446482481729</v>
      </c>
      <c r="AG224" s="1">
        <f>[1]节奏总纲!AG224</f>
        <v>87.627034736560347</v>
      </c>
      <c r="AH224" s="1">
        <f>[1]节奏总纲!AH224</f>
        <v>96.85985417475716</v>
      </c>
      <c r="AZ224" s="1">
        <f>[1]节奏总纲!AZ224</f>
        <v>221</v>
      </c>
      <c r="BA224" s="1">
        <f>[1]节奏总纲!BA224</f>
        <v>43.359708343333942</v>
      </c>
      <c r="BB224" s="1">
        <f>[1]节奏总纲!BB224</f>
        <v>44.875893857741268</v>
      </c>
      <c r="BC224" s="1">
        <f>[1]节奏总纲!BC224</f>
        <v>46.818224976578939</v>
      </c>
      <c r="BD224" s="1">
        <f>[1]节奏总纲!BD224</f>
        <v>49.55715763720923</v>
      </c>
      <c r="BE224" s="1">
        <f>[1]节奏总纲!BE224</f>
        <v>54.266565843873799</v>
      </c>
    </row>
    <row r="225" spans="29:57" x14ac:dyDescent="0.15">
      <c r="AC225" s="1">
        <f>[1]节奏总纲!AC225</f>
        <v>222</v>
      </c>
      <c r="AD225" s="1">
        <f>[1]节奏总纲!AD225</f>
        <v>78.008693431404168</v>
      </c>
      <c r="AE225" s="1">
        <f>[1]节奏总纲!AE225</f>
        <v>80.05990507131493</v>
      </c>
      <c r="AF225" s="1">
        <f>[1]节奏总纲!AF225</f>
        <v>83.028328094754301</v>
      </c>
      <c r="AG225" s="1">
        <f>[1]节奏总纲!AG225</f>
        <v>87.701513632632683</v>
      </c>
      <c r="AH225" s="1">
        <f>[1]节奏总纲!AH225</f>
        <v>96.920664284682516</v>
      </c>
      <c r="AZ225" s="1">
        <f>[1]节奏总纲!AZ225</f>
        <v>222</v>
      </c>
      <c r="BA225" s="1">
        <f>[1]节奏总纲!BA225</f>
        <v>43.389665710081658</v>
      </c>
      <c r="BB225" s="1">
        <f>[1]节奏总纲!BB225</f>
        <v>44.908213165621142</v>
      </c>
      <c r="BC225" s="1">
        <f>[1]节奏总纲!BC225</f>
        <v>46.850331714610157</v>
      </c>
      <c r="BD225" s="1">
        <f>[1]节奏总纲!BD225</f>
        <v>49.588147305704041</v>
      </c>
      <c r="BE225" s="1">
        <f>[1]节奏总纲!BE225</f>
        <v>54.296331840469833</v>
      </c>
    </row>
    <row r="226" spans="29:57" x14ac:dyDescent="0.15">
      <c r="AC226" s="1">
        <f>[1]节奏总纲!AC226</f>
        <v>223</v>
      </c>
      <c r="AD226" s="1">
        <f>[1]节奏总纲!AD226</f>
        <v>78.071211008105138</v>
      </c>
      <c r="AE226" s="1">
        <f>[1]节奏总纲!AE226</f>
        <v>80.125375094609936</v>
      </c>
      <c r="AF226" s="1">
        <f>[1]节奏总纲!AF226</f>
        <v>83.091955037632331</v>
      </c>
      <c r="AG226" s="1">
        <f>[1]节奏总纲!AG226</f>
        <v>87.775992528705018</v>
      </c>
      <c r="AH226" s="1">
        <f>[1]节奏总纲!AH226</f>
        <v>96.981474394607886</v>
      </c>
      <c r="AZ226" s="1">
        <f>[1]节奏总纲!AZ226</f>
        <v>223</v>
      </c>
      <c r="BA226" s="1">
        <f>[1]节奏总纲!BA226</f>
        <v>43.419623076829374</v>
      </c>
      <c r="BB226" s="1">
        <f>[1]节奏总纲!BB226</f>
        <v>44.940532473501023</v>
      </c>
      <c r="BC226" s="1">
        <f>[1]节奏总纲!BC226</f>
        <v>46.882438452641367</v>
      </c>
      <c r="BD226" s="1">
        <f>[1]节奏总纲!BD226</f>
        <v>49.619136974198845</v>
      </c>
      <c r="BE226" s="1">
        <f>[1]节奏总纲!BE226</f>
        <v>54.326097837065859</v>
      </c>
    </row>
    <row r="227" spans="29:57" x14ac:dyDescent="0.15">
      <c r="AC227" s="1">
        <f>[1]节奏总纲!AC227</f>
        <v>224</v>
      </c>
      <c r="AD227" s="1">
        <f>[1]节奏总纲!AD227</f>
        <v>78.133728584806107</v>
      </c>
      <c r="AE227" s="1">
        <f>[1]节奏总纲!AE227</f>
        <v>80.190845117904942</v>
      </c>
      <c r="AF227" s="1">
        <f>[1]节奏总纲!AF227</f>
        <v>83.155581980510348</v>
      </c>
      <c r="AG227" s="1">
        <f>[1]节奏总纲!AG227</f>
        <v>87.850471424777368</v>
      </c>
      <c r="AH227" s="1">
        <f>[1]节奏总纲!AH227</f>
        <v>97.03979962522213</v>
      </c>
      <c r="AZ227" s="1">
        <f>[1]节奏总纲!AZ227</f>
        <v>224</v>
      </c>
      <c r="BA227" s="1">
        <f>[1]节奏总纲!BA227</f>
        <v>43.449580443577091</v>
      </c>
      <c r="BB227" s="1">
        <f>[1]节奏总纲!BB227</f>
        <v>44.972851781380903</v>
      </c>
      <c r="BC227" s="1">
        <f>[1]节奏总纲!BC227</f>
        <v>46.914545190672577</v>
      </c>
      <c r="BD227" s="1">
        <f>[1]节奏总纲!BD227</f>
        <v>49.65012664269365</v>
      </c>
      <c r="BE227" s="1">
        <f>[1]节奏总纲!BE227</f>
        <v>54.355863833661893</v>
      </c>
    </row>
    <row r="228" spans="29:57" x14ac:dyDescent="0.15">
      <c r="AC228" s="1">
        <f>[1]节奏总纲!AC228</f>
        <v>225</v>
      </c>
      <c r="AD228" s="1">
        <f>[1]节奏总纲!AD228</f>
        <v>78.196246161507091</v>
      </c>
      <c r="AE228" s="1">
        <f>[1]节奏总纲!AE228</f>
        <v>80.256315141199948</v>
      </c>
      <c r="AF228" s="1">
        <f>[1]节奏总纲!AF228</f>
        <v>83.219208923388379</v>
      </c>
      <c r="AG228" s="1">
        <f>[1]节奏总纲!AG228</f>
        <v>87.924950320849703</v>
      </c>
      <c r="AH228" s="1">
        <f>[1]节奏总纲!AH228</f>
        <v>97.097036185315744</v>
      </c>
      <c r="AZ228" s="1">
        <f>[1]节奏总纲!AZ228</f>
        <v>225</v>
      </c>
      <c r="BA228" s="1">
        <f>[1]节奏总纲!BA228</f>
        <v>43.479537810324814</v>
      </c>
      <c r="BB228" s="1">
        <f>[1]节奏总纲!BB228</f>
        <v>45.004463376644416</v>
      </c>
      <c r="BC228" s="1">
        <f>[1]节奏总纲!BC228</f>
        <v>46.946651928703794</v>
      </c>
      <c r="BD228" s="1">
        <f>[1]节奏总纲!BD228</f>
        <v>49.681116311188454</v>
      </c>
      <c r="BE228" s="1">
        <f>[1]节奏总纲!BE228</f>
        <v>54.385629830257926</v>
      </c>
    </row>
    <row r="229" spans="29:57" x14ac:dyDescent="0.15">
      <c r="AC229" s="1">
        <f>[1]节奏总纲!AC229</f>
        <v>226</v>
      </c>
      <c r="AD229" s="1">
        <f>[1]节奏总纲!AD229</f>
        <v>78.25876373820806</v>
      </c>
      <c r="AE229" s="1">
        <f>[1]节奏总纲!AE229</f>
        <v>80.321785164494941</v>
      </c>
      <c r="AF229" s="1">
        <f>[1]节奏总纲!AF229</f>
        <v>83.282835866266396</v>
      </c>
      <c r="AG229" s="1">
        <f>[1]节奏总纲!AG229</f>
        <v>87.999429216922039</v>
      </c>
      <c r="AH229" s="1">
        <f>[1]节奏总纲!AH229</f>
        <v>97.154272745409358</v>
      </c>
      <c r="AZ229" s="1">
        <f>[1]节奏总纲!AZ229</f>
        <v>226</v>
      </c>
      <c r="BA229" s="1">
        <f>[1]节奏总纲!BA229</f>
        <v>43.50949517707253</v>
      </c>
      <c r="BB229" s="1">
        <f>[1]节奏总纲!BB229</f>
        <v>45.032359480672049</v>
      </c>
      <c r="BC229" s="1">
        <f>[1]节奏总纲!BC229</f>
        <v>46.978758666735004</v>
      </c>
      <c r="BD229" s="1">
        <f>[1]节奏总纲!BD229</f>
        <v>49.712105979683258</v>
      </c>
      <c r="BE229" s="1">
        <f>[1]节奏总纲!BE229</f>
        <v>54.415395826853953</v>
      </c>
    </row>
    <row r="230" spans="29:57" x14ac:dyDescent="0.15">
      <c r="AC230" s="1">
        <f>[1]节奏总纲!AC230</f>
        <v>227</v>
      </c>
      <c r="AD230" s="1">
        <f>[1]节奏总纲!AD230</f>
        <v>78.321281314909029</v>
      </c>
      <c r="AE230" s="1">
        <f>[1]节奏总纲!AE230</f>
        <v>80.387255187789947</v>
      </c>
      <c r="AF230" s="1">
        <f>[1]节奏总纲!AF230</f>
        <v>83.346462809144427</v>
      </c>
      <c r="AG230" s="1">
        <f>[1]节奏总纲!AG230</f>
        <v>88.069378113045531</v>
      </c>
      <c r="AH230" s="1">
        <f>[1]节奏总纲!AH230</f>
        <v>97.211509305502972</v>
      </c>
      <c r="AZ230" s="1">
        <f>[1]节奏总纲!AZ230</f>
        <v>227</v>
      </c>
      <c r="BA230" s="1">
        <f>[1]节奏总纲!BA230</f>
        <v>43.539452543820246</v>
      </c>
      <c r="BB230" s="1">
        <f>[1]节奏总纲!BB230</f>
        <v>45.060255584699682</v>
      </c>
      <c r="BC230" s="1">
        <f>[1]节奏总纲!BC230</f>
        <v>47.009379755645142</v>
      </c>
      <c r="BD230" s="1">
        <f>[1]节奏总纲!BD230</f>
        <v>49.743095648178063</v>
      </c>
      <c r="BE230" s="1">
        <f>[1]节奏总纲!BE230</f>
        <v>54.445161823449986</v>
      </c>
    </row>
    <row r="231" spans="29:57" x14ac:dyDescent="0.15">
      <c r="AC231" s="1">
        <f>[1]节奏总纲!AC231</f>
        <v>228</v>
      </c>
      <c r="AD231" s="1">
        <f>[1]节奏总纲!AD231</f>
        <v>78.383798891610013</v>
      </c>
      <c r="AE231" s="1">
        <f>[1]节奏总纲!AE231</f>
        <v>80.452725211084953</v>
      </c>
      <c r="AF231" s="1">
        <f>[1]节奏总纲!AF231</f>
        <v>83.410089752022458</v>
      </c>
      <c r="AG231" s="1">
        <f>[1]节奏总纲!AG231</f>
        <v>88.139292024548126</v>
      </c>
      <c r="AH231" s="1">
        <f>[1]节奏总纲!AH231</f>
        <v>97.268745865596571</v>
      </c>
      <c r="AZ231" s="1">
        <f>[1]节奏总纲!AZ231</f>
        <v>228</v>
      </c>
      <c r="BA231" s="1">
        <f>[1]节奏总纲!BA231</f>
        <v>43.569409910567963</v>
      </c>
      <c r="BB231" s="1">
        <f>[1]节奏总纲!BB231</f>
        <v>45.088151688727308</v>
      </c>
      <c r="BC231" s="1">
        <f>[1]节奏总纲!BC231</f>
        <v>47.037096473409001</v>
      </c>
      <c r="BD231" s="1">
        <f>[1]节奏总纲!BD231</f>
        <v>49.774085316672867</v>
      </c>
      <c r="BE231" s="1">
        <f>[1]节奏总纲!BE231</f>
        <v>54.47492782004602</v>
      </c>
    </row>
    <row r="232" spans="29:57" x14ac:dyDescent="0.15">
      <c r="AC232" s="1">
        <f>[1]节奏总纲!AC232</f>
        <v>229</v>
      </c>
      <c r="AD232" s="1">
        <f>[1]节奏总纲!AD232</f>
        <v>78.446316468310982</v>
      </c>
      <c r="AE232" s="1">
        <f>[1]节奏总纲!AE232</f>
        <v>80.518195234379959</v>
      </c>
      <c r="AF232" s="1">
        <f>[1]节奏总纲!AF232</f>
        <v>83.473716694900475</v>
      </c>
      <c r="AG232" s="1">
        <f>[1]节奏总纲!AG232</f>
        <v>88.209205936050708</v>
      </c>
      <c r="AH232" s="1">
        <f>[1]节奏总纲!AH232</f>
        <v>97.325982425690185</v>
      </c>
      <c r="AZ232" s="1">
        <f>[1]节奏总纲!AZ232</f>
        <v>229</v>
      </c>
      <c r="BA232" s="1">
        <f>[1]节奏总纲!BA232</f>
        <v>43.599367277315686</v>
      </c>
      <c r="BB232" s="1">
        <f>[1]节奏总纲!BB232</f>
        <v>45.116047792754941</v>
      </c>
      <c r="BC232" s="1">
        <f>[1]节奏总纲!BC232</f>
        <v>47.06481319117286</v>
      </c>
      <c r="BD232" s="1">
        <f>[1]节奏总纲!BD232</f>
        <v>49.805074985167678</v>
      </c>
      <c r="BE232" s="1">
        <f>[1]节奏总纲!BE232</f>
        <v>54.504693816642046</v>
      </c>
    </row>
    <row r="233" spans="29:57" x14ac:dyDescent="0.15">
      <c r="AC233" s="1">
        <f>[1]节奏总纲!AC233</f>
        <v>230</v>
      </c>
      <c r="AD233" s="1">
        <f>[1]节奏总纲!AD233</f>
        <v>78.508834045011952</v>
      </c>
      <c r="AE233" s="1">
        <f>[1]节奏总纲!AE233</f>
        <v>80.583665257674966</v>
      </c>
      <c r="AF233" s="1">
        <f>[1]节奏总纲!AF233</f>
        <v>83.537343637778505</v>
      </c>
      <c r="AG233" s="1">
        <f>[1]节奏总纲!AG233</f>
        <v>88.279119847553304</v>
      </c>
      <c r="AH233" s="1">
        <f>[1]节奏总纲!AH233</f>
        <v>97.383218985783799</v>
      </c>
      <c r="AZ233" s="1">
        <f>[1]节奏总纲!AZ233</f>
        <v>230</v>
      </c>
      <c r="BA233" s="1">
        <f>[1]节奏总纲!BA233</f>
        <v>43.629324644063402</v>
      </c>
      <c r="BB233" s="1">
        <f>[1]节奏总纲!BB233</f>
        <v>45.143943896782567</v>
      </c>
      <c r="BC233" s="1">
        <f>[1]节奏总纲!BC233</f>
        <v>47.092529908936719</v>
      </c>
      <c r="BD233" s="1">
        <f>[1]节奏总纲!BD233</f>
        <v>49.836064653662483</v>
      </c>
      <c r="BE233" s="1">
        <f>[1]节奏总纲!BE233</f>
        <v>54.53445981323808</v>
      </c>
    </row>
    <row r="234" spans="29:57" x14ac:dyDescent="0.15">
      <c r="AC234" s="1">
        <f>[1]节奏总纲!AC234</f>
        <v>231</v>
      </c>
      <c r="AD234" s="1">
        <f>[1]节奏总纲!AD234</f>
        <v>78.571351621712921</v>
      </c>
      <c r="AE234" s="1">
        <f>[1]节奏总纲!AE234</f>
        <v>80.649135280969972</v>
      </c>
      <c r="AF234" s="1">
        <f>[1]节奏总纲!AF234</f>
        <v>83.600970580656536</v>
      </c>
      <c r="AG234" s="1">
        <f>[1]节奏总纲!AG234</f>
        <v>88.349033759055899</v>
      </c>
      <c r="AH234" s="1">
        <f>[1]节奏总纲!AH234</f>
        <v>97.440455545877413</v>
      </c>
      <c r="AZ234" s="1">
        <f>[1]节奏总纲!AZ234</f>
        <v>231</v>
      </c>
      <c r="BA234" s="1">
        <f>[1]节奏总纲!BA234</f>
        <v>43.659282010811118</v>
      </c>
      <c r="BB234" s="1">
        <f>[1]节奏总纲!BB234</f>
        <v>45.171840000810199</v>
      </c>
      <c r="BC234" s="1">
        <f>[1]节奏总纲!BC234</f>
        <v>47.120246626700578</v>
      </c>
      <c r="BD234" s="1">
        <f>[1]节奏总纲!BD234</f>
        <v>49.867054322157287</v>
      </c>
      <c r="BE234" s="1">
        <f>[1]节奏总纲!BE234</f>
        <v>54.564225809834106</v>
      </c>
    </row>
    <row r="235" spans="29:57" x14ac:dyDescent="0.15">
      <c r="AC235" s="1">
        <f>[1]节奏总纲!AC235</f>
        <v>232</v>
      </c>
      <c r="AD235" s="1">
        <f>[1]节奏总纲!AD235</f>
        <v>78.633869198413905</v>
      </c>
      <c r="AE235" s="1">
        <f>[1]节奏总纲!AE235</f>
        <v>80.714605304264978</v>
      </c>
      <c r="AF235" s="1">
        <f>[1]节奏总纲!AF235</f>
        <v>83.664597523534553</v>
      </c>
      <c r="AG235" s="1">
        <f>[1]节奏总纲!AG235</f>
        <v>88.418947670558495</v>
      </c>
      <c r="AH235" s="1">
        <f>[1]节奏总纲!AH235</f>
        <v>97.497692105971026</v>
      </c>
      <c r="AZ235" s="1">
        <f>[1]节奏总纲!AZ235</f>
        <v>232</v>
      </c>
      <c r="BA235" s="1">
        <f>[1]节奏总纲!BA235</f>
        <v>43.689239377558835</v>
      </c>
      <c r="BB235" s="1">
        <f>[1]节奏总纲!BB235</f>
        <v>45.199736104837825</v>
      </c>
      <c r="BC235" s="1">
        <f>[1]节奏总纲!BC235</f>
        <v>47.147963344464429</v>
      </c>
      <c r="BD235" s="1">
        <f>[1]节奏总纲!BD235</f>
        <v>49.898043990652091</v>
      </c>
      <c r="BE235" s="1">
        <f>[1]节奏总纲!BE235</f>
        <v>54.593991806430139</v>
      </c>
    </row>
    <row r="236" spans="29:57" x14ac:dyDescent="0.15">
      <c r="AC236" s="1">
        <f>[1]节奏总纲!AC236</f>
        <v>233</v>
      </c>
      <c r="AD236" s="1">
        <f>[1]节奏总纲!AD236</f>
        <v>78.696386775114874</v>
      </c>
      <c r="AE236" s="1">
        <f>[1]节奏总纲!AE236</f>
        <v>80.78007532755997</v>
      </c>
      <c r="AF236" s="1">
        <f>[1]节奏总纲!AF236</f>
        <v>83.728224466412584</v>
      </c>
      <c r="AG236" s="1">
        <f>[1]节奏总纲!AG236</f>
        <v>88.488861582061077</v>
      </c>
      <c r="AH236" s="1">
        <f>[1]节奏总纲!AH236</f>
        <v>97.554928666064626</v>
      </c>
      <c r="AZ236" s="1">
        <f>[1]节奏总纲!AZ236</f>
        <v>233</v>
      </c>
      <c r="BA236" s="1">
        <f>[1]节奏总纲!BA236</f>
        <v>43.719196744306558</v>
      </c>
      <c r="BB236" s="1">
        <f>[1]节奏总纲!BB236</f>
        <v>45.227632208865458</v>
      </c>
      <c r="BC236" s="1">
        <f>[1]节奏总纲!BC236</f>
        <v>47.175680062228288</v>
      </c>
      <c r="BD236" s="1">
        <f>[1]节奏总纲!BD236</f>
        <v>49.929033659146896</v>
      </c>
      <c r="BE236" s="1">
        <f>[1]节奏总纲!BE236</f>
        <v>54.623757803026173</v>
      </c>
    </row>
    <row r="237" spans="29:57" x14ac:dyDescent="0.15">
      <c r="AC237" s="1">
        <f>[1]节奏总纲!AC237</f>
        <v>234</v>
      </c>
      <c r="AD237" s="1">
        <f>[1]节奏总纲!AD237</f>
        <v>78.758904351815843</v>
      </c>
      <c r="AE237" s="1">
        <f>[1]节奏总纲!AE237</f>
        <v>80.845545350854977</v>
      </c>
      <c r="AF237" s="1">
        <f>[1]节奏总纲!AF237</f>
        <v>83.791851409290615</v>
      </c>
      <c r="AG237" s="1">
        <f>[1]节奏总纲!AG237</f>
        <v>88.558775493563672</v>
      </c>
      <c r="AH237" s="1">
        <f>[1]节奏总纲!AH237</f>
        <v>97.61216522615824</v>
      </c>
      <c r="AZ237" s="1">
        <f>[1]节奏总纲!AZ237</f>
        <v>234</v>
      </c>
      <c r="BA237" s="1">
        <f>[1]节奏总纲!BA237</f>
        <v>43.749154111054274</v>
      </c>
      <c r="BB237" s="1">
        <f>[1]节奏总纲!BB237</f>
        <v>45.255528312893091</v>
      </c>
      <c r="BC237" s="1">
        <f>[1]节奏总纲!BC237</f>
        <v>47.203396779992147</v>
      </c>
      <c r="BD237" s="1">
        <f>[1]节奏总纲!BD237</f>
        <v>49.9600233276417</v>
      </c>
      <c r="BE237" s="1">
        <f>[1]节奏总纲!BE237</f>
        <v>54.653523799622199</v>
      </c>
    </row>
    <row r="238" spans="29:57" x14ac:dyDescent="0.15">
      <c r="AC238" s="1">
        <f>[1]节奏总纲!AC238</f>
        <v>235</v>
      </c>
      <c r="AD238" s="1">
        <f>[1]节奏总纲!AD238</f>
        <v>78.821421928516827</v>
      </c>
      <c r="AE238" s="1">
        <f>[1]节奏总纲!AE238</f>
        <v>80.911015374149983</v>
      </c>
      <c r="AF238" s="1">
        <f>[1]节奏总纲!AF238</f>
        <v>83.855478352168632</v>
      </c>
      <c r="AG238" s="1">
        <f>[1]节奏总纲!AG238</f>
        <v>88.628689405066268</v>
      </c>
      <c r="AH238" s="1">
        <f>[1]节奏总纲!AH238</f>
        <v>97.669401786251854</v>
      </c>
      <c r="AZ238" s="1">
        <f>[1]节奏总纲!AZ238</f>
        <v>235</v>
      </c>
      <c r="BA238" s="1">
        <f>[1]节奏总纲!BA238</f>
        <v>43.77911147780199</v>
      </c>
      <c r="BB238" s="1">
        <f>[1]节奏总纲!BB238</f>
        <v>45.283424416920717</v>
      </c>
      <c r="BC238" s="1">
        <f>[1]节奏总纲!BC238</f>
        <v>47.231113497756006</v>
      </c>
      <c r="BD238" s="1">
        <f>[1]节奏总纲!BD238</f>
        <v>49.991012996136504</v>
      </c>
      <c r="BE238" s="1">
        <f>[1]节奏总纲!BE238</f>
        <v>54.683289796218233</v>
      </c>
    </row>
    <row r="239" spans="29:57" x14ac:dyDescent="0.15">
      <c r="AC239" s="1">
        <f>[1]节奏总纲!AC239</f>
        <v>236</v>
      </c>
      <c r="AD239" s="1">
        <f>[1]节奏总纲!AD239</f>
        <v>78.883939505217796</v>
      </c>
      <c r="AE239" s="1">
        <f>[1]节奏总纲!AE239</f>
        <v>80.976485397444989</v>
      </c>
      <c r="AF239" s="1">
        <f>[1]节奏总纲!AF239</f>
        <v>83.919105295046663</v>
      </c>
      <c r="AG239" s="1">
        <f>[1]节奏总纲!AG239</f>
        <v>88.698603316568864</v>
      </c>
      <c r="AH239" s="1">
        <f>[1]节奏总纲!AH239</f>
        <v>97.726638346345467</v>
      </c>
      <c r="AZ239" s="1">
        <f>[1]节奏总纲!AZ239</f>
        <v>236</v>
      </c>
      <c r="BA239" s="1">
        <f>[1]节奏总纲!BA239</f>
        <v>43.809068844549707</v>
      </c>
      <c r="BB239" s="1">
        <f>[1]节奏总纲!BB239</f>
        <v>45.31132052094835</v>
      </c>
      <c r="BC239" s="1">
        <f>[1]节奏总纲!BC239</f>
        <v>47.258830215519865</v>
      </c>
      <c r="BD239" s="1">
        <f>[1]节奏总纲!BD239</f>
        <v>50.018998195299922</v>
      </c>
      <c r="BE239" s="1">
        <f>[1]节奏总纲!BE239</f>
        <v>54.713055792814259</v>
      </c>
    </row>
    <row r="240" spans="29:57" x14ac:dyDescent="0.15">
      <c r="AC240" s="1">
        <f>[1]节奏总纲!AC240</f>
        <v>237</v>
      </c>
      <c r="AD240" s="1">
        <f>[1]节奏总纲!AD240</f>
        <v>78.946457081918766</v>
      </c>
      <c r="AE240" s="1">
        <f>[1]节奏总纲!AE240</f>
        <v>81.038163244467697</v>
      </c>
      <c r="AF240" s="1">
        <f>[1]节奏总纲!AF240</f>
        <v>83.982732237924694</v>
      </c>
      <c r="AG240" s="1">
        <f>[1]节奏总纲!AG240</f>
        <v>88.768517228071445</v>
      </c>
      <c r="AH240" s="1">
        <f>[1]节奏总纲!AH240</f>
        <v>97.783874906439081</v>
      </c>
      <c r="AZ240" s="1">
        <f>[1]节奏总纲!AZ240</f>
        <v>237</v>
      </c>
      <c r="BA240" s="1">
        <f>[1]节奏总纲!BA240</f>
        <v>43.83902621129743</v>
      </c>
      <c r="BB240" s="1">
        <f>[1]节奏总纲!BB240</f>
        <v>45.339216624975975</v>
      </c>
      <c r="BC240" s="1">
        <f>[1]节奏总纲!BC240</f>
        <v>47.286546933283724</v>
      </c>
      <c r="BD240" s="1">
        <f>[1]节奏总纲!BD240</f>
        <v>50.045756216849099</v>
      </c>
      <c r="BE240" s="1">
        <f>[1]节奏总纲!BE240</f>
        <v>54.742821789410293</v>
      </c>
    </row>
    <row r="241" spans="29:57" x14ac:dyDescent="0.15">
      <c r="AC241" s="1">
        <f>[1]节奏总纲!AC241</f>
        <v>238</v>
      </c>
      <c r="AD241" s="1">
        <f>[1]节奏总纲!AD241</f>
        <v>79.008373652580005</v>
      </c>
      <c r="AE241" s="1">
        <f>[1]节奏总纲!AE241</f>
        <v>81.097715704203424</v>
      </c>
      <c r="AF241" s="1">
        <f>[1]节奏总纲!AF241</f>
        <v>84.043767921022209</v>
      </c>
      <c r="AG241" s="1">
        <f>[1]节奏总纲!AG241</f>
        <v>88.838431139574041</v>
      </c>
      <c r="AH241" s="1">
        <f>[1]节奏总纲!AH241</f>
        <v>97.841111466532681</v>
      </c>
      <c r="AZ241" s="1">
        <f>[1]节奏总纲!AZ241</f>
        <v>238</v>
      </c>
      <c r="BA241" s="1">
        <f>[1]节奏总纲!BA241</f>
        <v>43.868983578045146</v>
      </c>
      <c r="BB241" s="1">
        <f>[1]节奏总纲!BB241</f>
        <v>45.367112729003608</v>
      </c>
      <c r="BC241" s="1">
        <f>[1]节奏总纲!BC241</f>
        <v>47.314263651047582</v>
      </c>
      <c r="BD241" s="1">
        <f>[1]节奏总纲!BD241</f>
        <v>50.072514238398277</v>
      </c>
      <c r="BE241" s="1">
        <f>[1]节奏总纲!BE241</f>
        <v>54.772587786006326</v>
      </c>
    </row>
    <row r="242" spans="29:57" x14ac:dyDescent="0.15">
      <c r="AC242" s="1">
        <f>[1]节奏总纲!AC242</f>
        <v>239</v>
      </c>
      <c r="AD242" s="1">
        <f>[1]节奏总纲!AD242</f>
        <v>79.066704614192943</v>
      </c>
      <c r="AE242" s="1">
        <f>[1]节奏总纲!AE242</f>
        <v>81.157268163939136</v>
      </c>
      <c r="AF242" s="1">
        <f>[1]节奏总纲!AF242</f>
        <v>84.103838417578672</v>
      </c>
      <c r="AG242" s="1">
        <f>[1]节奏总纲!AG242</f>
        <v>88.908345051076637</v>
      </c>
      <c r="AH242" s="1">
        <f>[1]节奏总纲!AH242</f>
        <v>97.898348026626294</v>
      </c>
      <c r="AZ242" s="1">
        <f>[1]节奏总纲!AZ242</f>
        <v>239</v>
      </c>
      <c r="BA242" s="1">
        <f>[1]节奏总纲!BA242</f>
        <v>43.898940944792862</v>
      </c>
      <c r="BB242" s="1">
        <f>[1]节奏总纲!BB242</f>
        <v>45.395008833031234</v>
      </c>
      <c r="BC242" s="1">
        <f>[1]节奏总纲!BC242</f>
        <v>47.341980368811441</v>
      </c>
      <c r="BD242" s="1">
        <f>[1]节奏总纲!BD242</f>
        <v>50.099272259947462</v>
      </c>
      <c r="BE242" s="1">
        <f>[1]节奏总纲!BE242</f>
        <v>54.802353782602353</v>
      </c>
    </row>
    <row r="243" spans="29:57" x14ac:dyDescent="0.15">
      <c r="AC243" s="1">
        <f>[1]节奏总纲!AC243</f>
        <v>240</v>
      </c>
      <c r="AD243" s="1">
        <f>[1]节奏总纲!AD243</f>
        <v>79.125035575805882</v>
      </c>
      <c r="AE243" s="1">
        <f>[1]节奏总纲!AE243</f>
        <v>81.216820623674849</v>
      </c>
      <c r="AF243" s="1">
        <f>[1]节奏总纲!AF243</f>
        <v>84.163908914135135</v>
      </c>
      <c r="AG243" s="1">
        <f>[1]节奏总纲!AG243</f>
        <v>88.978258962579233</v>
      </c>
      <c r="AH243" s="1">
        <f>[1]节奏总纲!AH243</f>
        <v>97.955584586719908</v>
      </c>
      <c r="AZ243" s="1">
        <f>[1]节奏总纲!AZ243</f>
        <v>240</v>
      </c>
      <c r="BA243" s="1">
        <f>[1]节奏总纲!BA243</f>
        <v>43.928898311540586</v>
      </c>
      <c r="BB243" s="1">
        <f>[1]节奏总纲!BB243</f>
        <v>45.422904937058867</v>
      </c>
      <c r="BC243" s="1">
        <f>[1]节奏总纲!BC243</f>
        <v>47.3696970865753</v>
      </c>
      <c r="BD243" s="1">
        <f>[1]节奏总纲!BD243</f>
        <v>50.126030281496639</v>
      </c>
      <c r="BE243" s="1">
        <f>[1]节奏总纲!BE243</f>
        <v>54.832119779198386</v>
      </c>
    </row>
    <row r="244" spans="29:57" x14ac:dyDescent="0.15">
      <c r="AC244" s="1">
        <f>[1]节奏总纲!AC244</f>
        <v>241</v>
      </c>
      <c r="AD244" s="1">
        <f>[1]节奏总纲!AD244</f>
        <v>79.18336653741882</v>
      </c>
      <c r="AE244" s="1">
        <f>[1]节奏总纲!AE244</f>
        <v>81.276373083410562</v>
      </c>
      <c r="AF244" s="1">
        <f>[1]节奏总纲!AF244</f>
        <v>84.223979410691598</v>
      </c>
      <c r="AG244" s="1">
        <f>[1]节奏总纲!AG244</f>
        <v>89.047272179270863</v>
      </c>
      <c r="AH244" s="1">
        <f>[1]节奏总纲!AH244</f>
        <v>98.013314854852808</v>
      </c>
      <c r="AZ244" s="1">
        <f>[1]节奏总纲!AZ244</f>
        <v>241</v>
      </c>
      <c r="BA244" s="1">
        <f>[1]节奏总纲!BA244</f>
        <v>43.958855678288302</v>
      </c>
      <c r="BB244" s="1">
        <f>[1]节奏总纲!BB244</f>
        <v>45.450801041086493</v>
      </c>
      <c r="BC244" s="1">
        <f>[1]节奏总纲!BC244</f>
        <v>47.397413804339159</v>
      </c>
      <c r="BD244" s="1">
        <f>[1]节奏总纲!BD244</f>
        <v>50.152788303045817</v>
      </c>
      <c r="BE244" s="1">
        <f>[1]节奏总纲!BE244</f>
        <v>54.86188577579442</v>
      </c>
    </row>
    <row r="245" spans="29:57" x14ac:dyDescent="0.15">
      <c r="AC245" s="1">
        <f>[1]节奏总纲!AC245</f>
        <v>242</v>
      </c>
      <c r="AD245" s="1">
        <f>[1]节奏总纲!AD245</f>
        <v>79.241697499031773</v>
      </c>
      <c r="AE245" s="1">
        <f>[1]节奏总纲!AE245</f>
        <v>81.335925543146274</v>
      </c>
      <c r="AF245" s="1">
        <f>[1]节奏总纲!AF245</f>
        <v>84.284049907248061</v>
      </c>
      <c r="AG245" s="1">
        <f>[1]节奏总纲!AG245</f>
        <v>89.11587890081428</v>
      </c>
      <c r="AH245" s="1">
        <f>[1]节奏总纲!AH245</f>
        <v>98.072755441643167</v>
      </c>
      <c r="AZ245" s="1">
        <f>[1]节奏总纲!AZ245</f>
        <v>242</v>
      </c>
      <c r="BA245" s="1">
        <f>[1]节奏总纲!BA245</f>
        <v>43.988813045036018</v>
      </c>
      <c r="BB245" s="1">
        <f>[1]节奏总纲!BB245</f>
        <v>45.478697145114126</v>
      </c>
      <c r="BC245" s="1">
        <f>[1]节奏总纲!BC245</f>
        <v>47.425130522103018</v>
      </c>
      <c r="BD245" s="1">
        <f>[1]节奏总纲!BD245</f>
        <v>50.179546324595002</v>
      </c>
      <c r="BE245" s="1">
        <f>[1]节奏总纲!BE245</f>
        <v>54.891651772390446</v>
      </c>
    </row>
    <row r="246" spans="29:57" x14ac:dyDescent="0.15">
      <c r="AC246" s="1">
        <f>[1]节奏总纲!AC246</f>
        <v>243</v>
      </c>
      <c r="AD246" s="1">
        <f>[1]节奏总纲!AD246</f>
        <v>79.300028460644711</v>
      </c>
      <c r="AE246" s="1">
        <f>[1]节奏总纲!AE246</f>
        <v>81.395478002882001</v>
      </c>
      <c r="AF246" s="1">
        <f>[1]节奏总纲!AF246</f>
        <v>84.344120403804524</v>
      </c>
      <c r="AG246" s="1">
        <f>[1]节奏总纲!AG246</f>
        <v>89.184485622357698</v>
      </c>
      <c r="AH246" s="1">
        <f>[1]节奏总纲!AH246</f>
        <v>98.132196028433526</v>
      </c>
      <c r="AZ246" s="1">
        <f>[1]节奏总纲!AZ246</f>
        <v>243</v>
      </c>
      <c r="BA246" s="1">
        <f>[1]节奏总纲!BA246</f>
        <v>44.016200268136501</v>
      </c>
      <c r="BB246" s="1">
        <f>[1]节奏总纲!BB246</f>
        <v>45.506593249141758</v>
      </c>
      <c r="BC246" s="1">
        <f>[1]节奏总纲!BC246</f>
        <v>47.452847239866877</v>
      </c>
      <c r="BD246" s="1">
        <f>[1]节奏总纲!BD246</f>
        <v>50.206304346144179</v>
      </c>
      <c r="BE246" s="1">
        <f>[1]节奏总纲!BE246</f>
        <v>54.92141776898648</v>
      </c>
    </row>
    <row r="247" spans="29:57" x14ac:dyDescent="0.15">
      <c r="AC247" s="1">
        <f>[1]节奏总纲!AC247</f>
        <v>244</v>
      </c>
      <c r="AD247" s="1">
        <f>[1]节奏总纲!AD247</f>
        <v>79.358359422257649</v>
      </c>
      <c r="AE247" s="1">
        <f>[1]节奏总纲!AE247</f>
        <v>81.455030462617714</v>
      </c>
      <c r="AF247" s="1">
        <f>[1]节奏总纲!AF247</f>
        <v>84.404190900360987</v>
      </c>
      <c r="AG247" s="1">
        <f>[1]节奏总纲!AG247</f>
        <v>89.253092343901116</v>
      </c>
      <c r="AH247" s="1">
        <f>[1]节奏总纲!AH247</f>
        <v>98.191636615223871</v>
      </c>
      <c r="AZ247" s="1">
        <f>[1]节奏总纲!AZ247</f>
        <v>244</v>
      </c>
      <c r="BA247" s="1">
        <f>[1]节奏总纲!BA247</f>
        <v>44.042055714440401</v>
      </c>
      <c r="BB247" s="1">
        <f>[1]节奏总纲!BB247</f>
        <v>45.534489353169384</v>
      </c>
      <c r="BC247" s="1">
        <f>[1]节奏总纲!BC247</f>
        <v>47.480563957630736</v>
      </c>
      <c r="BD247" s="1">
        <f>[1]节奏总纲!BD247</f>
        <v>50.233062367693357</v>
      </c>
      <c r="BE247" s="1">
        <f>[1]节奏总纲!BE247</f>
        <v>54.951183765582506</v>
      </c>
    </row>
    <row r="248" spans="29:57" x14ac:dyDescent="0.15">
      <c r="AC248" s="1">
        <f>[1]节奏总纲!AC248</f>
        <v>245</v>
      </c>
      <c r="AD248" s="1">
        <f>[1]节奏总纲!AD248</f>
        <v>79.416690383870588</v>
      </c>
      <c r="AE248" s="1">
        <f>[1]节奏总纲!AE248</f>
        <v>81.514582922353426</v>
      </c>
      <c r="AF248" s="1">
        <f>[1]节奏总纲!AF248</f>
        <v>84.46426139691745</v>
      </c>
      <c r="AG248" s="1">
        <f>[1]节奏总纲!AG248</f>
        <v>89.321699065444534</v>
      </c>
      <c r="AH248" s="1">
        <f>[1]节奏总纲!AH248</f>
        <v>98.25107720201423</v>
      </c>
      <c r="AZ248" s="1">
        <f>[1]节奏总纲!AZ248</f>
        <v>245</v>
      </c>
      <c r="BA248" s="1">
        <f>[1]节奏总纲!BA248</f>
        <v>44.067911160744309</v>
      </c>
      <c r="BB248" s="1">
        <f>[1]节奏总纲!BB248</f>
        <v>45.562385457197017</v>
      </c>
      <c r="BC248" s="1">
        <f>[1]节奏总纲!BC248</f>
        <v>47.508280675394595</v>
      </c>
      <c r="BD248" s="1">
        <f>[1]节奏总纲!BD248</f>
        <v>50.259820389242542</v>
      </c>
      <c r="BE248" s="1">
        <f>[1]节奏总纲!BE248</f>
        <v>54.98094976217854</v>
      </c>
    </row>
    <row r="249" spans="29:57" x14ac:dyDescent="0.15">
      <c r="AC249" s="1">
        <f>[1]节奏总纲!AC249</f>
        <v>246</v>
      </c>
      <c r="AD249" s="1">
        <f>[1]节奏总纲!AD249</f>
        <v>79.475021345483526</v>
      </c>
      <c r="AE249" s="1">
        <f>[1]节奏总纲!AE249</f>
        <v>81.574135382089139</v>
      </c>
      <c r="AF249" s="1">
        <f>[1]节奏总纲!AF249</f>
        <v>84.524331893473914</v>
      </c>
      <c r="AG249" s="1">
        <f>[1]节奏总纲!AG249</f>
        <v>89.390305786987952</v>
      </c>
      <c r="AH249" s="1">
        <f>[1]节奏总纲!AH249</f>
        <v>98.310517788804589</v>
      </c>
      <c r="AZ249" s="1">
        <f>[1]节奏总纲!AZ249</f>
        <v>246</v>
      </c>
      <c r="BA249" s="1">
        <f>[1]节奏总纲!BA249</f>
        <v>44.093766607048209</v>
      </c>
      <c r="BB249" s="1">
        <f>[1]节奏总纲!BB249</f>
        <v>45.590281561224643</v>
      </c>
      <c r="BC249" s="1">
        <f>[1]节奏总纲!BC249</f>
        <v>47.535997393158453</v>
      </c>
      <c r="BD249" s="1">
        <f>[1]节奏总纲!BD249</f>
        <v>50.286578410791719</v>
      </c>
      <c r="BE249" s="1">
        <f>[1]节奏总纲!BE249</f>
        <v>55.009255535630842</v>
      </c>
    </row>
    <row r="250" spans="29:57" x14ac:dyDescent="0.15">
      <c r="AC250" s="1">
        <f>[1]节奏总纲!AC250</f>
        <v>247</v>
      </c>
      <c r="AD250" s="1">
        <f>[1]节奏总纲!AD250</f>
        <v>79.533352307096465</v>
      </c>
      <c r="AE250" s="1">
        <f>[1]节奏总纲!AE250</f>
        <v>81.633687841824852</v>
      </c>
      <c r="AF250" s="1">
        <f>[1]节奏总纲!AF250</f>
        <v>84.584402390030377</v>
      </c>
      <c r="AG250" s="1">
        <f>[1]节奏总纲!AG250</f>
        <v>89.45891250853137</v>
      </c>
      <c r="AH250" s="1">
        <f>[1]节奏总纲!AH250</f>
        <v>98.369958375594933</v>
      </c>
      <c r="AZ250" s="1">
        <f>[1]节奏总纲!AZ250</f>
        <v>247</v>
      </c>
      <c r="BA250" s="1">
        <f>[1]节奏总纲!BA250</f>
        <v>44.11962205335211</v>
      </c>
      <c r="BB250" s="1">
        <f>[1]节奏总纲!BB250</f>
        <v>45.618177665252276</v>
      </c>
      <c r="BC250" s="1">
        <f>[1]节奏总纲!BC250</f>
        <v>47.563714110922312</v>
      </c>
      <c r="BD250" s="1">
        <f>[1]节奏总纲!BD250</f>
        <v>50.313336432340897</v>
      </c>
      <c r="BE250" s="1">
        <f>[1]节奏总纲!BE250</f>
        <v>55.034965356827627</v>
      </c>
    </row>
    <row r="251" spans="29:57" x14ac:dyDescent="0.15">
      <c r="AC251" s="1">
        <f>[1]节奏总纲!AC251</f>
        <v>248</v>
      </c>
      <c r="AD251" s="1">
        <f>[1]节奏总纲!AD251</f>
        <v>79.591683268709417</v>
      </c>
      <c r="AE251" s="1">
        <f>[1]节奏总纲!AE251</f>
        <v>81.693240301560579</v>
      </c>
      <c r="AF251" s="1">
        <f>[1]节奏总纲!AF251</f>
        <v>84.64447288658684</v>
      </c>
      <c r="AG251" s="1">
        <f>[1]节奏总纲!AG251</f>
        <v>89.527519230074788</v>
      </c>
      <c r="AH251" s="1">
        <f>[1]节奏总纲!AH251</f>
        <v>98.429398962385292</v>
      </c>
      <c r="AZ251" s="1">
        <f>[1]节奏总纲!AZ251</f>
        <v>248</v>
      </c>
      <c r="BA251" s="1">
        <f>[1]节奏总纲!BA251</f>
        <v>44.145477499656018</v>
      </c>
      <c r="BB251" s="1">
        <f>[1]节奏总纲!BB251</f>
        <v>45.646073769279901</v>
      </c>
      <c r="BC251" s="1">
        <f>[1]节奏总纲!BC251</f>
        <v>47.591430828686171</v>
      </c>
      <c r="BD251" s="1">
        <f>[1]节奏总纲!BD251</f>
        <v>50.340094453890082</v>
      </c>
      <c r="BE251" s="1">
        <f>[1]节奏总纲!BE251</f>
        <v>55.060675178024418</v>
      </c>
    </row>
    <row r="252" spans="29:57" x14ac:dyDescent="0.15">
      <c r="AC252" s="1">
        <f>[1]节奏总纲!AC252</f>
        <v>249</v>
      </c>
      <c r="AD252" s="1">
        <f>[1]节奏总纲!AD252</f>
        <v>79.650014230322356</v>
      </c>
      <c r="AE252" s="1">
        <f>[1]节奏总纲!AE252</f>
        <v>81.752792761296291</v>
      </c>
      <c r="AF252" s="1">
        <f>[1]节奏总纲!AF252</f>
        <v>84.704543383143317</v>
      </c>
      <c r="AG252" s="1">
        <f>[1]节奏总纲!AG252</f>
        <v>89.596125951618205</v>
      </c>
      <c r="AH252" s="1">
        <f>[1]节奏总纲!AH252</f>
        <v>98.488839549175651</v>
      </c>
      <c r="AZ252" s="1">
        <f>[1]节奏总纲!AZ252</f>
        <v>249</v>
      </c>
      <c r="BA252" s="1">
        <f>[1]节奏总纲!BA252</f>
        <v>44.171332945959918</v>
      </c>
      <c r="BB252" s="1">
        <f>[1]节奏总纲!BB252</f>
        <v>45.673969873307534</v>
      </c>
      <c r="BC252" s="1">
        <f>[1]节奏总纲!BC252</f>
        <v>47.61914754645003</v>
      </c>
      <c r="BD252" s="1">
        <f>[1]节奏总纲!BD252</f>
        <v>50.366852475439259</v>
      </c>
      <c r="BE252" s="1">
        <f>[1]节奏总纲!BE252</f>
        <v>55.086384999221202</v>
      </c>
    </row>
    <row r="253" spans="29:57" x14ac:dyDescent="0.15">
      <c r="AC253" s="1">
        <f>[1]节奏总纲!AC253</f>
        <v>250</v>
      </c>
      <c r="AD253" s="1">
        <f>[1]节奏总纲!AD253</f>
        <v>79.708345191935294</v>
      </c>
      <c r="AE253" s="1">
        <f>[1]节奏总纲!AE253</f>
        <v>81.812345221032004</v>
      </c>
      <c r="AF253" s="1">
        <f>[1]节奏总纲!AF253</f>
        <v>84.76461387969978</v>
      </c>
      <c r="AG253" s="1">
        <f>[1]节奏总纲!AG253</f>
        <v>89.664732673161623</v>
      </c>
      <c r="AH253" s="1">
        <f>[1]节奏总纲!AH253</f>
        <v>98.548280135965996</v>
      </c>
      <c r="AZ253" s="1">
        <f>[1]节奏总纲!AZ253</f>
        <v>250</v>
      </c>
      <c r="BA253" s="1">
        <f>[1]节奏总纲!BA253</f>
        <v>44.197188392263818</v>
      </c>
      <c r="BB253" s="1">
        <f>[1]节奏总纲!BB253</f>
        <v>45.701865977335167</v>
      </c>
      <c r="BC253" s="1">
        <f>[1]节奏总纲!BC253</f>
        <v>47.646864264213889</v>
      </c>
      <c r="BD253" s="1">
        <f>[1]节奏总纲!BD253</f>
        <v>50.393610496988437</v>
      </c>
      <c r="BE253" s="1">
        <f>[1]节奏总纲!BE253</f>
        <v>55.112094820417994</v>
      </c>
    </row>
    <row r="254" spans="29:57" x14ac:dyDescent="0.15">
      <c r="AC254" s="1">
        <f>[1]节奏总纲!AC254</f>
        <v>251</v>
      </c>
      <c r="AD254" s="1">
        <f>[1]节奏总纲!AD254</f>
        <v>79.766676153548232</v>
      </c>
      <c r="AE254" s="1">
        <f>[1]节奏总纲!AE254</f>
        <v>81.871897680767717</v>
      </c>
      <c r="AF254" s="1">
        <f>[1]节奏总纲!AF254</f>
        <v>84.824684376256243</v>
      </c>
      <c r="AG254" s="1">
        <f>[1]节奏总纲!AG254</f>
        <v>89.733339394705041</v>
      </c>
      <c r="AH254" s="1">
        <f>[1]节奏总纲!AH254</f>
        <v>98.607720722756355</v>
      </c>
      <c r="AZ254" s="1">
        <f>[1]节奏总纲!AZ254</f>
        <v>251</v>
      </c>
      <c r="BA254" s="1">
        <f>[1]节奏总纲!BA254</f>
        <v>44.223043838567726</v>
      </c>
      <c r="BB254" s="1">
        <f>[1]节奏总纲!BB254</f>
        <v>45.729762081362793</v>
      </c>
      <c r="BC254" s="1">
        <f>[1]节奏总纲!BC254</f>
        <v>47.674580981977748</v>
      </c>
      <c r="BD254" s="1">
        <f>[1]节奏总纲!BD254</f>
        <v>50.420368518537622</v>
      </c>
      <c r="BE254" s="1">
        <f>[1]节奏总纲!BE254</f>
        <v>55.137804641614778</v>
      </c>
    </row>
    <row r="255" spans="29:57" x14ac:dyDescent="0.15">
      <c r="AC255" s="1">
        <f>[1]节奏总纲!AC255</f>
        <v>252</v>
      </c>
      <c r="AD255" s="1">
        <f>[1]节奏总纲!AD255</f>
        <v>79.825007115161171</v>
      </c>
      <c r="AE255" s="1">
        <f>[1]节奏总纲!AE255</f>
        <v>81.931450140503429</v>
      </c>
      <c r="AF255" s="1">
        <f>[1]节奏总纲!AF255</f>
        <v>84.884754872812707</v>
      </c>
      <c r="AG255" s="1">
        <f>[1]节奏总纲!AG255</f>
        <v>89.801946116248459</v>
      </c>
      <c r="AH255" s="1">
        <f>[1]节奏总纲!AH255</f>
        <v>98.667161309546714</v>
      </c>
      <c r="AZ255" s="1">
        <f>[1]节奏总纲!AZ255</f>
        <v>252</v>
      </c>
      <c r="BA255" s="1">
        <f>[1]节奏总纲!BA255</f>
        <v>44.248899284871626</v>
      </c>
      <c r="BB255" s="1">
        <f>[1]节奏总纲!BB255</f>
        <v>45.757658185390426</v>
      </c>
      <c r="BC255" s="1">
        <f>[1]节奏总纲!BC255</f>
        <v>47.7022976997416</v>
      </c>
      <c r="BD255" s="1">
        <f>[1]节奏总纲!BD255</f>
        <v>50.447126540086799</v>
      </c>
      <c r="BE255" s="1">
        <f>[1]节奏总纲!BE255</f>
        <v>55.163514462811563</v>
      </c>
    </row>
    <row r="256" spans="29:57" x14ac:dyDescent="0.15">
      <c r="AC256" s="1">
        <f>[1]节奏总纲!AC256</f>
        <v>253</v>
      </c>
      <c r="AD256" s="1">
        <f>[1]节奏总纲!AD256</f>
        <v>79.883338076774123</v>
      </c>
      <c r="AE256" s="1">
        <f>[1]节奏总纲!AE256</f>
        <v>81.991002600239142</v>
      </c>
      <c r="AF256" s="1">
        <f>[1]节奏总纲!AF256</f>
        <v>84.94482536936917</v>
      </c>
      <c r="AG256" s="1">
        <f>[1]节奏总纲!AG256</f>
        <v>89.870552837791877</v>
      </c>
      <c r="AH256" s="1">
        <f>[1]节奏总纲!AH256</f>
        <v>98.726601896337058</v>
      </c>
      <c r="AZ256" s="1">
        <f>[1]节奏总纲!AZ256</f>
        <v>253</v>
      </c>
      <c r="BA256" s="1">
        <f>[1]节奏总纲!BA256</f>
        <v>44.274754731175527</v>
      </c>
      <c r="BB256" s="1">
        <f>[1]节奏总纲!BB256</f>
        <v>45.785554289418052</v>
      </c>
      <c r="BC256" s="1">
        <f>[1]节奏总纲!BC256</f>
        <v>47.730014417505458</v>
      </c>
      <c r="BD256" s="1">
        <f>[1]节奏总纲!BD256</f>
        <v>50.473884561635977</v>
      </c>
      <c r="BE256" s="1">
        <f>[1]节奏总纲!BE256</f>
        <v>55.189224284008354</v>
      </c>
    </row>
    <row r="257" spans="29:57" x14ac:dyDescent="0.15">
      <c r="AC257" s="1">
        <f>[1]节奏总纲!AC257</f>
        <v>254</v>
      </c>
      <c r="AD257" s="1">
        <f>[1]节奏总纲!AD257</f>
        <v>79.941669038387062</v>
      </c>
      <c r="AE257" s="1">
        <f>[1]节奏总纲!AE257</f>
        <v>82.046165327855846</v>
      </c>
      <c r="AF257" s="1">
        <f>[1]节奏总纲!AF257</f>
        <v>85.004450307848032</v>
      </c>
      <c r="AG257" s="1">
        <f>[1]节奏总纲!AG257</f>
        <v>89.939159559335295</v>
      </c>
      <c r="AH257" s="1">
        <f>[1]节奏总纲!AH257</f>
        <v>98.786042483127417</v>
      </c>
      <c r="AZ257" s="1">
        <f>[1]节奏总纲!AZ257</f>
        <v>254</v>
      </c>
      <c r="BA257" s="1">
        <f>[1]节奏总纲!BA257</f>
        <v>44.300610177479435</v>
      </c>
      <c r="BB257" s="1">
        <f>[1]节奏总纲!BB257</f>
        <v>45.813450393445684</v>
      </c>
      <c r="BC257" s="1">
        <f>[1]节奏总纲!BC257</f>
        <v>47.757731135269317</v>
      </c>
      <c r="BD257" s="1">
        <f>[1]节奏总纲!BD257</f>
        <v>50.500642583185162</v>
      </c>
      <c r="BE257" s="1">
        <f>[1]节奏总纲!BE257</f>
        <v>55.214934105205138</v>
      </c>
    </row>
    <row r="258" spans="29:57" x14ac:dyDescent="0.15">
      <c r="AC258" s="1">
        <f>[1]节奏总纲!AC258</f>
        <v>255</v>
      </c>
      <c r="AD258" s="1">
        <f>[1]节奏总纲!AD258</f>
        <v>80</v>
      </c>
      <c r="AE258" s="1">
        <f>[1]节奏总纲!AE258</f>
        <v>82.100546804797787</v>
      </c>
      <c r="AF258" s="1">
        <f>[1]节奏总纲!AF258</f>
        <v>85.059053968634842</v>
      </c>
      <c r="AG258" s="1">
        <f>[1]节奏总纲!AG258</f>
        <v>90.006385600230558</v>
      </c>
      <c r="AH258" s="1">
        <f>[1]节奏总纲!AH258</f>
        <v>98.845483069917776</v>
      </c>
      <c r="AZ258" s="1">
        <f>[1]节奏总纲!AZ258</f>
        <v>255</v>
      </c>
      <c r="BA258" s="1">
        <f>[1]节奏总纲!BA258</f>
        <v>44.326465623783335</v>
      </c>
      <c r="BB258" s="1">
        <f>[1]节奏总纲!BB258</f>
        <v>45.84134649747331</v>
      </c>
      <c r="BC258" s="1">
        <f>[1]节奏总纲!BC258</f>
        <v>47.785447853033176</v>
      </c>
      <c r="BD258" s="1">
        <f>[1]节奏总纲!BD258</f>
        <v>50.527400604734339</v>
      </c>
      <c r="BE258" s="1">
        <f>[1]节奏总纲!BE258</f>
        <v>55.24064392640193</v>
      </c>
    </row>
    <row r="259" spans="29:57" x14ac:dyDescent="0.15">
      <c r="AC259" s="1">
        <f>[1]节奏总纲!AC259</f>
        <v>256</v>
      </c>
      <c r="AD259" s="1">
        <f>[1]节奏总纲!AD259</f>
        <v>80.054424711612938</v>
      </c>
      <c r="AE259" s="1">
        <f>[1]节奏总纲!AE259</f>
        <v>82.154928281739714</v>
      </c>
      <c r="AF259" s="1">
        <f>[1]节奏总纲!AF259</f>
        <v>85.113657629421638</v>
      </c>
      <c r="AG259" s="1">
        <f>[1]节奏总纲!AG259</f>
        <v>90.062795496260307</v>
      </c>
      <c r="AH259" s="1">
        <f>[1]节奏总纲!AH259</f>
        <v>98.904923656708121</v>
      </c>
      <c r="AZ259" s="1">
        <f>[1]节奏总纲!AZ259</f>
        <v>256</v>
      </c>
      <c r="BA259" s="1">
        <f>[1]节奏总纲!BA259</f>
        <v>44.352321070087235</v>
      </c>
      <c r="BB259" s="1">
        <f>[1]节奏总纲!BB259</f>
        <v>45.869242601500943</v>
      </c>
      <c r="BC259" s="1">
        <f>[1]节奏总纲!BC259</f>
        <v>47.813164570797035</v>
      </c>
      <c r="BD259" s="1">
        <f>[1]节奏总纲!BD259</f>
        <v>50.554158626283517</v>
      </c>
      <c r="BE259" s="1">
        <f>[1]节奏总纲!BE259</f>
        <v>55.266353747598714</v>
      </c>
    </row>
    <row r="260" spans="29:57" x14ac:dyDescent="0.15">
      <c r="AC260" s="1">
        <f>[1]节奏总纲!AC260</f>
        <v>257</v>
      </c>
      <c r="AD260" s="1">
        <f>[1]节奏总纲!AD260</f>
        <v>80.108849423225877</v>
      </c>
      <c r="AE260" s="1">
        <f>[1]节奏总纲!AE260</f>
        <v>82.209309758681655</v>
      </c>
      <c r="AF260" s="1">
        <f>[1]节奏总纲!AF260</f>
        <v>85.168261290208434</v>
      </c>
      <c r="AG260" s="1">
        <f>[1]节奏总纲!AG260</f>
        <v>90.119205392290041</v>
      </c>
      <c r="AH260" s="1">
        <f>[1]节奏总纲!AH260</f>
        <v>98.96436424349848</v>
      </c>
      <c r="AZ260" s="1">
        <f>[1]节奏总纲!AZ260</f>
        <v>257</v>
      </c>
      <c r="BA260" s="1">
        <f>[1]节奏总纲!BA260</f>
        <v>44.378176516391136</v>
      </c>
      <c r="BB260" s="1">
        <f>[1]节奏总纲!BB260</f>
        <v>45.897138705528576</v>
      </c>
      <c r="BC260" s="1">
        <f>[1]节奏总纲!BC260</f>
        <v>47.840881288560894</v>
      </c>
      <c r="BD260" s="1">
        <f>[1]节奏总纲!BD260</f>
        <v>50.580916647832701</v>
      </c>
      <c r="BE260" s="1">
        <f>[1]节奏总纲!BE260</f>
        <v>55.292063568795498</v>
      </c>
    </row>
    <row r="261" spans="29:57" x14ac:dyDescent="0.15">
      <c r="AC261" s="1">
        <f>[1]节奏总纲!AC261</f>
        <v>258</v>
      </c>
      <c r="AD261" s="1">
        <f>[1]节奏总纲!AD261</f>
        <v>80.163274134838829</v>
      </c>
      <c r="AE261" s="1">
        <f>[1]节奏总纲!AE261</f>
        <v>82.263691235623583</v>
      </c>
      <c r="AF261" s="1">
        <f>[1]节奏总纲!AF261</f>
        <v>85.222864950995231</v>
      </c>
      <c r="AG261" s="1">
        <f>[1]节奏总纲!AG261</f>
        <v>90.175615288319776</v>
      </c>
      <c r="AH261" s="1">
        <f>[1]节奏总纲!AH261</f>
        <v>99.023313221876677</v>
      </c>
      <c r="AZ261" s="1">
        <f>[1]节奏总纲!AZ261</f>
        <v>258</v>
      </c>
      <c r="BA261" s="1">
        <f>[1]节奏总纲!BA261</f>
        <v>44.404031962695043</v>
      </c>
      <c r="BB261" s="1">
        <f>[1]节奏总纲!BB261</f>
        <v>45.925034809556202</v>
      </c>
      <c r="BC261" s="1">
        <f>[1]节奏总纲!BC261</f>
        <v>47.868598006324753</v>
      </c>
      <c r="BD261" s="1">
        <f>[1]节奏总纲!BD261</f>
        <v>50.607674669381879</v>
      </c>
      <c r="BE261" s="1">
        <f>[1]节奏总纲!BE261</f>
        <v>55.31777338999229</v>
      </c>
    </row>
    <row r="262" spans="29:57" x14ac:dyDescent="0.15">
      <c r="AC262" s="1">
        <f>[1]节奏总纲!AC262</f>
        <v>259</v>
      </c>
      <c r="AD262" s="1">
        <f>[1]节奏总纲!AD262</f>
        <v>80.217698846451768</v>
      </c>
      <c r="AE262" s="1">
        <f>[1]节奏总纲!AE262</f>
        <v>82.318072712565524</v>
      </c>
      <c r="AF262" s="1">
        <f>[1]节奏总纲!AF262</f>
        <v>85.277468611782027</v>
      </c>
      <c r="AG262" s="1">
        <f>[1]节奏总纲!AG262</f>
        <v>90.23202518434951</v>
      </c>
      <c r="AH262" s="1">
        <f>[1]节奏总纲!AH262</f>
        <v>99.081526263999208</v>
      </c>
      <c r="AZ262" s="1">
        <f>[1]节奏总纲!AZ262</f>
        <v>259</v>
      </c>
      <c r="BA262" s="1">
        <f>[1]节奏总纲!BA262</f>
        <v>44.429887408998944</v>
      </c>
      <c r="BB262" s="1">
        <f>[1]节奏总纲!BB262</f>
        <v>45.952930913583835</v>
      </c>
      <c r="BC262" s="1">
        <f>[1]节奏总纲!BC262</f>
        <v>47.896314724088612</v>
      </c>
      <c r="BD262" s="1">
        <f>[1]节奏总纲!BD262</f>
        <v>50.634432690931064</v>
      </c>
      <c r="BE262" s="1">
        <f>[1]节奏总纲!BE262</f>
        <v>55.343483211189074</v>
      </c>
    </row>
    <row r="263" spans="29:57" x14ac:dyDescent="0.15">
      <c r="AC263" s="1">
        <f>[1]节奏总纲!AC263</f>
        <v>260</v>
      </c>
      <c r="AD263" s="1">
        <f>[1]节奏总纲!AD263</f>
        <v>80.272123558064706</v>
      </c>
      <c r="AE263" s="1">
        <f>[1]节奏总纲!AE263</f>
        <v>82.372454189507465</v>
      </c>
      <c r="AF263" s="1">
        <f>[1]节奏总纲!AF263</f>
        <v>85.332072272568837</v>
      </c>
      <c r="AG263" s="1">
        <f>[1]节奏总纲!AG263</f>
        <v>90.288435080379244</v>
      </c>
      <c r="AH263" s="1">
        <f>[1]节奏总纲!AH263</f>
        <v>99.139739306121726</v>
      </c>
      <c r="AZ263" s="1">
        <f>[1]节奏总纲!AZ263</f>
        <v>260</v>
      </c>
      <c r="BA263" s="1">
        <f>[1]节奏总纲!BA263</f>
        <v>44.455742855302844</v>
      </c>
      <c r="BB263" s="1">
        <f>[1]节奏总纲!BB263</f>
        <v>45.98082701761146</v>
      </c>
      <c r="BC263" s="1">
        <f>[1]节奏总纲!BC263</f>
        <v>47.92403144185247</v>
      </c>
      <c r="BD263" s="1">
        <f>[1]节奏总纲!BD263</f>
        <v>50.661190712480241</v>
      </c>
      <c r="BE263" s="1">
        <f>[1]节奏总纲!BE263</f>
        <v>55.369193032385866</v>
      </c>
    </row>
    <row r="264" spans="29:57" x14ac:dyDescent="0.15">
      <c r="AC264" s="1">
        <f>[1]节奏总纲!AC264</f>
        <v>261</v>
      </c>
      <c r="AD264" s="1">
        <f>[1]节奏总纲!AD264</f>
        <v>80.326548269677644</v>
      </c>
      <c r="AE264" s="1">
        <f>[1]节奏总纲!AE264</f>
        <v>82.426835666449392</v>
      </c>
      <c r="AF264" s="1">
        <f>[1]节奏总纲!AF264</f>
        <v>85.386675933355633</v>
      </c>
      <c r="AG264" s="1">
        <f>[1]节奏总纲!AG264</f>
        <v>90.344844976408993</v>
      </c>
      <c r="AH264" s="1">
        <f>[1]节奏总纲!AH264</f>
        <v>99.197952348244257</v>
      </c>
      <c r="AZ264" s="1">
        <f>[1]节奏总纲!AZ264</f>
        <v>261</v>
      </c>
      <c r="BA264" s="1">
        <f>[1]节奏总纲!BA264</f>
        <v>44.481598301606752</v>
      </c>
      <c r="BB264" s="1">
        <f>[1]节奏总纲!BB264</f>
        <v>46.007529841290832</v>
      </c>
      <c r="BC264" s="1">
        <f>[1]节奏总纲!BC264</f>
        <v>47.951748159616329</v>
      </c>
      <c r="BD264" s="1">
        <f>[1]节奏总纲!BD264</f>
        <v>50.687948734029419</v>
      </c>
      <c r="BE264" s="1">
        <f>[1]节奏总纲!BE264</f>
        <v>55.39490285358265</v>
      </c>
    </row>
    <row r="265" spans="29:57" x14ac:dyDescent="0.15">
      <c r="AC265" s="1">
        <f>[1]节奏总纲!AC265</f>
        <v>262</v>
      </c>
      <c r="AD265" s="1">
        <f>[1]节奏总纲!AD265</f>
        <v>80.380972981290597</v>
      </c>
      <c r="AE265" s="1">
        <f>[1]节奏总纲!AE265</f>
        <v>82.481217143391333</v>
      </c>
      <c r="AF265" s="1">
        <f>[1]节奏总纲!AF265</f>
        <v>85.441279594142429</v>
      </c>
      <c r="AG265" s="1">
        <f>[1]节奏总纲!AG265</f>
        <v>90.401254872438727</v>
      </c>
      <c r="AH265" s="1">
        <f>[1]节奏总纲!AH265</f>
        <v>99.256165390366789</v>
      </c>
      <c r="AZ265" s="1">
        <f>[1]节奏总纲!AZ265</f>
        <v>262</v>
      </c>
      <c r="BA265" s="1">
        <f>[1]节奏总纲!BA265</f>
        <v>44.507453747910652</v>
      </c>
      <c r="BB265" s="1">
        <f>[1]节奏总纲!BB265</f>
        <v>46.031609894814238</v>
      </c>
      <c r="BC265" s="1">
        <f>[1]节奏总纲!BC265</f>
        <v>47.979464877380188</v>
      </c>
      <c r="BD265" s="1">
        <f>[1]节奏总纲!BD265</f>
        <v>50.714706755578604</v>
      </c>
      <c r="BE265" s="1">
        <f>[1]节奏总纲!BE265</f>
        <v>55.420612674779434</v>
      </c>
    </row>
    <row r="266" spans="29:57" x14ac:dyDescent="0.15">
      <c r="AC266" s="1">
        <f>[1]节奏总纲!AC266</f>
        <v>263</v>
      </c>
      <c r="AD266" s="1">
        <f>[1]节奏总纲!AD266</f>
        <v>80.435397692903535</v>
      </c>
      <c r="AE266" s="1">
        <f>[1]节奏总纲!AE266</f>
        <v>82.535598620333275</v>
      </c>
      <c r="AF266" s="1">
        <f>[1]节奏总纲!AF266</f>
        <v>85.495883254929225</v>
      </c>
      <c r="AG266" s="1">
        <f>[1]节奏总纲!AG266</f>
        <v>90.457664768468462</v>
      </c>
      <c r="AH266" s="1">
        <f>[1]节奏总纲!AH266</f>
        <v>99.314378432489306</v>
      </c>
      <c r="AZ266" s="1">
        <f>[1]节奏总纲!AZ266</f>
        <v>263</v>
      </c>
      <c r="BA266" s="1">
        <f>[1]节奏总纲!BA266</f>
        <v>44.533309194214553</v>
      </c>
      <c r="BB266" s="1">
        <f>[1]节奏总纲!BB266</f>
        <v>46.055689948337651</v>
      </c>
      <c r="BC266" s="1">
        <f>[1]节奏总纲!BC266</f>
        <v>48.006200084618079</v>
      </c>
      <c r="BD266" s="1">
        <f>[1]节奏总纲!BD266</f>
        <v>50.741464777127781</v>
      </c>
      <c r="BE266" s="1">
        <f>[1]节奏总纲!BE266</f>
        <v>55.446322495976226</v>
      </c>
    </row>
    <row r="267" spans="29:57" x14ac:dyDescent="0.15">
      <c r="AC267" s="1">
        <f>[1]节奏总纲!AC267</f>
        <v>264</v>
      </c>
      <c r="AD267" s="1">
        <f>[1]节奏总纲!AD267</f>
        <v>80.489822404516474</v>
      </c>
      <c r="AE267" s="1">
        <f>[1]节奏总纲!AE267</f>
        <v>82.589980097275202</v>
      </c>
      <c r="AF267" s="1">
        <f>[1]节奏总纲!AF267</f>
        <v>85.550486915716021</v>
      </c>
      <c r="AG267" s="1">
        <f>[1]节奏总纲!AG267</f>
        <v>90.514074664498196</v>
      </c>
      <c r="AH267" s="1">
        <f>[1]节奏总纲!AH267</f>
        <v>99.372591474611838</v>
      </c>
      <c r="AZ267" s="1">
        <f>[1]节奏总纲!AZ267</f>
        <v>264</v>
      </c>
      <c r="BA267" s="1">
        <f>[1]节奏总纲!BA267</f>
        <v>44.55916464051846</v>
      </c>
      <c r="BB267" s="1">
        <f>[1]节奏总纲!BB267</f>
        <v>46.079770001861057</v>
      </c>
      <c r="BC267" s="1">
        <f>[1]节奏总纲!BC267</f>
        <v>48.030128751164241</v>
      </c>
      <c r="BD267" s="1">
        <f>[1]节奏总纲!BD267</f>
        <v>50.768222798676959</v>
      </c>
      <c r="BE267" s="1">
        <f>[1]节奏总纲!BE267</f>
        <v>55.47203231717301</v>
      </c>
    </row>
    <row r="268" spans="29:57" x14ac:dyDescent="0.15">
      <c r="AC268" s="1">
        <f>[1]节奏总纲!AC268</f>
        <v>265</v>
      </c>
      <c r="AD268" s="1">
        <f>[1]节奏总纲!AD268</f>
        <v>80.544247116129412</v>
      </c>
      <c r="AE268" s="1">
        <f>[1]节奏总纲!AE268</f>
        <v>82.644361574217143</v>
      </c>
      <c r="AF268" s="1">
        <f>[1]节奏总纲!AF268</f>
        <v>85.605090576502832</v>
      </c>
      <c r="AG268" s="1">
        <f>[1]节奏总纲!AG268</f>
        <v>90.57048456052793</v>
      </c>
      <c r="AH268" s="1">
        <f>[1]节奏总纲!AH268</f>
        <v>99.430804516734369</v>
      </c>
      <c r="AZ268" s="1">
        <f>[1]节奏总纲!AZ268</f>
        <v>265</v>
      </c>
      <c r="BA268" s="1">
        <f>[1]节奏总纲!BA268</f>
        <v>44.585020086822361</v>
      </c>
      <c r="BB268" s="1">
        <f>[1]节奏总纲!BB268</f>
        <v>46.10385005538447</v>
      </c>
      <c r="BC268" s="1">
        <f>[1]节奏总纲!BC268</f>
        <v>48.054057417710396</v>
      </c>
      <c r="BD268" s="1">
        <f>[1]节奏总纲!BD268</f>
        <v>50.794980820226144</v>
      </c>
      <c r="BE268" s="1">
        <f>[1]节奏总纲!BE268</f>
        <v>55.497742138369794</v>
      </c>
    </row>
    <row r="269" spans="29:57" x14ac:dyDescent="0.15">
      <c r="AC269" s="1">
        <f>[1]节奏总纲!AC269</f>
        <v>266</v>
      </c>
      <c r="AD269" s="1">
        <f>[1]节奏总纲!AD269</f>
        <v>80.598671827742351</v>
      </c>
      <c r="AE269" s="1">
        <f>[1]节奏总纲!AE269</f>
        <v>82.698743051159084</v>
      </c>
      <c r="AF269" s="1">
        <f>[1]节奏总纲!AF269</f>
        <v>85.659694237289628</v>
      </c>
      <c r="AG269" s="1">
        <f>[1]节奏总纲!AG269</f>
        <v>90.626894456557665</v>
      </c>
      <c r="AH269" s="1">
        <f>[1]节奏总纲!AH269</f>
        <v>99.489017558856887</v>
      </c>
      <c r="AZ269" s="1">
        <f>[1]节奏总纲!AZ269</f>
        <v>266</v>
      </c>
      <c r="BA269" s="1">
        <f>[1]节奏总纲!BA269</f>
        <v>44.610875533126261</v>
      </c>
      <c r="BB269" s="1">
        <f>[1]节奏总纲!BB269</f>
        <v>46.127930108907876</v>
      </c>
      <c r="BC269" s="1">
        <f>[1]节奏总纲!BC269</f>
        <v>48.077986084256551</v>
      </c>
      <c r="BD269" s="1">
        <f>[1]节奏总纲!BD269</f>
        <v>50.821738841775321</v>
      </c>
      <c r="BE269" s="1">
        <f>[1]节奏总纲!BE269</f>
        <v>55.523451959566586</v>
      </c>
    </row>
    <row r="270" spans="29:57" x14ac:dyDescent="0.15">
      <c r="AC270" s="1">
        <f>[1]节奏总纲!AC270</f>
        <v>267</v>
      </c>
      <c r="AD270" s="1">
        <f>[1]节奏总纲!AD270</f>
        <v>80.653096539355303</v>
      </c>
      <c r="AE270" s="1">
        <f>[1]节奏总纲!AE270</f>
        <v>82.753124528101011</v>
      </c>
      <c r="AF270" s="1">
        <f>[1]节奏总纲!AF270</f>
        <v>85.714297898076424</v>
      </c>
      <c r="AG270" s="1">
        <f>[1]节奏总纲!AG270</f>
        <v>90.683304352587413</v>
      </c>
      <c r="AH270" s="1">
        <f>[1]节奏总纲!AH270</f>
        <v>99.547230600979418</v>
      </c>
      <c r="AZ270" s="1">
        <f>[1]节奏总纲!AZ270</f>
        <v>267</v>
      </c>
      <c r="BA270" s="1">
        <f>[1]节奏总纲!BA270</f>
        <v>44.636730979430169</v>
      </c>
      <c r="BB270" s="1">
        <f>[1]节奏总纲!BB270</f>
        <v>46.152010162431289</v>
      </c>
      <c r="BC270" s="1">
        <f>[1]节奏总纲!BC270</f>
        <v>48.101914750802706</v>
      </c>
      <c r="BD270" s="1">
        <f>[1]节奏总纲!BD270</f>
        <v>50.848496863324499</v>
      </c>
      <c r="BE270" s="1">
        <f>[1]节奏总纲!BE270</f>
        <v>55.54916178076337</v>
      </c>
    </row>
    <row r="271" spans="29:57" x14ac:dyDescent="0.15">
      <c r="AC271" s="1">
        <f>[1]节奏总纲!AC271</f>
        <v>268</v>
      </c>
      <c r="AD271" s="1">
        <f>[1]节奏总纲!AD271</f>
        <v>80.707521250968242</v>
      </c>
      <c r="AE271" s="1">
        <f>[1]节奏总纲!AE271</f>
        <v>82.807506005042953</v>
      </c>
      <c r="AF271" s="1">
        <f>[1]节奏总纲!AF271</f>
        <v>85.76890155886322</v>
      </c>
      <c r="AG271" s="1">
        <f>[1]节奏总纲!AG271</f>
        <v>90.739714248617148</v>
      </c>
      <c r="AH271" s="1">
        <f>[1]节奏总纲!AH271</f>
        <v>99.605443643101935</v>
      </c>
      <c r="AZ271" s="1">
        <f>[1]节奏总纲!AZ271</f>
        <v>268</v>
      </c>
      <c r="BA271" s="1">
        <f>[1]节奏总纲!BA271</f>
        <v>44.662586425734069</v>
      </c>
      <c r="BB271" s="1">
        <f>[1]节奏总纲!BB271</f>
        <v>46.176090215954694</v>
      </c>
      <c r="BC271" s="1">
        <f>[1]节奏总纲!BC271</f>
        <v>48.125843417348868</v>
      </c>
      <c r="BD271" s="1">
        <f>[1]节奏总纲!BD271</f>
        <v>50.875254884873684</v>
      </c>
      <c r="BE271" s="1">
        <f>[1]节奏总纲!BE271</f>
        <v>55.574871601960162</v>
      </c>
    </row>
    <row r="272" spans="29:57" x14ac:dyDescent="0.15">
      <c r="AC272" s="1">
        <f>[1]节奏总纲!AC272</f>
        <v>269</v>
      </c>
      <c r="AD272" s="1">
        <f>[1]节奏总纲!AD272</f>
        <v>80.76194596258118</v>
      </c>
      <c r="AE272" s="1">
        <f>[1]节奏总纲!AE272</f>
        <v>82.861887481984894</v>
      </c>
      <c r="AF272" s="1">
        <f>[1]节奏总纲!AF272</f>
        <v>85.823505219650016</v>
      </c>
      <c r="AG272" s="1">
        <f>[1]节奏总纲!AG272</f>
        <v>90.796124144646882</v>
      </c>
      <c r="AH272" s="1">
        <f>[1]节奏总纲!AH272</f>
        <v>99.663656685224467</v>
      </c>
      <c r="AZ272" s="1">
        <f>[1]节奏总纲!AZ272</f>
        <v>269</v>
      </c>
      <c r="BA272" s="1">
        <f>[1]节奏总纲!BA272</f>
        <v>44.68844187203797</v>
      </c>
      <c r="BB272" s="1">
        <f>[1]节奏总纲!BB272</f>
        <v>46.200170269478107</v>
      </c>
      <c r="BC272" s="1">
        <f>[1]节奏总纲!BC272</f>
        <v>48.149772083895023</v>
      </c>
      <c r="BD272" s="1">
        <f>[1]节奏总纲!BD272</f>
        <v>50.902012906422861</v>
      </c>
      <c r="BE272" s="1">
        <f>[1]节奏总纲!BE272</f>
        <v>55.600581423156946</v>
      </c>
    </row>
    <row r="273" spans="29:57" x14ac:dyDescent="0.15">
      <c r="AC273" s="1">
        <f>[1]节奏总纲!AC273</f>
        <v>270</v>
      </c>
      <c r="AD273" s="1">
        <f>[1]节奏总纲!AD273</f>
        <v>80.816370674194118</v>
      </c>
      <c r="AE273" s="1">
        <f>[1]节奏总纲!AE273</f>
        <v>82.916268958926821</v>
      </c>
      <c r="AF273" s="1">
        <f>[1]节奏总纲!AF273</f>
        <v>85.878108880436827</v>
      </c>
      <c r="AG273" s="1">
        <f>[1]节奏总纲!AG273</f>
        <v>90.852534040676616</v>
      </c>
      <c r="AH273" s="1">
        <f>[1]节奏总纲!AH273</f>
        <v>99.721869727346999</v>
      </c>
      <c r="AZ273" s="1">
        <f>[1]节奏总纲!AZ273</f>
        <v>270</v>
      </c>
      <c r="BA273" s="1">
        <f>[1]节奏总纲!BA273</f>
        <v>44.714297318341877</v>
      </c>
      <c r="BB273" s="1">
        <f>[1]节奏总纲!BB273</f>
        <v>46.224250323001513</v>
      </c>
      <c r="BC273" s="1">
        <f>[1]节奏总纲!BC273</f>
        <v>48.173700750441178</v>
      </c>
      <c r="BD273" s="1">
        <f>[1]节奏总纲!BD273</f>
        <v>50.928770927972039</v>
      </c>
      <c r="BE273" s="1">
        <f>[1]节奏总纲!BE273</f>
        <v>55.62629124435373</v>
      </c>
    </row>
    <row r="274" spans="29:57" x14ac:dyDescent="0.15">
      <c r="AC274" s="1">
        <f>[1]节奏总纲!AC274</f>
        <v>271</v>
      </c>
      <c r="AD274" s="1">
        <f>[1]节奏总纲!AD274</f>
        <v>80.870795385807057</v>
      </c>
      <c r="AE274" s="1">
        <f>[1]节奏总纲!AE274</f>
        <v>82.970650435868762</v>
      </c>
      <c r="AF274" s="1">
        <f>[1]节奏总纲!AF274</f>
        <v>85.932712541223623</v>
      </c>
      <c r="AG274" s="1">
        <f>[1]节奏总纲!AG274</f>
        <v>90.908943936706351</v>
      </c>
      <c r="AH274" s="1">
        <f>[1]节奏总纲!AH274</f>
        <v>99.780082769469516</v>
      </c>
      <c r="AZ274" s="1">
        <f>[1]节奏总纲!AZ274</f>
        <v>271</v>
      </c>
      <c r="BA274" s="1">
        <f>[1]节奏总纲!BA274</f>
        <v>44.740152764645778</v>
      </c>
      <c r="BB274" s="1">
        <f>[1]节奏总纲!BB274</f>
        <v>46.248330376524919</v>
      </c>
      <c r="BC274" s="1">
        <f>[1]节奏总纲!BC274</f>
        <v>48.19762941698734</v>
      </c>
      <c r="BD274" s="1">
        <f>[1]节奏总纲!BD274</f>
        <v>50.955528949521224</v>
      </c>
      <c r="BE274" s="1">
        <f>[1]节奏总纲!BE274</f>
        <v>55.652001065550522</v>
      </c>
    </row>
    <row r="275" spans="29:57" x14ac:dyDescent="0.15">
      <c r="AC275" s="1">
        <f>[1]节奏总纲!AC275</f>
        <v>272</v>
      </c>
      <c r="AD275" s="1">
        <f>[1]节奏总纲!AD275</f>
        <v>80.925220097420009</v>
      </c>
      <c r="AE275" s="1">
        <f>[1]节奏总纲!AE275</f>
        <v>83.023342162088809</v>
      </c>
      <c r="AF275" s="1">
        <f>[1]节奏总纲!AF275</f>
        <v>85.987316202010419</v>
      </c>
      <c r="AG275" s="1">
        <f>[1]节奏总纲!AG275</f>
        <v>90.965353832736099</v>
      </c>
      <c r="AH275" s="1">
        <f>[1]节奏总纲!AH275</f>
        <v>99.838295811592047</v>
      </c>
      <c r="AZ275" s="1">
        <f>[1]节奏总纲!AZ275</f>
        <v>272</v>
      </c>
      <c r="BA275" s="1">
        <f>[1]节奏总纲!BA275</f>
        <v>44.766008210949678</v>
      </c>
      <c r="BB275" s="1">
        <f>[1]节奏总纲!BB275</f>
        <v>46.272410430048332</v>
      </c>
      <c r="BC275" s="1">
        <f>[1]节奏总纲!BC275</f>
        <v>48.221558083533495</v>
      </c>
      <c r="BD275" s="1">
        <f>[1]节奏总纲!BD275</f>
        <v>50.982286971070401</v>
      </c>
      <c r="BE275" s="1">
        <f>[1]节奏总纲!BE275</f>
        <v>55.677710886747306</v>
      </c>
    </row>
    <row r="276" spans="29:57" x14ac:dyDescent="0.15">
      <c r="AC276" s="1">
        <f>[1]节奏总纲!AC276</f>
        <v>273</v>
      </c>
      <c r="AD276" s="1">
        <f>[1]节奏总纲!AD276</f>
        <v>80.979644809032948</v>
      </c>
      <c r="AE276" s="1">
        <f>[1]节奏总纲!AE276</f>
        <v>83.07405267945947</v>
      </c>
      <c r="AF276" s="1">
        <f>[1]节奏总纲!AF276</f>
        <v>86.038061368689995</v>
      </c>
      <c r="AG276" s="1">
        <f>[1]节奏总纲!AG276</f>
        <v>91.020352770869948</v>
      </c>
      <c r="AH276" s="1">
        <f>[1]节奏总纲!AH276</f>
        <v>99.896508853714579</v>
      </c>
      <c r="AZ276" s="1">
        <f>[1]节奏总纲!AZ276</f>
        <v>273</v>
      </c>
      <c r="BA276" s="1">
        <f>[1]节奏总纲!BA276</f>
        <v>44.791863657253586</v>
      </c>
      <c r="BB276" s="1">
        <f>[1]节奏总纲!BB276</f>
        <v>46.296490483571738</v>
      </c>
      <c r="BC276" s="1">
        <f>[1]节奏总纲!BC276</f>
        <v>48.24548675007965</v>
      </c>
      <c r="BD276" s="1">
        <f>[1]节奏总纲!BD276</f>
        <v>51.007810424246486</v>
      </c>
      <c r="BE276" s="1">
        <f>[1]节奏总纲!BE276</f>
        <v>55.703420707944098</v>
      </c>
    </row>
    <row r="277" spans="29:57" x14ac:dyDescent="0.15">
      <c r="AC277" s="1">
        <f>[1]节奏总纲!AC277</f>
        <v>274</v>
      </c>
      <c r="AD277" s="1">
        <f>[1]节奏总纲!AD277</f>
        <v>81.031787986768464</v>
      </c>
      <c r="AE277" s="1">
        <f>[1]节奏总纲!AE277</f>
        <v>83.124763196830131</v>
      </c>
      <c r="AF277" s="1">
        <f>[1]节奏总纲!AF277</f>
        <v>86.087639061133402</v>
      </c>
      <c r="AG277" s="1">
        <f>[1]节奏总纲!AG277</f>
        <v>91.073105573528181</v>
      </c>
      <c r="AH277" s="1">
        <f>[1]节奏总纲!AH277</f>
        <v>99.954721895837096</v>
      </c>
      <c r="AZ277" s="1">
        <f>[1]节奏总纲!AZ277</f>
        <v>274</v>
      </c>
      <c r="BA277" s="1">
        <f>[1]节奏总纲!BA277</f>
        <v>44.817719103557486</v>
      </c>
      <c r="BB277" s="1">
        <f>[1]节奏总纲!BB277</f>
        <v>46.320570537095151</v>
      </c>
      <c r="BC277" s="1">
        <f>[1]节奏总纲!BC277</f>
        <v>48.269415416625804</v>
      </c>
      <c r="BD277" s="1">
        <f>[1]节奏总纲!BD277</f>
        <v>51.030916192165336</v>
      </c>
      <c r="BE277" s="1">
        <f>[1]节奏总纲!BE277</f>
        <v>55.729130529140882</v>
      </c>
    </row>
    <row r="278" spans="29:57" x14ac:dyDescent="0.15">
      <c r="AC278" s="1">
        <f>[1]节奏总纲!AC278</f>
        <v>275</v>
      </c>
      <c r="AD278" s="1">
        <f>[1]节奏总纲!AD278</f>
        <v>81.082568038258216</v>
      </c>
      <c r="AE278" s="1">
        <f>[1]节奏总纲!AE278</f>
        <v>83.175473714200777</v>
      </c>
      <c r="AF278" s="1">
        <f>[1]节奏总纲!AF278</f>
        <v>86.137216753576809</v>
      </c>
      <c r="AG278" s="1">
        <f>[1]节奏总纲!AG278</f>
        <v>91.125858376186414</v>
      </c>
      <c r="AH278" s="1">
        <f>[1]节奏总纲!AH278</f>
        <v>100.01191770041967</v>
      </c>
      <c r="AZ278" s="1">
        <f>[1]节奏总纲!AZ278</f>
        <v>275</v>
      </c>
      <c r="BA278" s="1">
        <f>[1]节奏总纲!BA278</f>
        <v>44.843574549861387</v>
      </c>
      <c r="BB278" s="1">
        <f>[1]节奏总纲!BB278</f>
        <v>46.344650590618556</v>
      </c>
      <c r="BC278" s="1">
        <f>[1]节奏总纲!BC278</f>
        <v>48.293344083171966</v>
      </c>
      <c r="BD278" s="1">
        <f>[1]节奏总纲!BD278</f>
        <v>51.054021960084178</v>
      </c>
      <c r="BE278" s="1">
        <f>[1]节奏总纲!BE278</f>
        <v>55.754840350337666</v>
      </c>
    </row>
    <row r="279" spans="29:57" x14ac:dyDescent="0.15">
      <c r="AC279" s="1">
        <f>[1]节奏总纲!AC279</f>
        <v>276</v>
      </c>
      <c r="AD279" s="1">
        <f>[1]节奏总纲!AD279</f>
        <v>81.133348089747955</v>
      </c>
      <c r="AE279" s="1">
        <f>[1]节奏总纲!AE279</f>
        <v>83.226184231571438</v>
      </c>
      <c r="AF279" s="1">
        <f>[1]节奏总纲!AF279</f>
        <v>86.186794446020215</v>
      </c>
      <c r="AG279" s="1">
        <f>[1]节奏总纲!AG279</f>
        <v>91.178611178844633</v>
      </c>
      <c r="AH279" s="1">
        <f>[1]节奏总纲!AH279</f>
        <v>100.06555271580974</v>
      </c>
      <c r="AZ279" s="1">
        <f>[1]节奏总纲!AZ279</f>
        <v>276</v>
      </c>
      <c r="BA279" s="1">
        <f>[1]节奏总纲!BA279</f>
        <v>44.869429996165294</v>
      </c>
      <c r="BB279" s="1">
        <f>[1]节奏总纲!BB279</f>
        <v>46.368730644141969</v>
      </c>
      <c r="BC279" s="1">
        <f>[1]节奏总纲!BC279</f>
        <v>48.317272749718121</v>
      </c>
      <c r="BD279" s="1">
        <f>[1]节奏总纲!BD279</f>
        <v>51.077127728003028</v>
      </c>
      <c r="BE279" s="1">
        <f>[1]节奏总纲!BE279</f>
        <v>55.780550171534458</v>
      </c>
    </row>
    <row r="280" spans="29:57" x14ac:dyDescent="0.15">
      <c r="AC280" s="1">
        <f>[1]节奏总纲!AC280</f>
        <v>277</v>
      </c>
      <c r="AD280" s="1">
        <f>[1]节奏总纲!AD280</f>
        <v>81.184128141237707</v>
      </c>
      <c r="AE280" s="1">
        <f>[1]节奏总纲!AE280</f>
        <v>83.276894748942098</v>
      </c>
      <c r="AF280" s="1">
        <f>[1]节奏总纲!AF280</f>
        <v>86.236372138463622</v>
      </c>
      <c r="AG280" s="1">
        <f>[1]节奏总纲!AG280</f>
        <v>91.231363981502867</v>
      </c>
      <c r="AH280" s="1">
        <f>[1]节奏总纲!AH280</f>
        <v>100.11918773119983</v>
      </c>
      <c r="AZ280" s="1">
        <f>[1]节奏总纲!AZ280</f>
        <v>277</v>
      </c>
      <c r="BA280" s="1">
        <f>[1]节奏总纲!BA280</f>
        <v>44.895285442469195</v>
      </c>
      <c r="BB280" s="1">
        <f>[1]节奏总纲!BB280</f>
        <v>46.392810697665375</v>
      </c>
      <c r="BC280" s="1">
        <f>[1]节奏总纲!BC280</f>
        <v>48.341201416264276</v>
      </c>
      <c r="BD280" s="1">
        <f>[1]节奏总纲!BD280</f>
        <v>51.10023349592187</v>
      </c>
      <c r="BE280" s="1">
        <f>[1]节奏总纲!BE280</f>
        <v>55.806259992731242</v>
      </c>
    </row>
    <row r="281" spans="29:57" x14ac:dyDescent="0.15">
      <c r="AC281" s="1">
        <f>[1]节奏总纲!AC281</f>
        <v>278</v>
      </c>
      <c r="AD281" s="1">
        <f>[1]节奏总纲!AD281</f>
        <v>81.23490819272746</v>
      </c>
      <c r="AE281" s="1">
        <f>[1]节奏总纲!AE281</f>
        <v>83.327605266312744</v>
      </c>
      <c r="AF281" s="1">
        <f>[1]节奏总纲!AF281</f>
        <v>86.285949830907029</v>
      </c>
      <c r="AG281" s="1">
        <f>[1]节奏总纲!AG281</f>
        <v>91.2841167841611</v>
      </c>
      <c r="AH281" s="1">
        <f>[1]节奏总纲!AH281</f>
        <v>100.1728227465899</v>
      </c>
      <c r="AZ281" s="1">
        <f>[1]节奏总纲!AZ281</f>
        <v>278</v>
      </c>
      <c r="BA281" s="1">
        <f>[1]节奏总纲!BA281</f>
        <v>44.921140888773095</v>
      </c>
      <c r="BB281" s="1">
        <f>[1]节奏总纲!BB281</f>
        <v>46.416890751188788</v>
      </c>
      <c r="BC281" s="1">
        <f>[1]节奏总纲!BC281</f>
        <v>48.365130082810438</v>
      </c>
      <c r="BD281" s="1">
        <f>[1]节奏总纲!BD281</f>
        <v>51.12333926384072</v>
      </c>
      <c r="BE281" s="1">
        <f>[1]节奏总纲!BE281</f>
        <v>55.831969813928033</v>
      </c>
    </row>
    <row r="282" spans="29:57" x14ac:dyDescent="0.15">
      <c r="AC282" s="1">
        <f>[1]节奏总纲!AC282</f>
        <v>279</v>
      </c>
      <c r="AD282" s="1">
        <f>[1]节奏总纲!AD282</f>
        <v>81.285688244217212</v>
      </c>
      <c r="AE282" s="1">
        <f>[1]节奏总纲!AE282</f>
        <v>83.378315783683405</v>
      </c>
      <c r="AF282" s="1">
        <f>[1]节奏总纲!AF282</f>
        <v>86.335527523350422</v>
      </c>
      <c r="AG282" s="1">
        <f>[1]节奏总纲!AG282</f>
        <v>91.336869586819319</v>
      </c>
      <c r="AH282" s="1">
        <f>[1]节奏总纲!AH282</f>
        <v>100.22645776197997</v>
      </c>
      <c r="AZ282" s="1">
        <f>[1]节奏总纲!AZ282</f>
        <v>279</v>
      </c>
      <c r="BA282" s="1">
        <f>[1]节奏总纲!BA282</f>
        <v>44.946996335076996</v>
      </c>
      <c r="BB282" s="1">
        <f>[1]节奏总纲!BB282</f>
        <v>46.440970804712194</v>
      </c>
      <c r="BC282" s="1">
        <f>[1]节奏总纲!BC282</f>
        <v>48.389058749356593</v>
      </c>
      <c r="BD282" s="1">
        <f>[1]节奏总纲!BD282</f>
        <v>51.146445031759569</v>
      </c>
      <c r="BE282" s="1">
        <f>[1]节奏总纲!BE282</f>
        <v>55.857679635124818</v>
      </c>
    </row>
    <row r="283" spans="29:57" x14ac:dyDescent="0.15">
      <c r="AC283" s="1">
        <f>[1]节奏总纲!AC283</f>
        <v>280</v>
      </c>
      <c r="AD283" s="1">
        <f>[1]节奏总纲!AD283</f>
        <v>81.336468295706965</v>
      </c>
      <c r="AE283" s="1">
        <f>[1]节奏总纲!AE283</f>
        <v>83.429026301054066</v>
      </c>
      <c r="AF283" s="1">
        <f>[1]节奏总纲!AF283</f>
        <v>86.385105215793828</v>
      </c>
      <c r="AG283" s="1">
        <f>[1]节奏总纲!AG283</f>
        <v>91.389622389477552</v>
      </c>
      <c r="AH283" s="1">
        <f>[1]节奏总纲!AH283</f>
        <v>100.28009277737006</v>
      </c>
      <c r="AZ283" s="1">
        <f>[1]节奏总纲!AZ283</f>
        <v>280</v>
      </c>
      <c r="BA283" s="1">
        <f>[1]节奏总纲!BA283</f>
        <v>44.972851781380903</v>
      </c>
      <c r="BB283" s="1">
        <f>[1]节奏总纲!BB283</f>
        <v>46.465050858235607</v>
      </c>
      <c r="BC283" s="1">
        <f>[1]节奏总纲!BC283</f>
        <v>48.412987415902748</v>
      </c>
      <c r="BD283" s="1">
        <f>[1]节奏总纲!BD283</f>
        <v>51.169550799678412</v>
      </c>
      <c r="BE283" s="1">
        <f>[1]节奏总纲!BE283</f>
        <v>55.883389456321602</v>
      </c>
    </row>
    <row r="284" spans="29:57" x14ac:dyDescent="0.15">
      <c r="AC284" s="1">
        <f>[1]节奏总纲!AC284</f>
        <v>281</v>
      </c>
      <c r="AD284" s="1">
        <f>[1]节奏总纲!AD284</f>
        <v>81.387248347196717</v>
      </c>
      <c r="AE284" s="1">
        <f>[1]节奏总纲!AE284</f>
        <v>83.479736818424712</v>
      </c>
      <c r="AF284" s="1">
        <f>[1]节奏总纲!AF284</f>
        <v>86.434682908237235</v>
      </c>
      <c r="AG284" s="1">
        <f>[1]节奏总纲!AG284</f>
        <v>91.442375192135771</v>
      </c>
      <c r="AH284" s="1">
        <f>[1]节奏总纲!AH284</f>
        <v>100.33372779276013</v>
      </c>
      <c r="AZ284" s="1">
        <f>[1]节奏总纲!AZ284</f>
        <v>281</v>
      </c>
      <c r="BA284" s="1">
        <f>[1]节奏总纲!BA284</f>
        <v>44.998707227684804</v>
      </c>
      <c r="BB284" s="1">
        <f>[1]节奏总纲!BB284</f>
        <v>46.489130911759013</v>
      </c>
      <c r="BC284" s="1">
        <f>[1]节奏总纲!BC284</f>
        <v>48.43691608244891</v>
      </c>
      <c r="BD284" s="1">
        <f>[1]节奏总纲!BD284</f>
        <v>51.192656567597261</v>
      </c>
      <c r="BE284" s="1">
        <f>[1]节奏总纲!BE284</f>
        <v>55.909099277518393</v>
      </c>
    </row>
    <row r="285" spans="29:57" x14ac:dyDescent="0.15">
      <c r="AC285" s="1">
        <f>[1]节奏总纲!AC285</f>
        <v>282</v>
      </c>
      <c r="AD285" s="1">
        <f>[1]节奏总纲!AD285</f>
        <v>81.43802839868647</v>
      </c>
      <c r="AE285" s="1">
        <f>[1]节奏总纲!AE285</f>
        <v>83.530447335795373</v>
      </c>
      <c r="AF285" s="1">
        <f>[1]节奏总纲!AF285</f>
        <v>86.484260600680642</v>
      </c>
      <c r="AG285" s="1">
        <f>[1]节奏总纲!AG285</f>
        <v>91.495127994794004</v>
      </c>
      <c r="AH285" s="1">
        <f>[1]节奏总纲!AH285</f>
        <v>100.3873628081502</v>
      </c>
      <c r="AZ285" s="1">
        <f>[1]节奏总纲!AZ285</f>
        <v>282</v>
      </c>
      <c r="BA285" s="1">
        <f>[1]节奏总纲!BA285</f>
        <v>45.021201039060998</v>
      </c>
      <c r="BB285" s="1">
        <f>[1]节奏总纲!BB285</f>
        <v>46.513210965282425</v>
      </c>
      <c r="BC285" s="1">
        <f>[1]节奏总纲!BC285</f>
        <v>48.460844748995065</v>
      </c>
      <c r="BD285" s="1">
        <f>[1]节奏总纲!BD285</f>
        <v>51.215762335516104</v>
      </c>
      <c r="BE285" s="1">
        <f>[1]节奏总纲!BE285</f>
        <v>55.934809098715178</v>
      </c>
    </row>
    <row r="286" spans="29:57" x14ac:dyDescent="0.15">
      <c r="AC286" s="1">
        <f>[1]节奏总纲!AC286</f>
        <v>283</v>
      </c>
      <c r="AD286" s="1">
        <f>[1]节奏总纲!AD286</f>
        <v>81.488808450176222</v>
      </c>
      <c r="AE286" s="1">
        <f>[1]节奏总纲!AE286</f>
        <v>83.581157853166033</v>
      </c>
      <c r="AF286" s="1">
        <f>[1]节奏总纲!AF286</f>
        <v>86.533838293124049</v>
      </c>
      <c r="AG286" s="1">
        <f>[1]节奏总纲!AG286</f>
        <v>91.547880797452237</v>
      </c>
      <c r="AH286" s="1">
        <f>[1]节奏总纲!AH286</f>
        <v>100.44099782354027</v>
      </c>
      <c r="AZ286" s="1">
        <f>[1]节奏总纲!AZ286</f>
        <v>283</v>
      </c>
      <c r="BA286" s="1">
        <f>[1]节奏总纲!BA286</f>
        <v>45.043517922283101</v>
      </c>
      <c r="BB286" s="1">
        <f>[1]节奏总纲!BB286</f>
        <v>46.537291018805831</v>
      </c>
      <c r="BC286" s="1">
        <f>[1]节奏总纲!BC286</f>
        <v>48.48477341554122</v>
      </c>
      <c r="BD286" s="1">
        <f>[1]节奏总纲!BD286</f>
        <v>51.238868103434953</v>
      </c>
      <c r="BE286" s="1">
        <f>[1]节奏总纲!BE286</f>
        <v>55.960518919911962</v>
      </c>
    </row>
    <row r="287" spans="29:57" x14ac:dyDescent="0.15">
      <c r="AC287" s="1">
        <f>[1]节奏总纲!AC287</f>
        <v>284</v>
      </c>
      <c r="AD287" s="1">
        <f>[1]节奏总纲!AD287</f>
        <v>81.539588501665975</v>
      </c>
      <c r="AE287" s="1">
        <f>[1]节奏总纲!AE287</f>
        <v>83.631868370536679</v>
      </c>
      <c r="AF287" s="1">
        <f>[1]节奏总纲!AF287</f>
        <v>86.583415985567456</v>
      </c>
      <c r="AG287" s="1">
        <f>[1]节奏总纲!AG287</f>
        <v>91.600633600110456</v>
      </c>
      <c r="AH287" s="1">
        <f>[1]节奏总纲!AH287</f>
        <v>100.49463283893036</v>
      </c>
      <c r="AZ287" s="1">
        <f>[1]节奏总纲!AZ287</f>
        <v>284</v>
      </c>
      <c r="BA287" s="1">
        <f>[1]节奏总纲!BA287</f>
        <v>45.065834805505204</v>
      </c>
      <c r="BB287" s="1">
        <f>[1]节奏总纲!BB287</f>
        <v>46.561371072329244</v>
      </c>
      <c r="BC287" s="1">
        <f>[1]节奏总纲!BC287</f>
        <v>48.508702082087382</v>
      </c>
      <c r="BD287" s="1">
        <f>[1]节奏总纲!BD287</f>
        <v>51.261973871353796</v>
      </c>
      <c r="BE287" s="1">
        <f>[1]节奏总纲!BE287</f>
        <v>55.986228741108754</v>
      </c>
    </row>
    <row r="288" spans="29:57" x14ac:dyDescent="0.15">
      <c r="AC288" s="1">
        <f>[1]节奏总纲!AC288</f>
        <v>285</v>
      </c>
      <c r="AD288" s="1">
        <f>[1]节奏总纲!AD288</f>
        <v>81.590368553155727</v>
      </c>
      <c r="AE288" s="1">
        <f>[1]节奏总纲!AE288</f>
        <v>83.68257888790734</v>
      </c>
      <c r="AF288" s="1">
        <f>[1]节奏总纲!AF288</f>
        <v>86.632993678010848</v>
      </c>
      <c r="AG288" s="1">
        <f>[1]节奏总纲!AG288</f>
        <v>91.653386402768689</v>
      </c>
      <c r="AH288" s="1">
        <f>[1]节奏总纲!AH288</f>
        <v>100.54826785432043</v>
      </c>
      <c r="AZ288" s="1">
        <f>[1]节奏总纲!AZ288</f>
        <v>285</v>
      </c>
      <c r="BA288" s="1">
        <f>[1]节奏总纲!BA288</f>
        <v>45.088151688727308</v>
      </c>
      <c r="BB288" s="1">
        <f>[1]节奏总纲!BB288</f>
        <v>46.58545112585265</v>
      </c>
      <c r="BC288" s="1">
        <f>[1]节奏总纲!BC288</f>
        <v>48.532630748633537</v>
      </c>
      <c r="BD288" s="1">
        <f>[1]节奏总纲!BD288</f>
        <v>51.285079639272645</v>
      </c>
      <c r="BE288" s="1">
        <f>[1]节奏总纲!BE288</f>
        <v>56.010312347085055</v>
      </c>
    </row>
    <row r="289" spans="29:57" x14ac:dyDescent="0.15">
      <c r="AC289" s="1">
        <f>[1]节奏总纲!AC289</f>
        <v>286</v>
      </c>
      <c r="AD289" s="1">
        <f>[1]节奏总纲!AD289</f>
        <v>81.64114860464548</v>
      </c>
      <c r="AE289" s="1">
        <f>[1]节奏总纲!AE289</f>
        <v>83.733289405278001</v>
      </c>
      <c r="AF289" s="1">
        <f>[1]节奏总纲!AF289</f>
        <v>86.682571370454255</v>
      </c>
      <c r="AG289" s="1">
        <f>[1]节奏总纲!AG289</f>
        <v>91.706139205426922</v>
      </c>
      <c r="AH289" s="1">
        <f>[1]节奏总纲!AH289</f>
        <v>100.6019028697105</v>
      </c>
      <c r="AZ289" s="1">
        <f>[1]节奏总纲!AZ289</f>
        <v>286</v>
      </c>
      <c r="BA289" s="1">
        <f>[1]节奏总纲!BA289</f>
        <v>45.110468571949411</v>
      </c>
      <c r="BB289" s="1">
        <f>[1]节奏总纲!BB289</f>
        <v>46.609531179376063</v>
      </c>
      <c r="BC289" s="1">
        <f>[1]节奏总纲!BC289</f>
        <v>48.556559415179692</v>
      </c>
      <c r="BD289" s="1">
        <f>[1]节奏总纲!BD289</f>
        <v>51.308185407191495</v>
      </c>
      <c r="BE289" s="1">
        <f>[1]节奏总纲!BE289</f>
        <v>56.032520096468168</v>
      </c>
    </row>
    <row r="290" spans="29:57" x14ac:dyDescent="0.15">
      <c r="AC290" s="1">
        <f>[1]节奏总纲!AC290</f>
        <v>287</v>
      </c>
      <c r="AD290" s="1">
        <f>[1]节奏总纲!AD290</f>
        <v>81.691928656135218</v>
      </c>
      <c r="AE290" s="1">
        <f>[1]节奏总纲!AE290</f>
        <v>83.783999922648647</v>
      </c>
      <c r="AF290" s="1">
        <f>[1]节奏总纲!AF290</f>
        <v>86.732149062897662</v>
      </c>
      <c r="AG290" s="1">
        <f>[1]节奏总纲!AG290</f>
        <v>91.758892008085141</v>
      </c>
      <c r="AH290" s="1">
        <f>[1]节奏总纲!AH290</f>
        <v>100.65553788510059</v>
      </c>
      <c r="AZ290" s="1">
        <f>[1]节奏总纲!AZ290</f>
        <v>287</v>
      </c>
      <c r="BA290" s="1">
        <f>[1]节奏总纲!BA290</f>
        <v>45.132785455171515</v>
      </c>
      <c r="BB290" s="1">
        <f>[1]节奏总纲!BB290</f>
        <v>46.633611232899469</v>
      </c>
      <c r="BC290" s="1">
        <f>[1]节奏总纲!BC290</f>
        <v>48.580488081725846</v>
      </c>
      <c r="BD290" s="1">
        <f>[1]节奏总纲!BD290</f>
        <v>51.331291175110337</v>
      </c>
      <c r="BE290" s="1">
        <f>[1]节奏总纲!BE290</f>
        <v>56.054727845851275</v>
      </c>
    </row>
    <row r="291" spans="29:57" x14ac:dyDescent="0.15">
      <c r="AC291" s="1">
        <f>[1]节奏总纲!AC291</f>
        <v>288</v>
      </c>
      <c r="AD291" s="1">
        <f>[1]节奏总纲!AD291</f>
        <v>81.742708707624971</v>
      </c>
      <c r="AE291" s="1">
        <f>[1]节奏总纲!AE291</f>
        <v>83.834710440019307</v>
      </c>
      <c r="AF291" s="1">
        <f>[1]节奏总纲!AF291</f>
        <v>86.781726755341069</v>
      </c>
      <c r="AG291" s="1">
        <f>[1]节奏总纲!AG291</f>
        <v>91.811644810743374</v>
      </c>
      <c r="AH291" s="1">
        <f>[1]节奏总纲!AH291</f>
        <v>100.70917290049066</v>
      </c>
      <c r="AZ291" s="1">
        <f>[1]节奏总纲!AZ291</f>
        <v>288</v>
      </c>
      <c r="BA291" s="1">
        <f>[1]节奏总纲!BA291</f>
        <v>45.155102338393618</v>
      </c>
      <c r="BB291" s="1">
        <f>[1]节奏总纲!BB291</f>
        <v>46.657691286422882</v>
      </c>
      <c r="BC291" s="1">
        <f>[1]节奏总纲!BC291</f>
        <v>48.604416748272008</v>
      </c>
      <c r="BD291" s="1">
        <f>[1]节奏总纲!BD291</f>
        <v>51.354396943029187</v>
      </c>
      <c r="BE291" s="1">
        <f>[1]节奏总纲!BE291</f>
        <v>56.076935595234382</v>
      </c>
    </row>
    <row r="292" spans="29:57" x14ac:dyDescent="0.15">
      <c r="AC292" s="1">
        <f>[1]节奏总纲!AC292</f>
        <v>289</v>
      </c>
      <c r="AD292" s="1">
        <f>[1]节奏总纲!AD292</f>
        <v>81.793488759114723</v>
      </c>
      <c r="AE292" s="1">
        <f>[1]节奏总纲!AE292</f>
        <v>83.885420957389968</v>
      </c>
      <c r="AF292" s="1">
        <f>[1]节奏总纲!AF292</f>
        <v>86.831304447784476</v>
      </c>
      <c r="AG292" s="1">
        <f>[1]节奏总纲!AG292</f>
        <v>91.864397613401607</v>
      </c>
      <c r="AH292" s="1">
        <f>[1]节奏总纲!AH292</f>
        <v>100.76280791588073</v>
      </c>
      <c r="AZ292" s="1">
        <f>[1]节奏总纲!AZ292</f>
        <v>289</v>
      </c>
      <c r="BA292" s="1">
        <f>[1]节奏总纲!BA292</f>
        <v>45.177419221615722</v>
      </c>
      <c r="BB292" s="1">
        <f>[1]节奏总纲!BB292</f>
        <v>46.681771339946287</v>
      </c>
      <c r="BC292" s="1">
        <f>[1]节奏总纲!BC292</f>
        <v>48.628345414818163</v>
      </c>
      <c r="BD292" s="1">
        <f>[1]节奏总纲!BD292</f>
        <v>51.377502710948029</v>
      </c>
      <c r="BE292" s="1">
        <f>[1]节奏总纲!BE292</f>
        <v>56.099143344617488</v>
      </c>
    </row>
    <row r="293" spans="29:57" x14ac:dyDescent="0.15">
      <c r="AC293" s="1">
        <f>[1]节奏总纲!AC293</f>
        <v>290</v>
      </c>
      <c r="AD293" s="1">
        <f>[1]节奏总纲!AD293</f>
        <v>81.844268810604476</v>
      </c>
      <c r="AE293" s="1">
        <f>[1]节奏总纲!AE293</f>
        <v>83.936131474760614</v>
      </c>
      <c r="AF293" s="1">
        <f>[1]节奏总纲!AF293</f>
        <v>86.880882140227882</v>
      </c>
      <c r="AG293" s="1">
        <f>[1]节奏总纲!AG293</f>
        <v>91.917150416059826</v>
      </c>
      <c r="AH293" s="1">
        <f>[1]节奏总纲!AH293</f>
        <v>100.8164429312708</v>
      </c>
      <c r="AZ293" s="1">
        <f>[1]节奏总纲!AZ293</f>
        <v>290</v>
      </c>
      <c r="BA293" s="1">
        <f>[1]节奏总纲!BA293</f>
        <v>45.199736104837825</v>
      </c>
      <c r="BB293" s="1">
        <f>[1]节奏总纲!BB293</f>
        <v>46.7058513934697</v>
      </c>
      <c r="BC293" s="1">
        <f>[1]节奏总纲!BC293</f>
        <v>48.652274081364318</v>
      </c>
      <c r="BD293" s="1">
        <f>[1]节奏总纲!BD293</f>
        <v>51.400608478866879</v>
      </c>
      <c r="BE293" s="1">
        <f>[1]节奏总纲!BE293</f>
        <v>56.121351094000602</v>
      </c>
    </row>
    <row r="294" spans="29:57" x14ac:dyDescent="0.15">
      <c r="AC294" s="1">
        <f>[1]节奏总纲!AC294</f>
        <v>291</v>
      </c>
      <c r="AD294" s="1">
        <f>[1]节奏总纲!AD294</f>
        <v>81.895048862094228</v>
      </c>
      <c r="AE294" s="1">
        <f>[1]节奏总纲!AE294</f>
        <v>83.986841992131275</v>
      </c>
      <c r="AF294" s="1">
        <f>[1]节奏总纲!AF294</f>
        <v>86.930459832671289</v>
      </c>
      <c r="AG294" s="1">
        <f>[1]节奏总纲!AG294</f>
        <v>91.969903218718059</v>
      </c>
      <c r="AH294" s="1">
        <f>[1]节奏总纲!AH294</f>
        <v>100.87007794666089</v>
      </c>
      <c r="AZ294" s="1">
        <f>[1]节奏总纲!AZ294</f>
        <v>291</v>
      </c>
      <c r="BA294" s="1">
        <f>[1]节奏总纲!BA294</f>
        <v>45.222052988059936</v>
      </c>
      <c r="BB294" s="1">
        <f>[1]节奏总纲!BB294</f>
        <v>46.729931446993106</v>
      </c>
      <c r="BC294" s="1">
        <f>[1]节奏总纲!BC294</f>
        <v>48.67620274791048</v>
      </c>
      <c r="BD294" s="1">
        <f>[1]节奏总纲!BD294</f>
        <v>51.423714246785721</v>
      </c>
      <c r="BE294" s="1">
        <f>[1]节奏总纲!BE294</f>
        <v>56.143558843383708</v>
      </c>
    </row>
    <row r="295" spans="29:57" x14ac:dyDescent="0.15">
      <c r="AC295" s="1">
        <f>[1]节奏总纲!AC295</f>
        <v>292</v>
      </c>
      <c r="AD295" s="1">
        <f>[1]节奏总纲!AD295</f>
        <v>81.945828913583981</v>
      </c>
      <c r="AE295" s="1">
        <f>[1]节奏总纲!AE295</f>
        <v>84.036191564035917</v>
      </c>
      <c r="AF295" s="1">
        <f>[1]节奏总纲!AF295</f>
        <v>86.980037525114682</v>
      </c>
      <c r="AG295" s="1">
        <f>[1]节奏总纲!AG295</f>
        <v>92.021521414287719</v>
      </c>
      <c r="AH295" s="1">
        <f>[1]节奏总纲!AH295</f>
        <v>100.92371296205096</v>
      </c>
      <c r="AZ295" s="1">
        <f>[1]节奏总纲!AZ295</f>
        <v>292</v>
      </c>
      <c r="BA295" s="1">
        <f>[1]节奏总纲!BA295</f>
        <v>45.244369871282039</v>
      </c>
      <c r="BB295" s="1">
        <f>[1]节奏总纲!BB295</f>
        <v>46.754011500516519</v>
      </c>
      <c r="BC295" s="1">
        <f>[1]节奏总纲!BC295</f>
        <v>48.700131414456635</v>
      </c>
      <c r="BD295" s="1">
        <f>[1]节奏总纲!BD295</f>
        <v>51.446820014704571</v>
      </c>
      <c r="BE295" s="1">
        <f>[1]节奏总纲!BE295</f>
        <v>56.165766592766815</v>
      </c>
    </row>
    <row r="296" spans="29:57" x14ac:dyDescent="0.15">
      <c r="AC296" s="1">
        <f>[1]节奏总纲!AC296</f>
        <v>293</v>
      </c>
      <c r="AD296" s="1">
        <f>[1]节奏总纲!AD296</f>
        <v>81.996608965073733</v>
      </c>
      <c r="AE296" s="1">
        <f>[1]节奏总纲!AE296</f>
        <v>84.085064274836242</v>
      </c>
      <c r="AF296" s="1">
        <f>[1]节奏总纲!AF296</f>
        <v>87.029133791498197</v>
      </c>
      <c r="AG296" s="1">
        <f>[1]节奏总纲!AG296</f>
        <v>92.071632371634976</v>
      </c>
      <c r="AH296" s="1">
        <f>[1]节奏总纲!AH296</f>
        <v>100.97734797744103</v>
      </c>
      <c r="AZ296" s="1">
        <f>[1]节奏总纲!AZ296</f>
        <v>293</v>
      </c>
      <c r="BA296" s="1">
        <f>[1]节奏总纲!BA296</f>
        <v>45.266686754504143</v>
      </c>
      <c r="BB296" s="1">
        <f>[1]节奏总纲!BB296</f>
        <v>46.778091554039925</v>
      </c>
      <c r="BC296" s="1">
        <f>[1]节奏总纲!BC296</f>
        <v>48.72406008100279</v>
      </c>
      <c r="BD296" s="1">
        <f>[1]节奏总纲!BD296</f>
        <v>51.46992578262342</v>
      </c>
      <c r="BE296" s="1">
        <f>[1]节奏总纲!BE296</f>
        <v>56.187974342149921</v>
      </c>
    </row>
    <row r="297" spans="29:57" x14ac:dyDescent="0.15">
      <c r="AC297" s="1">
        <f>[1]节奏总纲!AC297</f>
        <v>294</v>
      </c>
      <c r="AD297" s="1">
        <f>[1]节奏总纲!AD297</f>
        <v>82.044215515890215</v>
      </c>
      <c r="AE297" s="1">
        <f>[1]节奏总纲!AE297</f>
        <v>84.133936985636566</v>
      </c>
      <c r="AF297" s="1">
        <f>[1]节奏总纲!AF297</f>
        <v>87.077905547159801</v>
      </c>
      <c r="AG297" s="1">
        <f>[1]节奏总纲!AG297</f>
        <v>92.121743328982234</v>
      </c>
      <c r="AH297" s="1">
        <f>[1]节奏总纲!AH297</f>
        <v>101.02868392415382</v>
      </c>
      <c r="AZ297" s="1">
        <f>[1]节奏总纲!AZ297</f>
        <v>294</v>
      </c>
      <c r="BA297" s="1">
        <f>[1]节奏总纲!BA297</f>
        <v>45.289003637726246</v>
      </c>
      <c r="BB297" s="1">
        <f>[1]节奏总纲!BB297</f>
        <v>46.802171607563338</v>
      </c>
      <c r="BC297" s="1">
        <f>[1]节奏总纲!BC297</f>
        <v>48.747988747548945</v>
      </c>
      <c r="BD297" s="1">
        <f>[1]节奏总纲!BD297</f>
        <v>51.493031550542263</v>
      </c>
      <c r="BE297" s="1">
        <f>[1]节奏总纲!BE297</f>
        <v>56.210182091533035</v>
      </c>
    </row>
    <row r="298" spans="29:57" x14ac:dyDescent="0.15">
      <c r="AC298" s="1">
        <f>[1]节奏总纲!AC298</f>
        <v>295</v>
      </c>
      <c r="AD298" s="1">
        <f>[1]节奏总纲!AD298</f>
        <v>82.091594979242089</v>
      </c>
      <c r="AE298" s="1">
        <f>[1]节奏总纲!AE298</f>
        <v>84.182809696436891</v>
      </c>
      <c r="AF298" s="1">
        <f>[1]节奏总纲!AF298</f>
        <v>87.126677302821392</v>
      </c>
      <c r="AG298" s="1">
        <f>[1]节奏总纲!AG298</f>
        <v>92.171854286329506</v>
      </c>
      <c r="AH298" s="1">
        <f>[1]节奏总纲!AH298</f>
        <v>101.07833899530283</v>
      </c>
      <c r="AZ298" s="1">
        <f>[1]节奏总纲!AZ298</f>
        <v>295</v>
      </c>
      <c r="BA298" s="1">
        <f>[1]节奏总纲!BA298</f>
        <v>45.31132052094835</v>
      </c>
      <c r="BB298" s="1">
        <f>[1]节奏总纲!BB298</f>
        <v>46.826251661086744</v>
      </c>
      <c r="BC298" s="1">
        <f>[1]节奏总纲!BC298</f>
        <v>48.771917414095107</v>
      </c>
      <c r="BD298" s="1">
        <f>[1]节奏总纲!BD298</f>
        <v>51.516137318461112</v>
      </c>
      <c r="BE298" s="1">
        <f>[1]节奏总纲!BE298</f>
        <v>56.232389840916142</v>
      </c>
    </row>
    <row r="299" spans="29:57" x14ac:dyDescent="0.15">
      <c r="AC299" s="1">
        <f>[1]节奏总纲!AC299</f>
        <v>296</v>
      </c>
      <c r="AD299" s="1">
        <f>[1]节奏总纲!AD299</f>
        <v>82.138974442593963</v>
      </c>
      <c r="AE299" s="1">
        <f>[1]节奏总纲!AE299</f>
        <v>84.23168240723723</v>
      </c>
      <c r="AF299" s="1">
        <f>[1]节奏总纲!AF299</f>
        <v>87.175449058482982</v>
      </c>
      <c r="AG299" s="1">
        <f>[1]节奏总纲!AG299</f>
        <v>92.221965243676763</v>
      </c>
      <c r="AH299" s="1">
        <f>[1]节奏总纲!AH299</f>
        <v>101.12799406645185</v>
      </c>
      <c r="AZ299" s="1">
        <f>[1]节奏总纲!AZ299</f>
        <v>296</v>
      </c>
      <c r="BA299" s="1">
        <f>[1]节奏总纲!BA299</f>
        <v>45.333637404170453</v>
      </c>
      <c r="BB299" s="1">
        <f>[1]节奏总纲!BB299</f>
        <v>46.850331714610157</v>
      </c>
      <c r="BC299" s="1">
        <f>[1]节奏总纲!BC299</f>
        <v>48.795846080641262</v>
      </c>
      <c r="BD299" s="1">
        <f>[1]节奏总纲!BD299</f>
        <v>51.539243086379955</v>
      </c>
      <c r="BE299" s="1">
        <f>[1]节奏总纲!BE299</f>
        <v>56.254597590299248</v>
      </c>
    </row>
    <row r="300" spans="29:57" x14ac:dyDescent="0.15">
      <c r="AC300" s="1">
        <f>[1]节奏总纲!AC300</f>
        <v>297</v>
      </c>
      <c r="AD300" s="1">
        <f>[1]节奏总纲!AD300</f>
        <v>82.186353905945836</v>
      </c>
      <c r="AE300" s="1">
        <f>[1]节奏总纲!AE300</f>
        <v>84.280555118037555</v>
      </c>
      <c r="AF300" s="1">
        <f>[1]节奏总纲!AF300</f>
        <v>87.224220814144587</v>
      </c>
      <c r="AG300" s="1">
        <f>[1]节奏总纲!AG300</f>
        <v>92.272076201024021</v>
      </c>
      <c r="AH300" s="1">
        <f>[1]节奏总纲!AH300</f>
        <v>101.17764913760085</v>
      </c>
      <c r="AZ300" s="1">
        <f>[1]节奏总纲!AZ300</f>
        <v>297</v>
      </c>
      <c r="BA300" s="1">
        <f>[1]节奏总纲!BA300</f>
        <v>45.355954287392557</v>
      </c>
      <c r="BB300" s="1">
        <f>[1]节奏总纲!BB300</f>
        <v>46.874411768133562</v>
      </c>
      <c r="BC300" s="1">
        <f>[1]节奏总纲!BC300</f>
        <v>48.819774747187417</v>
      </c>
      <c r="BD300" s="1">
        <f>[1]节奏总纲!BD300</f>
        <v>51.562348854298804</v>
      </c>
      <c r="BE300" s="1">
        <f>[1]节奏总纲!BE300</f>
        <v>56.276805339682355</v>
      </c>
    </row>
    <row r="301" spans="29:57" x14ac:dyDescent="0.15">
      <c r="AC301" s="1">
        <f>[1]节奏总纲!AC301</f>
        <v>298</v>
      </c>
      <c r="AD301" s="1">
        <f>[1]节奏总纲!AD301</f>
        <v>82.23373336929771</v>
      </c>
      <c r="AE301" s="1">
        <f>[1]节奏总纲!AE301</f>
        <v>84.329427828837879</v>
      </c>
      <c r="AF301" s="1">
        <f>[1]节奏总纲!AF301</f>
        <v>87.272992569806178</v>
      </c>
      <c r="AG301" s="1">
        <f>[1]节奏总纲!AG301</f>
        <v>92.322187158371293</v>
      </c>
      <c r="AH301" s="1">
        <f>[1]节奏总纲!AH301</f>
        <v>101.22730420874987</v>
      </c>
      <c r="AZ301" s="1">
        <f>[1]节奏总纲!AZ301</f>
        <v>298</v>
      </c>
      <c r="BA301" s="1">
        <f>[1]节奏总纲!BA301</f>
        <v>45.37827117061466</v>
      </c>
      <c r="BB301" s="1">
        <f>[1]节奏总纲!BB301</f>
        <v>46.898491821656968</v>
      </c>
      <c r="BC301" s="1">
        <f>[1]节奏总纲!BC301</f>
        <v>48.843703413733579</v>
      </c>
      <c r="BD301" s="1">
        <f>[1]节奏总纲!BD301</f>
        <v>51.585454622217647</v>
      </c>
      <c r="BE301" s="1">
        <f>[1]节奏总纲!BE301</f>
        <v>56.299013089065468</v>
      </c>
    </row>
    <row r="302" spans="29:57" x14ac:dyDescent="0.15">
      <c r="AC302" s="1">
        <f>[1]节奏总纲!AC302</f>
        <v>299</v>
      </c>
      <c r="AD302" s="1">
        <f>[1]节奏总纲!AD302</f>
        <v>82.281112832649583</v>
      </c>
      <c r="AE302" s="1">
        <f>[1]节奏总纲!AE302</f>
        <v>84.378300539638204</v>
      </c>
      <c r="AF302" s="1">
        <f>[1]节奏总纲!AF302</f>
        <v>87.321764325467768</v>
      </c>
      <c r="AG302" s="1">
        <f>[1]节奏总纲!AG302</f>
        <v>92.37229811571855</v>
      </c>
      <c r="AH302" s="1">
        <f>[1]节奏总纲!AH302</f>
        <v>101.27695927989888</v>
      </c>
      <c r="AZ302" s="1">
        <f>[1]节奏总纲!AZ302</f>
        <v>299</v>
      </c>
      <c r="BA302" s="1">
        <f>[1]节奏总纲!BA302</f>
        <v>45.400588053836763</v>
      </c>
      <c r="BB302" s="1">
        <f>[1]节奏总纲!BB302</f>
        <v>46.922571875180381</v>
      </c>
      <c r="BC302" s="1">
        <f>[1]节奏总纲!BC302</f>
        <v>48.867632080279733</v>
      </c>
      <c r="BD302" s="1">
        <f>[1]节奏总纲!BD302</f>
        <v>51.608560390136496</v>
      </c>
      <c r="BE302" s="1">
        <f>[1]节奏总纲!BE302</f>
        <v>56.321220838448575</v>
      </c>
    </row>
    <row r="303" spans="29:57" x14ac:dyDescent="0.15">
      <c r="AC303" s="1">
        <f>[1]节奏总纲!AC303</f>
        <v>300</v>
      </c>
      <c r="AD303" s="1">
        <f>[1]节奏总纲!AD303</f>
        <v>82.328492296001457</v>
      </c>
      <c r="AE303" s="1">
        <f>[1]节奏总纲!AE303</f>
        <v>84.427173250438543</v>
      </c>
      <c r="AF303" s="1">
        <f>[1]节奏总纲!AF303</f>
        <v>87.370536081129359</v>
      </c>
      <c r="AG303" s="1">
        <f>[1]节奏总纲!AG303</f>
        <v>92.422409073065808</v>
      </c>
      <c r="AH303" s="1">
        <f>[1]节奏总纲!AH303</f>
        <v>101.32661435104789</v>
      </c>
      <c r="AZ303" s="1">
        <f>[1]节奏总纲!AZ303</f>
        <v>300</v>
      </c>
      <c r="BA303" s="1">
        <f>[1]节奏总纲!BA303</f>
        <v>45.422904937058867</v>
      </c>
      <c r="BB303" s="1">
        <f>[1]节奏总纲!BB303</f>
        <v>46.946651928703787</v>
      </c>
      <c r="BC303" s="1">
        <f>[1]节奏总纲!BC303</f>
        <v>48.891560746825888</v>
      </c>
      <c r="BD303" s="1">
        <f>[1]节奏总纲!BD303</f>
        <v>51.631666158055346</v>
      </c>
      <c r="BE303" s="1">
        <f>[1]节奏总纲!BE303</f>
        <v>56.343428587831681</v>
      </c>
    </row>
    <row r="304" spans="29:57" x14ac:dyDescent="0.15">
      <c r="AC304" s="1">
        <f>[1]节奏总纲!AC304</f>
        <v>301</v>
      </c>
      <c r="AD304" s="1">
        <f>[1]节奏总纲!AD304</f>
        <v>82.375871759353331</v>
      </c>
      <c r="AE304" s="1">
        <f>[1]节奏总纲!AE304</f>
        <v>84.476045961238867</v>
      </c>
      <c r="AF304" s="1">
        <f>[1]节奏总纲!AF304</f>
        <v>87.419307836790964</v>
      </c>
      <c r="AG304" s="1">
        <f>[1]节奏总纲!AG304</f>
        <v>92.472520030413079</v>
      </c>
      <c r="AH304" s="1">
        <f>[1]节奏总纲!AH304</f>
        <v>101.3762694221969</v>
      </c>
      <c r="AZ304" s="1">
        <f>[1]节奏总纲!AZ304</f>
        <v>301</v>
      </c>
      <c r="BA304" s="1">
        <f>[1]节奏总纲!BA304</f>
        <v>45.44522182028097</v>
      </c>
      <c r="BB304" s="1">
        <f>[1]节奏总纲!BB304</f>
        <v>46.9707319822272</v>
      </c>
      <c r="BC304" s="1">
        <f>[1]节奏总纲!BC304</f>
        <v>48.91548941337205</v>
      </c>
      <c r="BD304" s="1">
        <f>[1]节奏总纲!BD304</f>
        <v>51.654771925974188</v>
      </c>
      <c r="BE304" s="1">
        <f>[1]节奏总纲!BE304</f>
        <v>56.365636337214795</v>
      </c>
    </row>
    <row r="305" spans="29:57" x14ac:dyDescent="0.15">
      <c r="AC305" s="1">
        <f>[1]节奏总纲!AC305</f>
        <v>302</v>
      </c>
      <c r="AD305" s="1">
        <f>[1]节奏总纲!AD305</f>
        <v>82.423251222705204</v>
      </c>
      <c r="AE305" s="1">
        <f>[1]节奏总纲!AE305</f>
        <v>84.524918672039192</v>
      </c>
      <c r="AF305" s="1">
        <f>[1]节奏总纲!AF305</f>
        <v>87.468079592452554</v>
      </c>
      <c r="AG305" s="1">
        <f>[1]节奏总纲!AG305</f>
        <v>92.522630987760337</v>
      </c>
      <c r="AH305" s="1">
        <f>[1]节奏总纲!AH305</f>
        <v>101.42592449334592</v>
      </c>
      <c r="AZ305" s="1">
        <f>[1]节奏总纲!AZ305</f>
        <v>302</v>
      </c>
      <c r="BA305" s="1">
        <f>[1]节奏总纲!BA305</f>
        <v>45.467538703503074</v>
      </c>
      <c r="BB305" s="1">
        <f>[1]节奏总纲!BB305</f>
        <v>46.994812035750606</v>
      </c>
      <c r="BC305" s="1">
        <f>[1]节奏总纲!BC305</f>
        <v>48.939418079918205</v>
      </c>
      <c r="BD305" s="1">
        <f>[1]节奏总纲!BD305</f>
        <v>51.677877693893038</v>
      </c>
      <c r="BE305" s="1">
        <f>[1]节奏总纲!BE305</f>
        <v>56.387844086597902</v>
      </c>
    </row>
    <row r="306" spans="29:57" x14ac:dyDescent="0.15">
      <c r="AC306" s="1">
        <f>[1]节奏总纲!AC306</f>
        <v>303</v>
      </c>
      <c r="AD306" s="1">
        <f>[1]节奏总纲!AD306</f>
        <v>82.470630686057078</v>
      </c>
      <c r="AE306" s="1">
        <f>[1]节奏总纲!AE306</f>
        <v>84.573791382839516</v>
      </c>
      <c r="AF306" s="1">
        <f>[1]节奏总纲!AF306</f>
        <v>87.516851348114145</v>
      </c>
      <c r="AG306" s="1">
        <f>[1]节奏总纲!AG306</f>
        <v>92.572741945107595</v>
      </c>
      <c r="AH306" s="1">
        <f>[1]节奏总纲!AH306</f>
        <v>101.47557956449492</v>
      </c>
      <c r="AZ306" s="1">
        <f>[1]节奏总纲!AZ306</f>
        <v>303</v>
      </c>
      <c r="BA306" s="1">
        <f>[1]节奏总纲!BA306</f>
        <v>45.489855586725177</v>
      </c>
      <c r="BB306" s="1">
        <f>[1]节奏总纲!BB306</f>
        <v>47.016308935086101</v>
      </c>
      <c r="BC306" s="1">
        <f>[1]节奏总纲!BC306</f>
        <v>48.96334674646436</v>
      </c>
      <c r="BD306" s="1">
        <f>[1]节奏总纲!BD306</f>
        <v>51.70098346181188</v>
      </c>
      <c r="BE306" s="1">
        <f>[1]节奏总纲!BE306</f>
        <v>56.410051835981008</v>
      </c>
    </row>
    <row r="307" spans="29:57" x14ac:dyDescent="0.15">
      <c r="AC307" s="1">
        <f>[1]节奏总纲!AC307</f>
        <v>304</v>
      </c>
      <c r="AD307" s="1">
        <f>[1]节奏总纲!AD307</f>
        <v>82.518010149408951</v>
      </c>
      <c r="AE307" s="1">
        <f>[1]节奏总纲!AE307</f>
        <v>84.622664093639855</v>
      </c>
      <c r="AF307" s="1">
        <f>[1]节奏总纲!AF307</f>
        <v>87.565623103775735</v>
      </c>
      <c r="AG307" s="1">
        <f>[1]节奏总纲!AG307</f>
        <v>92.622852902454852</v>
      </c>
      <c r="AH307" s="1">
        <f>[1]节奏总纲!AH307</f>
        <v>101.52523463564394</v>
      </c>
      <c r="AZ307" s="1">
        <f>[1]节奏总纲!AZ307</f>
        <v>304</v>
      </c>
      <c r="BA307" s="1">
        <f>[1]节奏总纲!BA307</f>
        <v>45.512172469947281</v>
      </c>
      <c r="BB307" s="1">
        <f>[1]节奏总纲!BB307</f>
        <v>47.037096473408994</v>
      </c>
      <c r="BC307" s="1">
        <f>[1]节奏总纲!BC307</f>
        <v>48.987275413010522</v>
      </c>
      <c r="BD307" s="1">
        <f>[1]节奏总纲!BD307</f>
        <v>51.72408922973073</v>
      </c>
      <c r="BE307" s="1">
        <f>[1]节奏总纲!BE307</f>
        <v>56.432259585364115</v>
      </c>
    </row>
    <row r="308" spans="29:57" x14ac:dyDescent="0.15">
      <c r="AC308" s="1">
        <f>[1]节奏总纲!AC308</f>
        <v>305</v>
      </c>
      <c r="AD308" s="1">
        <f>[1]节奏总纲!AD308</f>
        <v>82.565389612760825</v>
      </c>
      <c r="AE308" s="1">
        <f>[1]节奏总纲!AE308</f>
        <v>84.67153680444018</v>
      </c>
      <c r="AF308" s="1">
        <f>[1]节奏总纲!AF308</f>
        <v>87.61439485943734</v>
      </c>
      <c r="AG308" s="1">
        <f>[1]节奏总纲!AG308</f>
        <v>92.672963859802124</v>
      </c>
      <c r="AH308" s="1">
        <f>[1]节奏总纲!AH308</f>
        <v>101.57488970679294</v>
      </c>
      <c r="AZ308" s="1">
        <f>[1]节奏总纲!AZ308</f>
        <v>305</v>
      </c>
      <c r="BA308" s="1">
        <f>[1]节奏总纲!BA308</f>
        <v>45.534489353169384</v>
      </c>
      <c r="BB308" s="1">
        <f>[1]节奏总纲!BB308</f>
        <v>47.057884011731893</v>
      </c>
      <c r="BC308" s="1">
        <f>[1]节奏总纲!BC308</f>
        <v>49.009673493801003</v>
      </c>
      <c r="BD308" s="1">
        <f>[1]节奏总纲!BD308</f>
        <v>51.747194997649579</v>
      </c>
      <c r="BE308" s="1">
        <f>[1]节奏总纲!BE308</f>
        <v>56.454467334747228</v>
      </c>
    </row>
    <row r="309" spans="29:57" x14ac:dyDescent="0.15">
      <c r="AC309" s="1">
        <f>[1]节奏总纲!AC309</f>
        <v>306</v>
      </c>
      <c r="AD309" s="1">
        <f>[1]节奏总纲!AD309</f>
        <v>82.612769076112698</v>
      </c>
      <c r="AE309" s="1">
        <f>[1]节奏总纲!AE309</f>
        <v>84.720409515240505</v>
      </c>
      <c r="AF309" s="1">
        <f>[1]节奏总纲!AF309</f>
        <v>87.66316661509893</v>
      </c>
      <c r="AG309" s="1">
        <f>[1]节奏总纲!AG309</f>
        <v>92.723074817149381</v>
      </c>
      <c r="AH309" s="1">
        <f>[1]节奏总纲!AH309</f>
        <v>101.62454477794196</v>
      </c>
      <c r="AZ309" s="1">
        <f>[1]节奏总纲!AZ309</f>
        <v>306</v>
      </c>
      <c r="BA309" s="1">
        <f>[1]节奏总纲!BA309</f>
        <v>45.556806236391488</v>
      </c>
      <c r="BB309" s="1">
        <f>[1]节奏总纲!BB309</f>
        <v>47.078671550054786</v>
      </c>
      <c r="BC309" s="1">
        <f>[1]节奏总纲!BC309</f>
        <v>49.030333272797542</v>
      </c>
      <c r="BD309" s="1">
        <f>[1]节奏总纲!BD309</f>
        <v>51.770300765568422</v>
      </c>
      <c r="BE309" s="1">
        <f>[1]节奏总纲!BE309</f>
        <v>56.476675084130335</v>
      </c>
    </row>
    <row r="310" spans="29:57" x14ac:dyDescent="0.15">
      <c r="AC310" s="1">
        <f>[1]节奏总纲!AC310</f>
        <v>307</v>
      </c>
      <c r="AD310" s="1">
        <f>[1]节奏总纲!AD310</f>
        <v>82.660148539464572</v>
      </c>
      <c r="AE310" s="1">
        <f>[1]节奏总纲!AE310</f>
        <v>84.769282226040829</v>
      </c>
      <c r="AF310" s="1">
        <f>[1]节奏总纲!AF310</f>
        <v>87.711938370760521</v>
      </c>
      <c r="AG310" s="1">
        <f>[1]节奏总纲!AG310</f>
        <v>92.773185774496639</v>
      </c>
      <c r="AH310" s="1">
        <f>[1]节奏总纲!AH310</f>
        <v>101.67419984909097</v>
      </c>
      <c r="AZ310" s="1">
        <f>[1]节奏总纲!AZ310</f>
        <v>307</v>
      </c>
      <c r="BA310" s="1">
        <f>[1]节奏总纲!BA310</f>
        <v>45.579123119613591</v>
      </c>
      <c r="BB310" s="1">
        <f>[1]节奏总纲!BB310</f>
        <v>47.099459088377678</v>
      </c>
      <c r="BC310" s="1">
        <f>[1]节奏总纲!BC310</f>
        <v>49.05099305179408</v>
      </c>
      <c r="BD310" s="1">
        <f>[1]节奏总纲!BD310</f>
        <v>51.793406533487271</v>
      </c>
      <c r="BE310" s="1">
        <f>[1]节奏总纲!BE310</f>
        <v>56.498882833513441</v>
      </c>
    </row>
    <row r="311" spans="29:57" x14ac:dyDescent="0.15">
      <c r="AC311" s="1">
        <f>[1]节奏总纲!AC311</f>
        <v>308</v>
      </c>
      <c r="AD311" s="1">
        <f>[1]节奏总纲!AD311</f>
        <v>82.707528002816446</v>
      </c>
      <c r="AE311" s="1">
        <f>[1]节奏总纲!AE311</f>
        <v>84.818154936841154</v>
      </c>
      <c r="AF311" s="1">
        <f>[1]节奏总纲!AF311</f>
        <v>87.760710126422126</v>
      </c>
      <c r="AG311" s="1">
        <f>[1]节奏总纲!AG311</f>
        <v>92.823296731843911</v>
      </c>
      <c r="AH311" s="1">
        <f>[1]节奏总纲!AH311</f>
        <v>101.72385492023999</v>
      </c>
      <c r="AZ311" s="1">
        <f>[1]节奏总纲!AZ311</f>
        <v>308</v>
      </c>
      <c r="BA311" s="1">
        <f>[1]节奏总纲!BA311</f>
        <v>45.601440002835695</v>
      </c>
      <c r="BB311" s="1">
        <f>[1]节奏总纲!BB311</f>
        <v>47.12024662670057</v>
      </c>
      <c r="BC311" s="1">
        <f>[1]节奏总纲!BC311</f>
        <v>49.071652830790612</v>
      </c>
      <c r="BD311" s="1">
        <f>[1]节奏总纲!BD311</f>
        <v>51.816512301406114</v>
      </c>
      <c r="BE311" s="1">
        <f>[1]节奏总纲!BE311</f>
        <v>56.521090582896548</v>
      </c>
    </row>
    <row r="312" spans="29:57" x14ac:dyDescent="0.15">
      <c r="AC312" s="1">
        <f>[1]节奏总纲!AC312</f>
        <v>309</v>
      </c>
      <c r="AD312" s="1">
        <f>[1]节奏总纲!AD312</f>
        <v>82.754907466168319</v>
      </c>
      <c r="AE312" s="1">
        <f>[1]节奏总纲!AE312</f>
        <v>84.867027647641493</v>
      </c>
      <c r="AF312" s="1">
        <f>[1]节奏总纲!AF312</f>
        <v>87.809481882083716</v>
      </c>
      <c r="AG312" s="1">
        <f>[1]节奏总纲!AG312</f>
        <v>92.873407689191168</v>
      </c>
      <c r="AH312" s="1">
        <f>[1]节奏总纲!AH312</f>
        <v>101.77350999138899</v>
      </c>
      <c r="AZ312" s="1">
        <f>[1]节奏总纲!AZ312</f>
        <v>309</v>
      </c>
      <c r="BA312" s="1">
        <f>[1]节奏总纲!BA312</f>
        <v>45.623756886057798</v>
      </c>
      <c r="BB312" s="1">
        <f>[1]节奏总纲!BB312</f>
        <v>47.14103416502347</v>
      </c>
      <c r="BC312" s="1">
        <f>[1]节奏总纲!BC312</f>
        <v>49.09231260978715</v>
      </c>
      <c r="BD312" s="1">
        <f>[1]节奏总纲!BD312</f>
        <v>51.839618069324963</v>
      </c>
      <c r="BE312" s="1">
        <f>[1]节奏总纲!BE312</f>
        <v>56.543298332279662</v>
      </c>
    </row>
    <row r="313" spans="29:57" x14ac:dyDescent="0.15">
      <c r="AC313" s="1">
        <f>[1]节奏总纲!AC313</f>
        <v>310</v>
      </c>
      <c r="AD313" s="1">
        <f>[1]节奏总纲!AD313</f>
        <v>82.802286929520193</v>
      </c>
      <c r="AE313" s="1">
        <f>[1]节奏总纲!AE313</f>
        <v>84.915900358441817</v>
      </c>
      <c r="AF313" s="1">
        <f>[1]节奏总纲!AF313</f>
        <v>87.858253637745307</v>
      </c>
      <c r="AG313" s="1">
        <f>[1]节奏总纲!AG313</f>
        <v>92.923518646538426</v>
      </c>
      <c r="AH313" s="1">
        <f>[1]节奏总纲!AH313</f>
        <v>101.82316506253801</v>
      </c>
      <c r="AZ313" s="1">
        <f>[1]节奏总纲!AZ313</f>
        <v>310</v>
      </c>
      <c r="BA313" s="1">
        <f>[1]节奏总纲!BA313</f>
        <v>45.646073769279901</v>
      </c>
      <c r="BB313" s="1">
        <f>[1]节奏总纲!BB313</f>
        <v>47.161821703346362</v>
      </c>
      <c r="BC313" s="1">
        <f>[1]节奏总纲!BC313</f>
        <v>49.112972388783689</v>
      </c>
      <c r="BD313" s="1">
        <f>[1]节奏总纲!BD313</f>
        <v>51.862723837243806</v>
      </c>
      <c r="BE313" s="1">
        <f>[1]节奏总纲!BE313</f>
        <v>56.565506081662768</v>
      </c>
    </row>
    <row r="314" spans="29:57" x14ac:dyDescent="0.15">
      <c r="AC314" s="1">
        <f>[1]节奏总纲!AC314</f>
        <v>311</v>
      </c>
      <c r="AD314" s="1">
        <f>[1]节奏总纲!AD314</f>
        <v>82.849666392872066</v>
      </c>
      <c r="AE314" s="1">
        <f>[1]节奏总纲!AE314</f>
        <v>84.964773069242142</v>
      </c>
      <c r="AF314" s="1">
        <f>[1]节奏总纲!AF314</f>
        <v>87.907025393406897</v>
      </c>
      <c r="AG314" s="1">
        <f>[1]节奏总纲!AG314</f>
        <v>92.973629603885698</v>
      </c>
      <c r="AH314" s="1">
        <f>[1]节奏总纲!AH314</f>
        <v>101.87282013368701</v>
      </c>
      <c r="AZ314" s="1">
        <f>[1]节奏总纲!AZ314</f>
        <v>311</v>
      </c>
      <c r="BA314" s="1">
        <f>[1]节奏总纲!BA314</f>
        <v>45.668390652502012</v>
      </c>
      <c r="BB314" s="1">
        <f>[1]节奏总纲!BB314</f>
        <v>47.182609241669255</v>
      </c>
      <c r="BC314" s="1">
        <f>[1]节奏总纲!BC314</f>
        <v>49.133632167780227</v>
      </c>
      <c r="BD314" s="1">
        <f>[1]节奏总纲!BD314</f>
        <v>51.885829605162655</v>
      </c>
      <c r="BE314" s="1">
        <f>[1]节奏总纲!BE314</f>
        <v>56.587713831045875</v>
      </c>
    </row>
    <row r="315" spans="29:57" x14ac:dyDescent="0.15">
      <c r="AC315" s="1">
        <f>[1]节奏总纲!AC315</f>
        <v>312</v>
      </c>
      <c r="AD315" s="1">
        <f>[1]节奏总纲!AD315</f>
        <v>82.89704585622394</v>
      </c>
      <c r="AE315" s="1">
        <f>[1]节奏总纲!AE315</f>
        <v>85.012531647506819</v>
      </c>
      <c r="AF315" s="1">
        <f>[1]节奏总纲!AF315</f>
        <v>87.955797149068502</v>
      </c>
      <c r="AG315" s="1">
        <f>[1]节奏总纲!AG315</f>
        <v>93.022367647203353</v>
      </c>
      <c r="AH315" s="1">
        <f>[1]节奏总纲!AH315</f>
        <v>101.92247520483603</v>
      </c>
      <c r="AZ315" s="1">
        <f>[1]节奏总纲!AZ315</f>
        <v>312</v>
      </c>
      <c r="BA315" s="1">
        <f>[1]节奏总纲!BA315</f>
        <v>45.690707535724115</v>
      </c>
      <c r="BB315" s="1">
        <f>[1]节奏总纲!BB315</f>
        <v>47.203396779992147</v>
      </c>
      <c r="BC315" s="1">
        <f>[1]节奏总纲!BC315</f>
        <v>49.154291946776759</v>
      </c>
      <c r="BD315" s="1">
        <f>[1]节奏总纲!BD315</f>
        <v>51.908935373081505</v>
      </c>
      <c r="BE315" s="1">
        <f>[1]节奏总纲!BE315</f>
        <v>56.609921580428981</v>
      </c>
    </row>
    <row r="316" spans="29:57" x14ac:dyDescent="0.15">
      <c r="AC316" s="1">
        <f>[1]节奏总纲!AC316</f>
        <v>313</v>
      </c>
      <c r="AD316" s="1">
        <f>[1]节奏总纲!AD316</f>
        <v>82.944425319575814</v>
      </c>
      <c r="AE316" s="1">
        <f>[1]节奏总纲!AE316</f>
        <v>85.057414064088832</v>
      </c>
      <c r="AF316" s="1">
        <f>[1]节奏总纲!AF316</f>
        <v>88.004756197276762</v>
      </c>
      <c r="AG316" s="1">
        <f>[1]节奏总纲!AG316</f>
        <v>93.069580693431178</v>
      </c>
      <c r="AH316" s="1">
        <f>[1]节奏总纲!AH316</f>
        <v>101.97213027598504</v>
      </c>
      <c r="AZ316" s="1">
        <f>[1]节奏总纲!AZ316</f>
        <v>313</v>
      </c>
      <c r="BA316" s="1">
        <f>[1]节奏总纲!BA316</f>
        <v>45.713024418946219</v>
      </c>
      <c r="BB316" s="1">
        <f>[1]节奏总纲!BB316</f>
        <v>47.224184318315039</v>
      </c>
      <c r="BC316" s="1">
        <f>[1]节奏总纲!BC316</f>
        <v>49.174951725773298</v>
      </c>
      <c r="BD316" s="1">
        <f>[1]节奏总纲!BD316</f>
        <v>51.932041141000347</v>
      </c>
      <c r="BE316" s="1">
        <f>[1]节奏总纲!BE316</f>
        <v>56.632129329812095</v>
      </c>
    </row>
    <row r="317" spans="29:57" x14ac:dyDescent="0.15">
      <c r="AC317" s="1">
        <f>[1]节奏总纲!AC317</f>
        <v>314</v>
      </c>
      <c r="AD317" s="1">
        <f>[1]节奏总纲!AD317</f>
        <v>82.991804782927687</v>
      </c>
      <c r="AE317" s="1">
        <f>[1]节奏总纲!AE317</f>
        <v>85.10229648067083</v>
      </c>
      <c r="AF317" s="1">
        <f>[1]节奏总纲!AF317</f>
        <v>88.05552724748766</v>
      </c>
      <c r="AG317" s="1">
        <f>[1]节奏总纲!AG317</f>
        <v>93.116793739659002</v>
      </c>
      <c r="AH317" s="1">
        <f>[1]节奏总纲!AH317</f>
        <v>102.01969836502204</v>
      </c>
      <c r="AZ317" s="1">
        <f>[1]节奏总纲!AZ317</f>
        <v>314</v>
      </c>
      <c r="BA317" s="1">
        <f>[1]节奏总纲!BA317</f>
        <v>45.735341302168322</v>
      </c>
      <c r="BB317" s="1">
        <f>[1]节奏总纲!BB317</f>
        <v>47.244971856637939</v>
      </c>
      <c r="BC317" s="1">
        <f>[1]节奏总纲!BC317</f>
        <v>49.195611504769836</v>
      </c>
      <c r="BD317" s="1">
        <f>[1]节奏总纲!BD317</f>
        <v>51.955146908919197</v>
      </c>
      <c r="BE317" s="1">
        <f>[1]节奏总纲!BE317</f>
        <v>56.654337079195201</v>
      </c>
    </row>
    <row r="318" spans="29:57" x14ac:dyDescent="0.15">
      <c r="AC318" s="1">
        <f>[1]节奏总纲!AC318</f>
        <v>315</v>
      </c>
      <c r="AD318" s="1">
        <f>[1]节奏总纲!AD318</f>
        <v>83.03656019452734</v>
      </c>
      <c r="AE318" s="1">
        <f>[1]节奏总纲!AE318</f>
        <v>85.147178897252829</v>
      </c>
      <c r="AF318" s="1">
        <f>[1]节奏总纲!AF318</f>
        <v>88.106298297698572</v>
      </c>
      <c r="AG318" s="1">
        <f>[1]节奏总纲!AG318</f>
        <v>93.164006785886826</v>
      </c>
      <c r="AH318" s="1">
        <f>[1]节奏总纲!AH318</f>
        <v>102.06459660376342</v>
      </c>
      <c r="AZ318" s="1">
        <f>[1]节奏总纲!AZ318</f>
        <v>315</v>
      </c>
      <c r="BA318" s="1">
        <f>[1]节奏总纲!BA318</f>
        <v>45.757658185390426</v>
      </c>
      <c r="BB318" s="1">
        <f>[1]节奏总纲!BB318</f>
        <v>47.265759394960831</v>
      </c>
      <c r="BC318" s="1">
        <f>[1]节奏总纲!BC318</f>
        <v>49.216271283766375</v>
      </c>
      <c r="BD318" s="1">
        <f>[1]节奏总纲!BD318</f>
        <v>51.978252676838039</v>
      </c>
      <c r="BE318" s="1">
        <f>[1]节奏总纲!BE318</f>
        <v>56.676544828578308</v>
      </c>
    </row>
    <row r="319" spans="29:57" x14ac:dyDescent="0.15">
      <c r="AC319" s="1">
        <f>[1]节奏总纲!AC319</f>
        <v>316</v>
      </c>
      <c r="AD319" s="1">
        <f>[1]节奏总纲!AD319</f>
        <v>83.080766796955942</v>
      </c>
      <c r="AE319" s="1">
        <f>[1]节奏总纲!AE319</f>
        <v>85.192061313834827</v>
      </c>
      <c r="AF319" s="1">
        <f>[1]节奏总纲!AF319</f>
        <v>88.15706934790947</v>
      </c>
      <c r="AG319" s="1">
        <f>[1]节奏总纲!AG319</f>
        <v>93.211219832114651</v>
      </c>
      <c r="AH319" s="1">
        <f>[1]节奏总纲!AH319</f>
        <v>102.1094948425048</v>
      </c>
      <c r="AZ319" s="1">
        <f>[1]节奏总纲!AZ319</f>
        <v>316</v>
      </c>
      <c r="BA319" s="1">
        <f>[1]节奏总纲!BA319</f>
        <v>45.779975068612529</v>
      </c>
      <c r="BB319" s="1">
        <f>[1]节奏总纲!BB319</f>
        <v>47.286546933283724</v>
      </c>
      <c r="BC319" s="1">
        <f>[1]节奏总纲!BC319</f>
        <v>49.236931062762913</v>
      </c>
      <c r="BD319" s="1">
        <f>[1]节奏总纲!BD319</f>
        <v>52.001173105835825</v>
      </c>
      <c r="BE319" s="1">
        <f>[1]节奏总纲!BE319</f>
        <v>56.698752577961415</v>
      </c>
    </row>
    <row r="320" spans="29:57" x14ac:dyDescent="0.15">
      <c r="AC320" s="1">
        <f>[1]节奏总纲!AC320</f>
        <v>317</v>
      </c>
      <c r="AD320" s="1">
        <f>[1]节奏总纲!AD320</f>
        <v>83.124973399384558</v>
      </c>
      <c r="AE320" s="1">
        <f>[1]节奏总纲!AE320</f>
        <v>85.236943730416826</v>
      </c>
      <c r="AF320" s="1">
        <f>[1]节奏总纲!AF320</f>
        <v>88.207840398120382</v>
      </c>
      <c r="AG320" s="1">
        <f>[1]节奏总纲!AG320</f>
        <v>93.258432878342475</v>
      </c>
      <c r="AH320" s="1">
        <f>[1]节奏总纲!AH320</f>
        <v>102.15439308124618</v>
      </c>
      <c r="AZ320" s="1">
        <f>[1]节奏总纲!AZ320</f>
        <v>317</v>
      </c>
      <c r="BA320" s="1">
        <f>[1]节奏总纲!BA320</f>
        <v>45.802291951834633</v>
      </c>
      <c r="BB320" s="1">
        <f>[1]节奏总纲!BB320</f>
        <v>47.307334471606616</v>
      </c>
      <c r="BC320" s="1">
        <f>[1]节奏总纲!BC320</f>
        <v>49.257590841759445</v>
      </c>
      <c r="BD320" s="1">
        <f>[1]节奏总纲!BD320</f>
        <v>52.021126446631868</v>
      </c>
      <c r="BE320" s="1">
        <f>[1]节奏总纲!BE320</f>
        <v>56.720960327344528</v>
      </c>
    </row>
    <row r="321" spans="29:57" x14ac:dyDescent="0.15">
      <c r="AC321" s="1">
        <f>[1]节奏总纲!AC321</f>
        <v>318</v>
      </c>
      <c r="AD321" s="1">
        <f>[1]节奏总纲!AD321</f>
        <v>83.16918000181316</v>
      </c>
      <c r="AE321" s="1">
        <f>[1]节奏总纲!AE321</f>
        <v>85.281826146998839</v>
      </c>
      <c r="AF321" s="1">
        <f>[1]节奏总纲!AF321</f>
        <v>88.258611448331294</v>
      </c>
      <c r="AG321" s="1">
        <f>[1]节奏总纲!AG321</f>
        <v>93.3056459245703</v>
      </c>
      <c r="AH321" s="1">
        <f>[1]节奏总纲!AH321</f>
        <v>102.19929131998755</v>
      </c>
      <c r="AZ321" s="1">
        <f>[1]节奏总纲!AZ321</f>
        <v>318</v>
      </c>
      <c r="BA321" s="1">
        <f>[1]节奏总纲!BA321</f>
        <v>45.824608835056736</v>
      </c>
      <c r="BB321" s="1">
        <f>[1]节奏总纲!BB321</f>
        <v>47.328122009929508</v>
      </c>
      <c r="BC321" s="1">
        <f>[1]节奏总纲!BC321</f>
        <v>49.278250620755983</v>
      </c>
      <c r="BD321" s="1">
        <f>[1]节奏总纲!BD321</f>
        <v>52.041079787427918</v>
      </c>
      <c r="BE321" s="1">
        <f>[1]节奏总纲!BE321</f>
        <v>56.743168076727635</v>
      </c>
    </row>
    <row r="322" spans="29:57" x14ac:dyDescent="0.15">
      <c r="AC322" s="1">
        <f>[1]节奏总纲!AC322</f>
        <v>319</v>
      </c>
      <c r="AD322" s="1">
        <f>[1]节奏总纲!AD322</f>
        <v>83.213386604241776</v>
      </c>
      <c r="AE322" s="1">
        <f>[1]节奏总纲!AE322</f>
        <v>85.326708563580837</v>
      </c>
      <c r="AF322" s="1">
        <f>[1]节奏总纲!AF322</f>
        <v>88.309382498542192</v>
      </c>
      <c r="AG322" s="1">
        <f>[1]节奏总纲!AG322</f>
        <v>93.352858970798124</v>
      </c>
      <c r="AH322" s="1">
        <f>[1]节奏总纲!AH322</f>
        <v>102.24418955872893</v>
      </c>
      <c r="AZ322" s="1">
        <f>[1]节奏总纲!AZ322</f>
        <v>319</v>
      </c>
      <c r="BA322" s="1">
        <f>[1]节奏总纲!BA322</f>
        <v>45.84692571827884</v>
      </c>
      <c r="BB322" s="1">
        <f>[1]节奏总纲!BB322</f>
        <v>47.348909548252408</v>
      </c>
      <c r="BC322" s="1">
        <f>[1]节奏总纲!BC322</f>
        <v>49.298910399752522</v>
      </c>
      <c r="BD322" s="1">
        <f>[1]节奏总纲!BD322</f>
        <v>52.061033128223968</v>
      </c>
      <c r="BE322" s="1">
        <f>[1]节奏总纲!BE322</f>
        <v>56.765375826110741</v>
      </c>
    </row>
    <row r="323" spans="29:57" x14ac:dyDescent="0.15">
      <c r="AC323" s="1">
        <f>[1]节奏总纲!AC323</f>
        <v>320</v>
      </c>
      <c r="AD323" s="1">
        <f>[1]节奏总纲!AD323</f>
        <v>83.257593206670379</v>
      </c>
      <c r="AE323" s="1">
        <f>[1]节奏总纲!AE323</f>
        <v>85.371590980162836</v>
      </c>
      <c r="AF323" s="1">
        <f>[1]节奏总纲!AF323</f>
        <v>88.360153548753104</v>
      </c>
      <c r="AG323" s="1">
        <f>[1]节奏总纲!AG323</f>
        <v>93.400072017025948</v>
      </c>
      <c r="AH323" s="1">
        <f>[1]节奏总纲!AH323</f>
        <v>102.28908779747032</v>
      </c>
      <c r="AZ323" s="1">
        <f>[1]节奏总纲!AZ323</f>
        <v>320</v>
      </c>
      <c r="BA323" s="1">
        <f>[1]节奏总纲!BA323</f>
        <v>45.869242601500943</v>
      </c>
      <c r="BB323" s="1">
        <f>[1]节奏总纲!BB323</f>
        <v>47.3696970865753</v>
      </c>
      <c r="BC323" s="1">
        <f>[1]节奏总纲!BC323</f>
        <v>49.319570178749061</v>
      </c>
      <c r="BD323" s="1">
        <f>[1]节奏总纲!BD323</f>
        <v>52.080986469020011</v>
      </c>
      <c r="BE323" s="1">
        <f>[1]节奏总纲!BE323</f>
        <v>56.787583575493848</v>
      </c>
    </row>
    <row r="324" spans="29:57" x14ac:dyDescent="0.15">
      <c r="AC324" s="1">
        <f>[1]节奏总纲!AC324</f>
        <v>321</v>
      </c>
      <c r="AD324" s="1">
        <f>[1]节奏总纲!AD324</f>
        <v>83.301799809098995</v>
      </c>
      <c r="AE324" s="1">
        <f>[1]节奏总纲!AE324</f>
        <v>85.416473396744834</v>
      </c>
      <c r="AF324" s="1">
        <f>[1]节奏总纲!AF324</f>
        <v>88.410924598964016</v>
      </c>
      <c r="AG324" s="1">
        <f>[1]节奏总纲!AG324</f>
        <v>93.447285063253773</v>
      </c>
      <c r="AH324" s="1">
        <f>[1]节奏总纲!AH324</f>
        <v>102.3339860362117</v>
      </c>
      <c r="AZ324" s="1">
        <f>[1]节奏总纲!AZ324</f>
        <v>321</v>
      </c>
      <c r="BA324" s="1">
        <f>[1]节奏总纲!BA324</f>
        <v>45.891559484723047</v>
      </c>
      <c r="BB324" s="1">
        <f>[1]节奏总纲!BB324</f>
        <v>47.390484624898193</v>
      </c>
      <c r="BC324" s="1">
        <f>[1]节奏总纲!BC324</f>
        <v>49.340229957745592</v>
      </c>
      <c r="BD324" s="1">
        <f>[1]节奏总纲!BD324</f>
        <v>52.100939809816062</v>
      </c>
      <c r="BE324" s="1">
        <f>[1]节奏总纲!BE324</f>
        <v>56.809791324876961</v>
      </c>
    </row>
    <row r="325" spans="29:57" x14ac:dyDescent="0.15">
      <c r="AC325" s="1">
        <f>[1]节奏总纲!AC325</f>
        <v>322</v>
      </c>
      <c r="AD325" s="1">
        <f>[1]节奏总纲!AD325</f>
        <v>83.346006411527597</v>
      </c>
      <c r="AE325" s="1">
        <f>[1]节奏总纲!AE325</f>
        <v>85.461355813326847</v>
      </c>
      <c r="AF325" s="1">
        <f>[1]节奏总纲!AF325</f>
        <v>88.461695649174914</v>
      </c>
      <c r="AG325" s="1">
        <f>[1]节奏总纲!AG325</f>
        <v>93.494498109481597</v>
      </c>
      <c r="AH325" s="1">
        <f>[1]节奏总纲!AH325</f>
        <v>102.37888427495307</v>
      </c>
      <c r="AZ325" s="1">
        <f>[1]节奏总纲!AZ325</f>
        <v>322</v>
      </c>
      <c r="BA325" s="1">
        <f>[1]节奏总纲!BA325</f>
        <v>45.91387636794515</v>
      </c>
      <c r="BB325" s="1">
        <f>[1]节奏总纲!BB325</f>
        <v>47.411272163221085</v>
      </c>
      <c r="BC325" s="1">
        <f>[1]节奏总纲!BC325</f>
        <v>49.360889736742131</v>
      </c>
      <c r="BD325" s="1">
        <f>[1]节奏总纲!BD325</f>
        <v>52.120893150612112</v>
      </c>
      <c r="BE325" s="1">
        <f>[1]节奏总纲!BE325</f>
        <v>56.831999074260068</v>
      </c>
    </row>
    <row r="326" spans="29:57" x14ac:dyDescent="0.15">
      <c r="AC326" s="1">
        <f>[1]节奏总纲!AC326</f>
        <v>323</v>
      </c>
      <c r="AD326" s="1">
        <f>[1]节奏总纲!AD326</f>
        <v>83.390213013956213</v>
      </c>
      <c r="AE326" s="1">
        <f>[1]节奏总纲!AE326</f>
        <v>85.506238229908845</v>
      </c>
      <c r="AF326" s="1">
        <f>[1]节奏总纲!AF326</f>
        <v>88.512466699385826</v>
      </c>
      <c r="AG326" s="1">
        <f>[1]节奏总纲!AG326</f>
        <v>93.541711155709422</v>
      </c>
      <c r="AH326" s="1">
        <f>[1]节奏总纲!AH326</f>
        <v>102.42378251369445</v>
      </c>
      <c r="AZ326" s="1">
        <f>[1]节奏总纲!AZ326</f>
        <v>323</v>
      </c>
      <c r="BA326" s="1">
        <f>[1]节奏总纲!BA326</f>
        <v>45.936193251167253</v>
      </c>
      <c r="BB326" s="1">
        <f>[1]节奏总纲!BB326</f>
        <v>47.432059701543984</v>
      </c>
      <c r="BC326" s="1">
        <f>[1]节奏总纲!BC326</f>
        <v>49.381549515738669</v>
      </c>
      <c r="BD326" s="1">
        <f>[1]节奏总纲!BD326</f>
        <v>52.140846491408155</v>
      </c>
      <c r="BE326" s="1">
        <f>[1]节奏总纲!BE326</f>
        <v>56.854206823643175</v>
      </c>
    </row>
    <row r="327" spans="29:57" x14ac:dyDescent="0.15">
      <c r="AC327" s="1">
        <f>[1]节奏总纲!AC327</f>
        <v>324</v>
      </c>
      <c r="AD327" s="1">
        <f>[1]节奏总纲!AD327</f>
        <v>83.434419616384815</v>
      </c>
      <c r="AE327" s="1">
        <f>[1]节奏总纲!AE327</f>
        <v>85.551120646490844</v>
      </c>
      <c r="AF327" s="1">
        <f>[1]节奏总纲!AF327</f>
        <v>88.563237749596723</v>
      </c>
      <c r="AG327" s="1">
        <f>[1]节奏总纲!AG327</f>
        <v>93.588924201937246</v>
      </c>
      <c r="AH327" s="1">
        <f>[1]节奏总纲!AH327</f>
        <v>102.46868075243583</v>
      </c>
      <c r="AZ327" s="1">
        <f>[1]节奏总纲!AZ327</f>
        <v>324</v>
      </c>
      <c r="BA327" s="1">
        <f>[1]节奏总纲!BA327</f>
        <v>45.958510134389357</v>
      </c>
      <c r="BB327" s="1">
        <f>[1]节奏总纲!BB327</f>
        <v>47.452847239866877</v>
      </c>
      <c r="BC327" s="1">
        <f>[1]节奏总纲!BC327</f>
        <v>49.402209294735208</v>
      </c>
      <c r="BD327" s="1">
        <f>[1]节奏总纲!BD327</f>
        <v>52.160799832204205</v>
      </c>
      <c r="BE327" s="1">
        <f>[1]节奏总纲!BE327</f>
        <v>56.876414573026281</v>
      </c>
    </row>
    <row r="328" spans="29:57" x14ac:dyDescent="0.15">
      <c r="AC328" s="1">
        <f>[1]节奏总纲!AC328</f>
        <v>325</v>
      </c>
      <c r="AD328" s="1">
        <f>[1]节奏总纲!AD328</f>
        <v>83.478626218813432</v>
      </c>
      <c r="AE328" s="1">
        <f>[1]节奏总纲!AE328</f>
        <v>85.596003063072843</v>
      </c>
      <c r="AF328" s="1">
        <f>[1]节奏总纲!AF328</f>
        <v>88.614008799807635</v>
      </c>
      <c r="AG328" s="1">
        <f>[1]节奏总纲!AG328</f>
        <v>93.63613724816507</v>
      </c>
      <c r="AH328" s="1">
        <f>[1]节奏总纲!AH328</f>
        <v>102.51357899117721</v>
      </c>
      <c r="AZ328" s="1">
        <f>[1]节奏总纲!AZ328</f>
        <v>325</v>
      </c>
      <c r="BA328" s="1">
        <f>[1]节奏总纲!BA328</f>
        <v>45.98082701761146</v>
      </c>
      <c r="BB328" s="1">
        <f>[1]节奏总纲!BB328</f>
        <v>47.473634778189769</v>
      </c>
      <c r="BC328" s="1">
        <f>[1]节奏总纲!BC328</f>
        <v>49.422869073731739</v>
      </c>
      <c r="BD328" s="1">
        <f>[1]节奏总纲!BD328</f>
        <v>52.180753173000248</v>
      </c>
      <c r="BE328" s="1">
        <f>[1]节奏总纲!BE328</f>
        <v>56.898622322409395</v>
      </c>
    </row>
    <row r="329" spans="29:57" x14ac:dyDescent="0.15">
      <c r="AC329" s="1">
        <f>[1]节奏总纲!AC329</f>
        <v>326</v>
      </c>
      <c r="AD329" s="1">
        <f>[1]节奏总纲!AD329</f>
        <v>83.522832821242034</v>
      </c>
      <c r="AE329" s="1">
        <f>[1]节奏总纲!AE329</f>
        <v>85.640885479654855</v>
      </c>
      <c r="AF329" s="1">
        <f>[1]节奏总纲!AF329</f>
        <v>88.664779850018547</v>
      </c>
      <c r="AG329" s="1">
        <f>[1]节奏总纲!AG329</f>
        <v>93.683350294392895</v>
      </c>
      <c r="AH329" s="1">
        <f>[1]节奏总纲!AH329</f>
        <v>102.55847722991859</v>
      </c>
      <c r="AZ329" s="1">
        <f>[1]节奏总纲!AZ329</f>
        <v>326</v>
      </c>
      <c r="BA329" s="1">
        <f>[1]节奏总纲!BA329</f>
        <v>46.002713830586146</v>
      </c>
      <c r="BB329" s="1">
        <f>[1]节奏总纲!BB329</f>
        <v>47.494422316512662</v>
      </c>
      <c r="BC329" s="1">
        <f>[1]节奏总纲!BC329</f>
        <v>49.443528852728278</v>
      </c>
      <c r="BD329" s="1">
        <f>[1]节奏总纲!BD329</f>
        <v>52.200706513796298</v>
      </c>
      <c r="BE329" s="1">
        <f>[1]节奏总纲!BE329</f>
        <v>56.920830071792501</v>
      </c>
    </row>
    <row r="330" spans="29:57" x14ac:dyDescent="0.15">
      <c r="AC330" s="1">
        <f>[1]节奏总纲!AC330</f>
        <v>327</v>
      </c>
      <c r="AD330" s="1">
        <f>[1]节奏总纲!AD330</f>
        <v>83.56703942367065</v>
      </c>
      <c r="AE330" s="1">
        <f>[1]节奏总纲!AE330</f>
        <v>85.685767896236854</v>
      </c>
      <c r="AF330" s="1">
        <f>[1]节奏总纲!AF330</f>
        <v>88.715550900229445</v>
      </c>
      <c r="AG330" s="1">
        <f>[1]节奏总纲!AG330</f>
        <v>93.730563340620719</v>
      </c>
      <c r="AH330" s="1">
        <f>[1]节奏总纲!AH330</f>
        <v>102.60337546865996</v>
      </c>
      <c r="AZ330" s="1">
        <f>[1]节奏总纲!AZ330</f>
        <v>327</v>
      </c>
      <c r="BA330" s="1">
        <f>[1]节奏总纲!BA330</f>
        <v>46.021977873404879</v>
      </c>
      <c r="BB330" s="1">
        <f>[1]节奏总纲!BB330</f>
        <v>47.515209854835554</v>
      </c>
      <c r="BC330" s="1">
        <f>[1]节奏总纲!BC330</f>
        <v>49.464188631724817</v>
      </c>
      <c r="BD330" s="1">
        <f>[1]节奏总纲!BD330</f>
        <v>52.220659854592348</v>
      </c>
      <c r="BE330" s="1">
        <f>[1]节奏总纲!BE330</f>
        <v>56.943037821175608</v>
      </c>
    </row>
    <row r="331" spans="29:57" x14ac:dyDescent="0.15">
      <c r="AC331" s="1">
        <f>[1]节奏总纲!AC331</f>
        <v>328</v>
      </c>
      <c r="AD331" s="1">
        <f>[1]节奏总纲!AD331</f>
        <v>83.611246026099252</v>
      </c>
      <c r="AE331" s="1">
        <f>[1]节奏总纲!AE331</f>
        <v>85.730650312818852</v>
      </c>
      <c r="AF331" s="1">
        <f>[1]节奏总纲!AF331</f>
        <v>88.766321950440357</v>
      </c>
      <c r="AG331" s="1">
        <f>[1]节奏总纲!AG331</f>
        <v>93.777776386848544</v>
      </c>
      <c r="AH331" s="1">
        <f>[1]节奏总纲!AH331</f>
        <v>102.64827370740134</v>
      </c>
      <c r="AZ331" s="1">
        <f>[1]节奏总纲!AZ331</f>
        <v>328</v>
      </c>
      <c r="BA331" s="1">
        <f>[1]节奏总纲!BA331</f>
        <v>46.041241916223605</v>
      </c>
      <c r="BB331" s="1">
        <f>[1]节奏总纲!BB331</f>
        <v>47.535997393158453</v>
      </c>
      <c r="BC331" s="1">
        <f>[1]节奏总纲!BC331</f>
        <v>49.484848410721355</v>
      </c>
      <c r="BD331" s="1">
        <f>[1]节奏总纲!BD331</f>
        <v>52.240613195388391</v>
      </c>
      <c r="BE331" s="1">
        <f>[1]节奏总纲!BE331</f>
        <v>56.965245570558714</v>
      </c>
    </row>
    <row r="332" spans="29:57" x14ac:dyDescent="0.15">
      <c r="AC332" s="1">
        <f>[1]节奏总纲!AC332</f>
        <v>329</v>
      </c>
      <c r="AD332" s="1">
        <f>[1]节奏总纲!AD332</f>
        <v>83.655452628527868</v>
      </c>
      <c r="AE332" s="1">
        <f>[1]节奏总纲!AE332</f>
        <v>85.775532729400851</v>
      </c>
      <c r="AF332" s="1">
        <f>[1]节奏总纲!AF332</f>
        <v>88.817093000651269</v>
      </c>
      <c r="AG332" s="1">
        <f>[1]节奏总纲!AG332</f>
        <v>93.824989433076368</v>
      </c>
      <c r="AH332" s="1">
        <f>[1]节奏总纲!AH332</f>
        <v>102.69317194614273</v>
      </c>
      <c r="AZ332" s="1">
        <f>[1]节奏总纲!AZ332</f>
        <v>329</v>
      </c>
      <c r="BA332" s="1">
        <f>[1]节奏总纲!BA332</f>
        <v>46.060505959042331</v>
      </c>
      <c r="BB332" s="1">
        <f>[1]节奏总纲!BB332</f>
        <v>47.556784931481346</v>
      </c>
      <c r="BC332" s="1">
        <f>[1]节奏总纲!BC332</f>
        <v>49.505508189717887</v>
      </c>
      <c r="BD332" s="1">
        <f>[1]节奏总纲!BD332</f>
        <v>52.260566536184442</v>
      </c>
      <c r="BE332" s="1">
        <f>[1]节奏总纲!BE332</f>
        <v>56.987453319941828</v>
      </c>
    </row>
    <row r="333" spans="29:57" x14ac:dyDescent="0.15">
      <c r="AC333" s="1">
        <f>[1]节奏总纲!AC333</f>
        <v>330</v>
      </c>
      <c r="AD333" s="1">
        <f>[1]节奏总纲!AD333</f>
        <v>83.69965923095647</v>
      </c>
      <c r="AE333" s="1">
        <f>[1]节奏总纲!AE333</f>
        <v>85.820415145982849</v>
      </c>
      <c r="AF333" s="1">
        <f>[1]节奏总纲!AF333</f>
        <v>88.867864050862167</v>
      </c>
      <c r="AG333" s="1">
        <f>[1]节奏总纲!AG333</f>
        <v>93.872202479304192</v>
      </c>
      <c r="AH333" s="1">
        <f>[1]节奏总纲!AH333</f>
        <v>102.73807018488411</v>
      </c>
      <c r="AZ333" s="1">
        <f>[1]节奏总纲!AZ333</f>
        <v>330</v>
      </c>
      <c r="BA333" s="1">
        <f>[1]节奏总纲!BA333</f>
        <v>46.079770001861057</v>
      </c>
      <c r="BB333" s="1">
        <f>[1]节奏总纲!BB333</f>
        <v>47.577572469804238</v>
      </c>
      <c r="BC333" s="1">
        <f>[1]节奏总纲!BC333</f>
        <v>49.526167968714425</v>
      </c>
      <c r="BD333" s="1">
        <f>[1]节奏总纲!BD333</f>
        <v>52.280519876980485</v>
      </c>
      <c r="BE333" s="1">
        <f>[1]节奏总纲!BE333</f>
        <v>57.008345591208631</v>
      </c>
    </row>
    <row r="334" spans="29:57" x14ac:dyDescent="0.15">
      <c r="AC334" s="1">
        <f>[1]节奏总纲!AC334</f>
        <v>331</v>
      </c>
      <c r="AD334" s="1">
        <f>[1]节奏总纲!AD334</f>
        <v>83.743865833385087</v>
      </c>
      <c r="AE334" s="1">
        <f>[1]节奏总纲!AE334</f>
        <v>85.865297562564862</v>
      </c>
      <c r="AF334" s="1">
        <f>[1]节奏总纲!AF334</f>
        <v>88.918635101073079</v>
      </c>
      <c r="AG334" s="1">
        <f>[1]节奏总纲!AG334</f>
        <v>93.919415525532017</v>
      </c>
      <c r="AH334" s="1">
        <f>[1]节奏总纲!AH334</f>
        <v>102.78296842362549</v>
      </c>
      <c r="AZ334" s="1">
        <f>[1]节奏总纲!AZ334</f>
        <v>331</v>
      </c>
      <c r="BA334" s="1">
        <f>[1]节奏总纲!BA334</f>
        <v>46.099034044679783</v>
      </c>
      <c r="BB334" s="1">
        <f>[1]节奏总纲!BB334</f>
        <v>47.598360008127131</v>
      </c>
      <c r="BC334" s="1">
        <f>[1]节奏总纲!BC334</f>
        <v>49.546827747710964</v>
      </c>
      <c r="BD334" s="1">
        <f>[1]节奏总纲!BD334</f>
        <v>52.300473217776535</v>
      </c>
      <c r="BE334" s="1">
        <f>[1]节奏总纲!BE334</f>
        <v>57.027529471561998</v>
      </c>
    </row>
    <row r="335" spans="29:57" x14ac:dyDescent="0.15">
      <c r="AC335" s="1">
        <f>[1]节奏总纲!AC335</f>
        <v>332</v>
      </c>
      <c r="AD335" s="1">
        <f>[1]节奏总纲!AD335</f>
        <v>83.788072435813689</v>
      </c>
      <c r="AE335" s="1">
        <f>[1]节奏总纲!AE335</f>
        <v>85.910179979146861</v>
      </c>
      <c r="AF335" s="1">
        <f>[1]节奏总纲!AF335</f>
        <v>88.969406151283977</v>
      </c>
      <c r="AG335" s="1">
        <f>[1]节奏总纲!AG335</f>
        <v>93.966628571759841</v>
      </c>
      <c r="AH335" s="1">
        <f>[1]节奏总纲!AH335</f>
        <v>102.82786666236686</v>
      </c>
      <c r="AZ335" s="1">
        <f>[1]节奏总纲!AZ335</f>
        <v>332</v>
      </c>
      <c r="BA335" s="1">
        <f>[1]节奏总纲!BA335</f>
        <v>46.118298087498509</v>
      </c>
      <c r="BB335" s="1">
        <f>[1]节奏总纲!BB335</f>
        <v>47.619147546450023</v>
      </c>
      <c r="BC335" s="1">
        <f>[1]节奏总纲!BC335</f>
        <v>49.567487526707502</v>
      </c>
      <c r="BD335" s="1">
        <f>[1]节奏总纲!BD335</f>
        <v>52.320426558572585</v>
      </c>
      <c r="BE335" s="1">
        <f>[1]节奏总纲!BE335</f>
        <v>57.046713351915365</v>
      </c>
    </row>
    <row r="336" spans="29:57" x14ac:dyDescent="0.15">
      <c r="AC336" s="1">
        <f>[1]节奏总纲!AC336</f>
        <v>333</v>
      </c>
      <c r="AD336" s="1">
        <f>[1]节奏总纲!AD336</f>
        <v>83.832279038242305</v>
      </c>
      <c r="AE336" s="1">
        <f>[1]节奏总纲!AE336</f>
        <v>85.955062395728859</v>
      </c>
      <c r="AF336" s="1">
        <f>[1]节奏总纲!AF336</f>
        <v>89.018466905731287</v>
      </c>
      <c r="AG336" s="1">
        <f>[1]节奏总纲!AG336</f>
        <v>94.012923283729691</v>
      </c>
      <c r="AH336" s="1">
        <f>[1]节奏总纲!AH336</f>
        <v>102.87276490110824</v>
      </c>
      <c r="AZ336" s="1">
        <f>[1]节奏总纲!AZ336</f>
        <v>333</v>
      </c>
      <c r="BA336" s="1">
        <f>[1]节奏总纲!BA336</f>
        <v>46.137562130317242</v>
      </c>
      <c r="BB336" s="1">
        <f>[1]节奏总纲!BB336</f>
        <v>47.639935084772922</v>
      </c>
      <c r="BC336" s="1">
        <f>[1]节奏总纲!BC336</f>
        <v>49.588147305704041</v>
      </c>
      <c r="BD336" s="1">
        <f>[1]节奏总纲!BD336</f>
        <v>52.340379899368628</v>
      </c>
      <c r="BE336" s="1">
        <f>[1]节奏总纲!BE336</f>
        <v>57.065897232268732</v>
      </c>
    </row>
    <row r="337" spans="29:57" x14ac:dyDescent="0.15">
      <c r="AC337" s="1">
        <f>[1]节奏总纲!AC337</f>
        <v>334</v>
      </c>
      <c r="AD337" s="1">
        <f>[1]节奏总纲!AD337</f>
        <v>83.876485640670907</v>
      </c>
      <c r="AE337" s="1">
        <f>[1]节奏总纲!AE337</f>
        <v>85.999944812310858</v>
      </c>
      <c r="AF337" s="1">
        <f>[1]节奏总纲!AF337</f>
        <v>89.064934410075779</v>
      </c>
      <c r="AG337" s="1">
        <f>[1]节奏总纲!AG337</f>
        <v>94.057003939090123</v>
      </c>
      <c r="AH337" s="1">
        <f>[1]节奏总纲!AH337</f>
        <v>102.91766313984962</v>
      </c>
      <c r="AZ337" s="1">
        <f>[1]节奏总纲!AZ337</f>
        <v>334</v>
      </c>
      <c r="BA337" s="1">
        <f>[1]节奏总纲!BA337</f>
        <v>46.156826173135968</v>
      </c>
      <c r="BB337" s="1">
        <f>[1]节奏总纲!BB337</f>
        <v>47.660722623095815</v>
      </c>
      <c r="BC337" s="1">
        <f>[1]节奏总纲!BC337</f>
        <v>49.608807084700572</v>
      </c>
      <c r="BD337" s="1">
        <f>[1]节奏总纲!BD337</f>
        <v>52.360333240164678</v>
      </c>
      <c r="BE337" s="1">
        <f>[1]节奏总纲!BE337</f>
        <v>57.085081112622099</v>
      </c>
    </row>
    <row r="338" spans="29:57" x14ac:dyDescent="0.15">
      <c r="AC338" s="1">
        <f>[1]节奏总纲!AC338</f>
        <v>335</v>
      </c>
      <c r="AD338" s="1">
        <f>[1]节奏总纲!AD338</f>
        <v>83.920692243099523</v>
      </c>
      <c r="AE338" s="1">
        <f>[1]节奏总纲!AE338</f>
        <v>86.041129946887025</v>
      </c>
      <c r="AF338" s="1">
        <f>[1]节奏总纲!AF338</f>
        <v>89.11140191442027</v>
      </c>
      <c r="AG338" s="1">
        <f>[1]节奏总纲!AG338</f>
        <v>94.101084594450555</v>
      </c>
      <c r="AH338" s="1">
        <f>[1]节奏总纲!AH338</f>
        <v>102.962561378591</v>
      </c>
      <c r="AZ338" s="1">
        <f>[1]节奏总纲!AZ338</f>
        <v>335</v>
      </c>
      <c r="BA338" s="1">
        <f>[1]节奏总纲!BA338</f>
        <v>46.176090215954694</v>
      </c>
      <c r="BB338" s="1">
        <f>[1]节奏总纲!BB338</f>
        <v>47.681510161418707</v>
      </c>
      <c r="BC338" s="1">
        <f>[1]节奏总纲!BC338</f>
        <v>49.629466863697111</v>
      </c>
      <c r="BD338" s="1">
        <f>[1]节奏总纲!BD338</f>
        <v>52.380286580960728</v>
      </c>
      <c r="BE338" s="1">
        <f>[1]节奏总纲!BE338</f>
        <v>57.104264992975466</v>
      </c>
    </row>
    <row r="339" spans="29:57" x14ac:dyDescent="0.15">
      <c r="AC339" s="1">
        <f>[1]节奏总纲!AC339</f>
        <v>336</v>
      </c>
      <c r="AD339" s="1">
        <f>[1]节奏总纲!AD339</f>
        <v>83.964898845528126</v>
      </c>
      <c r="AE339" s="1">
        <f>[1]节奏总纲!AE339</f>
        <v>86.082310529666103</v>
      </c>
      <c r="AF339" s="1">
        <f>[1]节奏总纲!AF339</f>
        <v>89.157869418764761</v>
      </c>
      <c r="AG339" s="1">
        <f>[1]节奏总纲!AG339</f>
        <v>94.145165249810972</v>
      </c>
      <c r="AH339" s="1">
        <f>[1]节奏总纲!AH339</f>
        <v>103.00673656424885</v>
      </c>
      <c r="AZ339" s="1">
        <f>[1]节奏总纲!AZ339</f>
        <v>336</v>
      </c>
      <c r="BA339" s="1">
        <f>[1]节奏总纲!BA339</f>
        <v>46.19535425877342</v>
      </c>
      <c r="BB339" s="1">
        <f>[1]节奏总纲!BB339</f>
        <v>47.7022976997416</v>
      </c>
      <c r="BC339" s="1">
        <f>[1]节奏总纲!BC339</f>
        <v>49.65012664269365</v>
      </c>
      <c r="BD339" s="1">
        <f>[1]节奏总纲!BD339</f>
        <v>52.400239921756771</v>
      </c>
      <c r="BE339" s="1">
        <f>[1]节奏总纲!BE339</f>
        <v>57.123448873328833</v>
      </c>
    </row>
    <row r="340" spans="29:57" x14ac:dyDescent="0.15">
      <c r="AC340" s="1">
        <f>[1]节奏总纲!AC340</f>
        <v>337</v>
      </c>
      <c r="AD340" s="1">
        <f>[1]节奏总纲!AD340</f>
        <v>84.008495683346354</v>
      </c>
      <c r="AE340" s="1">
        <f>[1]节奏总纲!AE340</f>
        <v>86.12349111244518</v>
      </c>
      <c r="AF340" s="1">
        <f>[1]节奏总纲!AF340</f>
        <v>89.204336923109267</v>
      </c>
      <c r="AG340" s="1">
        <f>[1]节奏总纲!AG340</f>
        <v>94.189245905171404</v>
      </c>
      <c r="AH340" s="1">
        <f>[1]节奏总纲!AH340</f>
        <v>103.04728286259964</v>
      </c>
      <c r="AZ340" s="1">
        <f>[1]节奏总纲!AZ340</f>
        <v>337</v>
      </c>
      <c r="BA340" s="1">
        <f>[1]节奏总纲!BA340</f>
        <v>46.214618301592147</v>
      </c>
      <c r="BB340" s="1">
        <f>[1]节奏总纲!BB340</f>
        <v>47.723085238064499</v>
      </c>
      <c r="BC340" s="1">
        <f>[1]节奏总纲!BC340</f>
        <v>49.670786421690188</v>
      </c>
      <c r="BD340" s="1">
        <f>[1]节奏总纲!BD340</f>
        <v>52.420193262552822</v>
      </c>
      <c r="BE340" s="1">
        <f>[1]节奏总纲!BE340</f>
        <v>57.1426327536822</v>
      </c>
    </row>
    <row r="341" spans="29:57" x14ac:dyDescent="0.15">
      <c r="AC341" s="1">
        <f>[1]节奏总纲!AC341</f>
        <v>338</v>
      </c>
      <c r="AD341" s="1">
        <f>[1]节奏总纲!AD341</f>
        <v>84.049741901856009</v>
      </c>
      <c r="AE341" s="1">
        <f>[1]节奏总纲!AE341</f>
        <v>86.164671695224243</v>
      </c>
      <c r="AF341" s="1">
        <f>[1]节奏总纲!AF341</f>
        <v>89.250804427453758</v>
      </c>
      <c r="AG341" s="1">
        <f>[1]节奏总纲!AG341</f>
        <v>94.233326560531836</v>
      </c>
      <c r="AH341" s="1">
        <f>[1]节奏总纲!AH341</f>
        <v>103.08782916095045</v>
      </c>
      <c r="AZ341" s="1">
        <f>[1]节奏总纲!AZ341</f>
        <v>338</v>
      </c>
      <c r="BA341" s="1">
        <f>[1]节奏总纲!BA341</f>
        <v>46.23388234441088</v>
      </c>
      <c r="BB341" s="1">
        <f>[1]节奏总纲!BB341</f>
        <v>47.743872776387391</v>
      </c>
      <c r="BC341" s="1">
        <f>[1]节奏总纲!BC341</f>
        <v>49.69144620068672</v>
      </c>
      <c r="BD341" s="1">
        <f>[1]节奏总纲!BD341</f>
        <v>52.440146603348865</v>
      </c>
      <c r="BE341" s="1">
        <f>[1]节奏总纲!BE341</f>
        <v>57.161816634035567</v>
      </c>
    </row>
    <row r="342" spans="29:57" x14ac:dyDescent="0.15">
      <c r="AC342" s="1">
        <f>[1]节奏总纲!AC342</f>
        <v>339</v>
      </c>
      <c r="AD342" s="1">
        <f>[1]节奏总纲!AD342</f>
        <v>84.090988120365651</v>
      </c>
      <c r="AE342" s="1">
        <f>[1]节奏总纲!AE342</f>
        <v>86.20585227800332</v>
      </c>
      <c r="AF342" s="1">
        <f>[1]节奏总纲!AF342</f>
        <v>89.29727193179825</v>
      </c>
      <c r="AG342" s="1">
        <f>[1]节奏总纲!AG342</f>
        <v>94.277407215892268</v>
      </c>
      <c r="AH342" s="1">
        <f>[1]节奏总纲!AH342</f>
        <v>103.12837545930124</v>
      </c>
      <c r="AZ342" s="1">
        <f>[1]节奏总纲!AZ342</f>
        <v>339</v>
      </c>
      <c r="BA342" s="1">
        <f>[1]节奏总纲!BA342</f>
        <v>46.253146387229606</v>
      </c>
      <c r="BB342" s="1">
        <f>[1]节奏总纲!BB342</f>
        <v>47.764660314710284</v>
      </c>
      <c r="BC342" s="1">
        <f>[1]节奏总纲!BC342</f>
        <v>49.712105979683258</v>
      </c>
      <c r="BD342" s="1">
        <f>[1]节奏总纲!BD342</f>
        <v>52.460099944144915</v>
      </c>
      <c r="BE342" s="1">
        <f>[1]节奏总纲!BE342</f>
        <v>57.181000514388934</v>
      </c>
    </row>
    <row r="343" spans="29:57" x14ac:dyDescent="0.15">
      <c r="AC343" s="1">
        <f>[1]节奏总纲!AC343</f>
        <v>340</v>
      </c>
      <c r="AD343" s="1">
        <f>[1]节奏总纲!AD343</f>
        <v>84.132234338875293</v>
      </c>
      <c r="AE343" s="1">
        <f>[1]节奏总纲!AE343</f>
        <v>86.247032860782397</v>
      </c>
      <c r="AF343" s="1">
        <f>[1]节奏总纲!AF343</f>
        <v>89.343739436142741</v>
      </c>
      <c r="AG343" s="1">
        <f>[1]节奏总纲!AG343</f>
        <v>94.3214878712527</v>
      </c>
      <c r="AH343" s="1">
        <f>[1]节奏总纲!AH343</f>
        <v>103.16892175765203</v>
      </c>
      <c r="AZ343" s="1">
        <f>[1]节奏总纲!AZ343</f>
        <v>340</v>
      </c>
      <c r="BA343" s="1">
        <f>[1]节奏总纲!BA343</f>
        <v>46.272410430048332</v>
      </c>
      <c r="BB343" s="1">
        <f>[1]节奏总纲!BB343</f>
        <v>47.785447853033176</v>
      </c>
      <c r="BC343" s="1">
        <f>[1]节奏总纲!BC343</f>
        <v>49.732765758679797</v>
      </c>
      <c r="BD343" s="1">
        <f>[1]节奏总纲!BD343</f>
        <v>52.480053284940965</v>
      </c>
      <c r="BE343" s="1">
        <f>[1]节奏总纲!BE343</f>
        <v>57.200184394742301</v>
      </c>
    </row>
    <row r="344" spans="29:57" x14ac:dyDescent="0.15">
      <c r="AC344" s="1">
        <f>[1]节奏总纲!AC344</f>
        <v>341</v>
      </c>
      <c r="AD344" s="1">
        <f>[1]节奏总纲!AD344</f>
        <v>84.173480557384934</v>
      </c>
      <c r="AE344" s="1">
        <f>[1]节奏总纲!AE344</f>
        <v>86.288213443561474</v>
      </c>
      <c r="AF344" s="1">
        <f>[1]节奏总纲!AF344</f>
        <v>89.390206940487232</v>
      </c>
      <c r="AG344" s="1">
        <f>[1]节奏总纲!AG344</f>
        <v>94.365568526613131</v>
      </c>
      <c r="AH344" s="1">
        <f>[1]节奏总纲!AH344</f>
        <v>103.20946805600283</v>
      </c>
      <c r="AZ344" s="1">
        <f>[1]节奏总纲!AZ344</f>
        <v>341</v>
      </c>
      <c r="BA344" s="1">
        <f>[1]节奏总纲!BA344</f>
        <v>46.291674472867058</v>
      </c>
      <c r="BB344" s="1">
        <f>[1]节奏总纲!BB344</f>
        <v>47.806235391356068</v>
      </c>
      <c r="BC344" s="1">
        <f>[1]节奏总纲!BC344</f>
        <v>49.753425537676335</v>
      </c>
      <c r="BD344" s="1">
        <f>[1]节奏总纲!BD344</f>
        <v>52.500006625737008</v>
      </c>
      <c r="BE344" s="1">
        <f>[1]节奏总纲!BE344</f>
        <v>57.219368275095675</v>
      </c>
    </row>
    <row r="345" spans="29:57" x14ac:dyDescent="0.15">
      <c r="AC345" s="1">
        <f>[1]节奏总纲!AC345</f>
        <v>342</v>
      </c>
      <c r="AD345" s="1">
        <f>[1]节奏总纲!AD345</f>
        <v>84.214726775894576</v>
      </c>
      <c r="AE345" s="1">
        <f>[1]节奏总纲!AE345</f>
        <v>86.329394026340537</v>
      </c>
      <c r="AF345" s="1">
        <f>[1]节奏总纲!AF345</f>
        <v>89.436674444831723</v>
      </c>
      <c r="AG345" s="1">
        <f>[1]节奏总纲!AG345</f>
        <v>94.409649181973549</v>
      </c>
      <c r="AH345" s="1">
        <f>[1]节奏总纲!AH345</f>
        <v>103.25001435435362</v>
      </c>
      <c r="AZ345" s="1">
        <f>[1]节奏总纲!AZ345</f>
        <v>342</v>
      </c>
      <c r="BA345" s="1">
        <f>[1]节奏总纲!BA345</f>
        <v>46.310938515685784</v>
      </c>
      <c r="BB345" s="1">
        <f>[1]节奏总纲!BB345</f>
        <v>47.827022929678968</v>
      </c>
      <c r="BC345" s="1">
        <f>[1]节奏总纲!BC345</f>
        <v>49.774085316672867</v>
      </c>
      <c r="BD345" s="1">
        <f>[1]节奏总纲!BD345</f>
        <v>52.519959966533058</v>
      </c>
      <c r="BE345" s="1">
        <f>[1]节奏总纲!BE345</f>
        <v>57.238552155449042</v>
      </c>
    </row>
    <row r="346" spans="29:57" x14ac:dyDescent="0.15">
      <c r="AC346" s="1">
        <f>[1]节奏总纲!AC346</f>
        <v>343</v>
      </c>
      <c r="AD346" s="1">
        <f>[1]节奏总纲!AD346</f>
        <v>84.255972994404218</v>
      </c>
      <c r="AE346" s="1">
        <f>[1]节奏总纲!AE346</f>
        <v>86.370574609119615</v>
      </c>
      <c r="AF346" s="1">
        <f>[1]节奏总纲!AF346</f>
        <v>89.483141949176215</v>
      </c>
      <c r="AG346" s="1">
        <f>[1]节奏总纲!AG346</f>
        <v>94.453729837333981</v>
      </c>
      <c r="AH346" s="1">
        <f>[1]节奏总纲!AH346</f>
        <v>103.29056065270443</v>
      </c>
      <c r="AZ346" s="1">
        <f>[1]节奏总纲!AZ346</f>
        <v>343</v>
      </c>
      <c r="BA346" s="1">
        <f>[1]节奏总纲!BA346</f>
        <v>46.330202558504517</v>
      </c>
      <c r="BB346" s="1">
        <f>[1]节奏总纲!BB346</f>
        <v>47.84781046800186</v>
      </c>
      <c r="BC346" s="1">
        <f>[1]节奏总纲!BC346</f>
        <v>49.794745095669406</v>
      </c>
      <c r="BD346" s="1">
        <f>[1]节奏总纲!BD346</f>
        <v>52.539913307329101</v>
      </c>
      <c r="BE346" s="1">
        <f>[1]节奏总纲!BE346</f>
        <v>57.257736035802409</v>
      </c>
    </row>
    <row r="347" spans="29:57" x14ac:dyDescent="0.15">
      <c r="AC347" s="1">
        <f>[1]节奏总纲!AC347</f>
        <v>344</v>
      </c>
      <c r="AD347" s="1">
        <f>[1]节奏总纲!AD347</f>
        <v>84.297219212913859</v>
      </c>
      <c r="AE347" s="1">
        <f>[1]节奏总纲!AE347</f>
        <v>86.411755191898692</v>
      </c>
      <c r="AF347" s="1">
        <f>[1]节奏总纲!AF347</f>
        <v>89.529609453520706</v>
      </c>
      <c r="AG347" s="1">
        <f>[1]节奏总纲!AG347</f>
        <v>94.497810492694413</v>
      </c>
      <c r="AH347" s="1">
        <f>[1]节奏总纲!AH347</f>
        <v>103.33110695105522</v>
      </c>
      <c r="AZ347" s="1">
        <f>[1]节奏总纲!AZ347</f>
        <v>344</v>
      </c>
      <c r="BA347" s="1">
        <f>[1]节奏总纲!BA347</f>
        <v>46.349466601323243</v>
      </c>
      <c r="BB347" s="1">
        <f>[1]节奏总纲!BB347</f>
        <v>47.868598006324753</v>
      </c>
      <c r="BC347" s="1">
        <f>[1]节奏总纲!BC347</f>
        <v>49.815404874665944</v>
      </c>
      <c r="BD347" s="1">
        <f>[1]节奏总纲!BD347</f>
        <v>52.559866648125151</v>
      </c>
      <c r="BE347" s="1">
        <f>[1]节奏总纲!BE347</f>
        <v>57.276919916155776</v>
      </c>
    </row>
    <row r="348" spans="29:57" x14ac:dyDescent="0.15">
      <c r="AC348" s="1">
        <f>[1]节奏总纲!AC348</f>
        <v>345</v>
      </c>
      <c r="AD348" s="1">
        <f>[1]节奏总纲!AD348</f>
        <v>84.338465431423501</v>
      </c>
      <c r="AE348" s="1">
        <f>[1]节奏总纲!AE348</f>
        <v>86.452935774677769</v>
      </c>
      <c r="AF348" s="1">
        <f>[1]节奏总纲!AF348</f>
        <v>89.576076957865197</v>
      </c>
      <c r="AG348" s="1">
        <f>[1]节奏总纲!AG348</f>
        <v>94.541891148054845</v>
      </c>
      <c r="AH348" s="1">
        <f>[1]节奏总纲!AH348</f>
        <v>103.37165324940601</v>
      </c>
      <c r="AZ348" s="1">
        <f>[1]节奏总纲!AZ348</f>
        <v>345</v>
      </c>
      <c r="BA348" s="1">
        <f>[1]节奏总纲!BA348</f>
        <v>46.368730644141969</v>
      </c>
      <c r="BB348" s="1">
        <f>[1]节奏总纲!BB348</f>
        <v>47.889385544647645</v>
      </c>
      <c r="BC348" s="1">
        <f>[1]节奏总纲!BC348</f>
        <v>49.836064653662483</v>
      </c>
      <c r="BD348" s="1">
        <f>[1]节奏总纲!BD348</f>
        <v>52.579819988921201</v>
      </c>
      <c r="BE348" s="1">
        <f>[1]节奏总纲!BE348</f>
        <v>57.296103796509144</v>
      </c>
    </row>
    <row r="349" spans="29:57" x14ac:dyDescent="0.15">
      <c r="AC349" s="1">
        <f>[1]节奏总纲!AC349</f>
        <v>346</v>
      </c>
      <c r="AD349" s="1">
        <f>[1]节奏总纲!AD349</f>
        <v>84.379711649933142</v>
      </c>
      <c r="AE349" s="1">
        <f>[1]节奏总纲!AE349</f>
        <v>86.494116357456846</v>
      </c>
      <c r="AF349" s="1">
        <f>[1]节奏总纲!AF349</f>
        <v>89.622544462209689</v>
      </c>
      <c r="AG349" s="1">
        <f>[1]节奏总纲!AG349</f>
        <v>94.585971803415276</v>
      </c>
      <c r="AH349" s="1">
        <f>[1]节奏总纲!AH349</f>
        <v>103.41219954775681</v>
      </c>
      <c r="AZ349" s="1">
        <f>[1]节奏总纲!AZ349</f>
        <v>346</v>
      </c>
      <c r="BA349" s="1">
        <f>[1]节奏总纲!BA349</f>
        <v>46.387994686960695</v>
      </c>
      <c r="BB349" s="1">
        <f>[1]节奏总纲!BB349</f>
        <v>47.910173082970537</v>
      </c>
      <c r="BC349" s="1">
        <f>[1]节奏总纲!BC349</f>
        <v>49.856724432659014</v>
      </c>
      <c r="BD349" s="1">
        <f>[1]节奏总纲!BD349</f>
        <v>52.599773329717245</v>
      </c>
      <c r="BE349" s="1">
        <f>[1]节奏总纲!BE349</f>
        <v>57.315287676862511</v>
      </c>
    </row>
    <row r="350" spans="29:57" x14ac:dyDescent="0.15">
      <c r="AC350" s="1">
        <f>[1]节奏总纲!AC350</f>
        <v>347</v>
      </c>
      <c r="AD350" s="1">
        <f>[1]节奏总纲!AD350</f>
        <v>84.420957868442784</v>
      </c>
      <c r="AE350" s="1">
        <f>[1]节奏总纲!AE350</f>
        <v>86.535296940235909</v>
      </c>
      <c r="AF350" s="1">
        <f>[1]节奏总纲!AF350</f>
        <v>89.66901196655418</v>
      </c>
      <c r="AG350" s="1">
        <f>[1]节奏总纲!AG350</f>
        <v>94.630052458775694</v>
      </c>
      <c r="AH350" s="1">
        <f>[1]节奏总纲!AH350</f>
        <v>103.4527458461076</v>
      </c>
      <c r="AZ350" s="1">
        <f>[1]节奏总纲!AZ350</f>
        <v>347</v>
      </c>
      <c r="BA350" s="1">
        <f>[1]节奏总纲!BA350</f>
        <v>46.407258729779421</v>
      </c>
      <c r="BB350" s="1">
        <f>[1]节奏总纲!BB350</f>
        <v>47.930960621293437</v>
      </c>
      <c r="BC350" s="1">
        <f>[1]节奏总纲!BC350</f>
        <v>49.877384211655553</v>
      </c>
      <c r="BD350" s="1">
        <f>[1]节奏总纲!BD350</f>
        <v>52.619726670513295</v>
      </c>
      <c r="BE350" s="1">
        <f>[1]节奏总纲!BE350</f>
        <v>57.334471557215878</v>
      </c>
    </row>
    <row r="351" spans="29:57" x14ac:dyDescent="0.15">
      <c r="AC351" s="1">
        <f>[1]节奏总纲!AC351</f>
        <v>348</v>
      </c>
      <c r="AD351" s="1">
        <f>[1]节奏总纲!AD351</f>
        <v>84.462204086952426</v>
      </c>
      <c r="AE351" s="1">
        <f>[1]节奏总纲!AE351</f>
        <v>86.576477523014987</v>
      </c>
      <c r="AF351" s="1">
        <f>[1]节奏总纲!AF351</f>
        <v>89.715479470898671</v>
      </c>
      <c r="AG351" s="1">
        <f>[1]节奏总纲!AG351</f>
        <v>94.674133114136126</v>
      </c>
      <c r="AH351" s="1">
        <f>[1]节奏总纲!AH351</f>
        <v>103.49329214445841</v>
      </c>
      <c r="AZ351" s="1">
        <f>[1]节奏总纲!AZ351</f>
        <v>348</v>
      </c>
      <c r="BA351" s="1">
        <f>[1]节奏总纲!BA351</f>
        <v>46.426522772598148</v>
      </c>
      <c r="BB351" s="1">
        <f>[1]节奏总纲!BB351</f>
        <v>47.951748159616329</v>
      </c>
      <c r="BC351" s="1">
        <f>[1]节奏总纲!BC351</f>
        <v>49.898043990652091</v>
      </c>
      <c r="BD351" s="1">
        <f>[1]节奏总纲!BD351</f>
        <v>52.639680011309345</v>
      </c>
      <c r="BE351" s="1">
        <f>[1]节奏总纲!BE351</f>
        <v>57.353655437569245</v>
      </c>
    </row>
    <row r="352" spans="29:57" x14ac:dyDescent="0.15">
      <c r="AC352" s="1">
        <f>[1]节奏总纲!AC352</f>
        <v>349</v>
      </c>
      <c r="AD352" s="1">
        <f>[1]节奏总纲!AD352</f>
        <v>84.503450305462081</v>
      </c>
      <c r="AE352" s="1">
        <f>[1]节奏总纲!AE352</f>
        <v>86.617658105794064</v>
      </c>
      <c r="AF352" s="1">
        <f>[1]节奏总纲!AF352</f>
        <v>89.761946975243163</v>
      </c>
      <c r="AG352" s="1">
        <f>[1]节奏总纲!AG352</f>
        <v>94.718213769496558</v>
      </c>
      <c r="AH352" s="1">
        <f>[1]节奏总纲!AH352</f>
        <v>103.5338384428092</v>
      </c>
      <c r="AZ352" s="1">
        <f>[1]节奏总纲!AZ352</f>
        <v>349</v>
      </c>
      <c r="BA352" s="1">
        <f>[1]节奏总纲!BA352</f>
        <v>46.445786815416881</v>
      </c>
      <c r="BB352" s="1">
        <f>[1]节奏总纲!BB352</f>
        <v>47.972535697939222</v>
      </c>
      <c r="BC352" s="1">
        <f>[1]节奏总纲!BC352</f>
        <v>49.91870376964863</v>
      </c>
      <c r="BD352" s="1">
        <f>[1]节奏总纲!BD352</f>
        <v>52.659633352105388</v>
      </c>
      <c r="BE352" s="1">
        <f>[1]节奏总纲!BE352</f>
        <v>57.372839317922612</v>
      </c>
    </row>
    <row r="353" spans="29:57" x14ac:dyDescent="0.15">
      <c r="AC353" s="1">
        <f>[1]节奏总纲!AC353</f>
        <v>350</v>
      </c>
      <c r="AD353" s="1">
        <f>[1]节奏总纲!AD353</f>
        <v>84.544696523971723</v>
      </c>
      <c r="AE353" s="1">
        <f>[1]节奏总纲!AE353</f>
        <v>86.658838688573141</v>
      </c>
      <c r="AF353" s="1">
        <f>[1]节奏总纲!AF353</f>
        <v>89.808414479587654</v>
      </c>
      <c r="AG353" s="1">
        <f>[1]节奏总纲!AG353</f>
        <v>94.762294424856989</v>
      </c>
      <c r="AH353" s="1">
        <f>[1]节奏总纲!AH353</f>
        <v>103.57438474115999</v>
      </c>
      <c r="AZ353" s="1">
        <f>[1]节奏总纲!AZ353</f>
        <v>350</v>
      </c>
      <c r="BA353" s="1">
        <f>[1]节奏总纲!BA353</f>
        <v>46.465050858235607</v>
      </c>
      <c r="BB353" s="1">
        <f>[1]节奏总纲!BB353</f>
        <v>47.993323236262114</v>
      </c>
      <c r="BC353" s="1">
        <f>[1]节奏总纲!BC353</f>
        <v>49.939363548645169</v>
      </c>
      <c r="BD353" s="1">
        <f>[1]节奏总纲!BD353</f>
        <v>52.679586692901438</v>
      </c>
      <c r="BE353" s="1">
        <f>[1]节奏总纲!BE353</f>
        <v>57.392023198275979</v>
      </c>
    </row>
    <row r="354" spans="29:57" x14ac:dyDescent="0.15">
      <c r="AC354" s="1">
        <f>[1]节奏总纲!AC354</f>
        <v>351</v>
      </c>
      <c r="AD354" s="1">
        <f>[1]节奏总纲!AD354</f>
        <v>84.585942742481365</v>
      </c>
      <c r="AE354" s="1">
        <f>[1]节奏总纲!AE354</f>
        <v>86.700019271352204</v>
      </c>
      <c r="AF354" s="1">
        <f>[1]节奏总纲!AF354</f>
        <v>89.854881983932145</v>
      </c>
      <c r="AG354" s="1">
        <f>[1]节奏总纲!AG354</f>
        <v>94.806375080217421</v>
      </c>
      <c r="AH354" s="1">
        <f>[1]节奏总纲!AH354</f>
        <v>103.61493103951079</v>
      </c>
      <c r="AZ354" s="1">
        <f>[1]节奏总纲!AZ354</f>
        <v>351</v>
      </c>
      <c r="BA354" s="1">
        <f>[1]节奏总纲!BA354</f>
        <v>46.484314901054333</v>
      </c>
      <c r="BB354" s="1">
        <f>[1]节奏总纲!BB354</f>
        <v>48.012182251254622</v>
      </c>
      <c r="BC354" s="1">
        <f>[1]节奏总纲!BC354</f>
        <v>49.9600233276417</v>
      </c>
      <c r="BD354" s="1">
        <f>[1]节奏总纲!BD354</f>
        <v>52.699540033697481</v>
      </c>
      <c r="BE354" s="1">
        <f>[1]节奏总纲!BE354</f>
        <v>57.411207078629346</v>
      </c>
    </row>
    <row r="355" spans="29:57" x14ac:dyDescent="0.15">
      <c r="AC355" s="1">
        <f>[1]节奏总纲!AC355</f>
        <v>352</v>
      </c>
      <c r="AD355" s="1">
        <f>[1]节奏总纲!AD355</f>
        <v>84.627188960991006</v>
      </c>
      <c r="AE355" s="1">
        <f>[1]节奏总纲!AE355</f>
        <v>86.741199854131281</v>
      </c>
      <c r="AF355" s="1">
        <f>[1]节奏总纲!AF355</f>
        <v>89.901349488276637</v>
      </c>
      <c r="AG355" s="1">
        <f>[1]节奏总纲!AG355</f>
        <v>94.850455735577853</v>
      </c>
      <c r="AH355" s="1">
        <f>[1]节奏总纲!AH355</f>
        <v>103.65547733786158</v>
      </c>
      <c r="AZ355" s="1">
        <f>[1]节奏总纲!AZ355</f>
        <v>352</v>
      </c>
      <c r="BA355" s="1">
        <f>[1]节奏总纲!BA355</f>
        <v>46.503578943873059</v>
      </c>
      <c r="BB355" s="1">
        <f>[1]节奏总纲!BB355</f>
        <v>48.030128751164234</v>
      </c>
      <c r="BC355" s="1">
        <f>[1]节奏总纲!BC355</f>
        <v>49.980683106638239</v>
      </c>
      <c r="BD355" s="1">
        <f>[1]节奏总纲!BD355</f>
        <v>52.719493374493531</v>
      </c>
      <c r="BE355" s="1">
        <f>[1]节奏总纲!BE355</f>
        <v>57.430390958982713</v>
      </c>
    </row>
    <row r="356" spans="29:57" x14ac:dyDescent="0.15">
      <c r="AC356" s="1">
        <f>[1]节奏总纲!AC356</f>
        <v>353</v>
      </c>
      <c r="AD356" s="1">
        <f>[1]节奏总纲!AD356</f>
        <v>84.668435179500648</v>
      </c>
      <c r="AE356" s="1">
        <f>[1]节奏总纲!AE356</f>
        <v>86.782380436910358</v>
      </c>
      <c r="AF356" s="1">
        <f>[1]节奏总纲!AF356</f>
        <v>89.947816992621142</v>
      </c>
      <c r="AG356" s="1">
        <f>[1]节奏总纲!AG356</f>
        <v>94.894536390938271</v>
      </c>
      <c r="AH356" s="1">
        <f>[1]节奏总纲!AH356</f>
        <v>103.69602363621237</v>
      </c>
      <c r="AZ356" s="1">
        <f>[1]节奏总纲!AZ356</f>
        <v>353</v>
      </c>
      <c r="BA356" s="1">
        <f>[1]节奏总纲!BA356</f>
        <v>46.522842986691785</v>
      </c>
      <c r="BB356" s="1">
        <f>[1]节奏总纲!BB356</f>
        <v>48.048075251073854</v>
      </c>
      <c r="BC356" s="1">
        <f>[1]节奏总纲!BC356</f>
        <v>50.00115951426713</v>
      </c>
      <c r="BD356" s="1">
        <f>[1]节奏总纲!BD356</f>
        <v>52.739446715289581</v>
      </c>
      <c r="BE356" s="1">
        <f>[1]节奏总纲!BE356</f>
        <v>57.44957483933608</v>
      </c>
    </row>
    <row r="357" spans="29:57" x14ac:dyDescent="0.15">
      <c r="AC357" s="1">
        <f>[1]节奏总纲!AC357</f>
        <v>354</v>
      </c>
      <c r="AD357" s="1">
        <f>[1]节奏总纲!AD357</f>
        <v>84.709681398010289</v>
      </c>
      <c r="AE357" s="1">
        <f>[1]节奏总纲!AE357</f>
        <v>86.823561019689436</v>
      </c>
      <c r="AF357" s="1">
        <f>[1]节奏总纲!AF357</f>
        <v>89.994284496965633</v>
      </c>
      <c r="AG357" s="1">
        <f>[1]节奏总纲!AG357</f>
        <v>94.938617046298702</v>
      </c>
      <c r="AH357" s="1">
        <f>[1]节奏总纲!AH357</f>
        <v>103.73656993456318</v>
      </c>
      <c r="AZ357" s="1">
        <f>[1]节奏总纲!AZ357</f>
        <v>354</v>
      </c>
      <c r="BA357" s="1">
        <f>[1]节奏总纲!BA357</f>
        <v>46.542107029510518</v>
      </c>
      <c r="BB357" s="1">
        <f>[1]节奏总纲!BB357</f>
        <v>48.066021750983474</v>
      </c>
      <c r="BC357" s="1">
        <f>[1]节奏总纲!BC357</f>
        <v>50.018998195299922</v>
      </c>
      <c r="BD357" s="1">
        <f>[1]节奏总纲!BD357</f>
        <v>52.759400056085624</v>
      </c>
      <c r="BE357" s="1">
        <f>[1]节奏总纲!BE357</f>
        <v>57.468758719689447</v>
      </c>
    </row>
    <row r="358" spans="29:57" x14ac:dyDescent="0.15">
      <c r="AC358" s="1">
        <f>[1]节奏总纲!AC358</f>
        <v>355</v>
      </c>
      <c r="AD358" s="1">
        <f>[1]节奏总纲!AD358</f>
        <v>84.750927616519931</v>
      </c>
      <c r="AE358" s="1">
        <f>[1]节奏总纲!AE358</f>
        <v>86.864741602468499</v>
      </c>
      <c r="AF358" s="1">
        <f>[1]节奏总纲!AF358</f>
        <v>90.036066635925749</v>
      </c>
      <c r="AG358" s="1">
        <f>[1]节奏总纲!AG358</f>
        <v>94.982697701659134</v>
      </c>
      <c r="AH358" s="1">
        <f>[1]节奏总纲!AH358</f>
        <v>103.77711623291397</v>
      </c>
      <c r="AZ358" s="1">
        <f>[1]节奏总纲!AZ358</f>
        <v>355</v>
      </c>
      <c r="BA358" s="1">
        <f>[1]节奏总纲!BA358</f>
        <v>46.561371072329244</v>
      </c>
      <c r="BB358" s="1">
        <f>[1]节奏总纲!BB358</f>
        <v>48.083968250893093</v>
      </c>
      <c r="BC358" s="1">
        <f>[1]节奏总纲!BC358</f>
        <v>50.036836876332707</v>
      </c>
      <c r="BD358" s="1">
        <f>[1]节奏总纲!BD358</f>
        <v>52.779353396881675</v>
      </c>
      <c r="BE358" s="1">
        <f>[1]节奏总纲!BE358</f>
        <v>57.487942600042821</v>
      </c>
    </row>
    <row r="359" spans="29:57" x14ac:dyDescent="0.15">
      <c r="AC359" s="1">
        <f>[1]节奏总纲!AC359</f>
        <v>356</v>
      </c>
      <c r="AD359" s="1">
        <f>[1]节奏总纲!AD359</f>
        <v>84.792173835029573</v>
      </c>
      <c r="AE359" s="1">
        <f>[1]节奏总纲!AE359</f>
        <v>86.905922185247576</v>
      </c>
      <c r="AF359" s="1">
        <f>[1]节奏总纲!AF359</f>
        <v>90.077191648383845</v>
      </c>
      <c r="AG359" s="1">
        <f>[1]节奏总纲!AG359</f>
        <v>95.024001308619916</v>
      </c>
      <c r="AH359" s="1">
        <f>[1]节奏总纲!AH359</f>
        <v>103.81766253126477</v>
      </c>
      <c r="AZ359" s="1">
        <f>[1]节奏总纲!AZ359</f>
        <v>356</v>
      </c>
      <c r="BA359" s="1">
        <f>[1]节奏总纲!BA359</f>
        <v>46.58063511514797</v>
      </c>
      <c r="BB359" s="1">
        <f>[1]节奏总纲!BB359</f>
        <v>48.101914750802706</v>
      </c>
      <c r="BC359" s="1">
        <f>[1]节奏总纲!BC359</f>
        <v>50.054675557365492</v>
      </c>
      <c r="BD359" s="1">
        <f>[1]节奏总纲!BD359</f>
        <v>52.799306737677718</v>
      </c>
      <c r="BE359" s="1">
        <f>[1]节奏总纲!BE359</f>
        <v>57.507126480396188</v>
      </c>
    </row>
    <row r="360" spans="29:57" x14ac:dyDescent="0.15">
      <c r="AC360" s="1">
        <f>[1]节奏总纲!AC360</f>
        <v>357</v>
      </c>
      <c r="AD360" s="1">
        <f>[1]节奏总纲!AD360</f>
        <v>84.833420053539214</v>
      </c>
      <c r="AE360" s="1">
        <f>[1]节奏总纲!AE360</f>
        <v>86.947102768026653</v>
      </c>
      <c r="AF360" s="1">
        <f>[1]节奏总纲!AF360</f>
        <v>90.118316660841927</v>
      </c>
      <c r="AG360" s="1">
        <f>[1]节奏总纲!AG360</f>
        <v>95.063510581451752</v>
      </c>
      <c r="AH360" s="1">
        <f>[1]节奏总纲!AH360</f>
        <v>103.85820882961556</v>
      </c>
      <c r="AZ360" s="1">
        <f>[1]节奏总纲!AZ360</f>
        <v>357</v>
      </c>
      <c r="BA360" s="1">
        <f>[1]节奏总纲!BA360</f>
        <v>46.599899157966696</v>
      </c>
      <c r="BB360" s="1">
        <f>[1]节奏总纲!BB360</f>
        <v>48.119861250712326</v>
      </c>
      <c r="BC360" s="1">
        <f>[1]节奏总纲!BC360</f>
        <v>50.072514238398277</v>
      </c>
      <c r="BD360" s="1">
        <f>[1]节奏总纲!BD360</f>
        <v>52.819260078473768</v>
      </c>
      <c r="BE360" s="1">
        <f>[1]节奏总纲!BE360</f>
        <v>57.526310360749555</v>
      </c>
    </row>
    <row r="361" spans="29:57" x14ac:dyDescent="0.15">
      <c r="AC361" s="1">
        <f>[1]节奏总纲!AC361</f>
        <v>358</v>
      </c>
      <c r="AD361" s="1">
        <f>[1]节奏总纲!AD361</f>
        <v>84.874666272048856</v>
      </c>
      <c r="AE361" s="1">
        <f>[1]节奏总纲!AE361</f>
        <v>86.98828335080573</v>
      </c>
      <c r="AF361" s="1">
        <f>[1]节奏总纲!AF361</f>
        <v>90.159441673300023</v>
      </c>
      <c r="AG361" s="1">
        <f>[1]节奏总纲!AG361</f>
        <v>95.103019854283588</v>
      </c>
      <c r="AH361" s="1">
        <f>[1]节奏总纲!AH361</f>
        <v>103.89875512796635</v>
      </c>
      <c r="AZ361" s="1">
        <f>[1]节奏总纲!AZ361</f>
        <v>358</v>
      </c>
      <c r="BA361" s="1">
        <f>[1]节奏总纲!BA361</f>
        <v>46.619163200785422</v>
      </c>
      <c r="BB361" s="1">
        <f>[1]节奏总纲!BB361</f>
        <v>48.137807750621946</v>
      </c>
      <c r="BC361" s="1">
        <f>[1]节奏总纲!BC361</f>
        <v>50.090352919431069</v>
      </c>
      <c r="BD361" s="1">
        <f>[1]节奏总纲!BD361</f>
        <v>52.839213419269818</v>
      </c>
      <c r="BE361" s="1">
        <f>[1]节奏总纲!BE361</f>
        <v>57.545494241102922</v>
      </c>
    </row>
    <row r="362" spans="29:57" x14ac:dyDescent="0.15">
      <c r="AC362" s="1">
        <f>[1]节奏总纲!AC362</f>
        <v>359</v>
      </c>
      <c r="AD362" s="1">
        <f>[1]节奏总纲!AD362</f>
        <v>84.915912490558497</v>
      </c>
      <c r="AE362" s="1">
        <f>[1]节奏总纲!AE362</f>
        <v>87.027010646912942</v>
      </c>
      <c r="AF362" s="1">
        <f>[1]节奏总纲!AF362</f>
        <v>90.200566685758119</v>
      </c>
      <c r="AG362" s="1">
        <f>[1]节奏总纲!AG362</f>
        <v>95.142529127115409</v>
      </c>
      <c r="AH362" s="1">
        <f>[1]节奏总纲!AH362</f>
        <v>103.93930142631716</v>
      </c>
      <c r="AZ362" s="1">
        <f>[1]节奏总纲!AZ362</f>
        <v>359</v>
      </c>
      <c r="BA362" s="1">
        <f>[1]节奏总纲!BA362</f>
        <v>46.638427243604156</v>
      </c>
      <c r="BB362" s="1">
        <f>[1]节奏总纲!BB362</f>
        <v>48.155754250531558</v>
      </c>
      <c r="BC362" s="1">
        <f>[1]节奏总纲!BC362</f>
        <v>50.108191600463854</v>
      </c>
      <c r="BD362" s="1">
        <f>[1]节奏总纲!BD362</f>
        <v>52.859166760065861</v>
      </c>
      <c r="BE362" s="1">
        <f>[1]节奏总纲!BE362</f>
        <v>57.564678121456289</v>
      </c>
    </row>
    <row r="363" spans="29:57" x14ac:dyDescent="0.15">
      <c r="AC363" s="1">
        <f>[1]节奏总纲!AC363</f>
        <v>360</v>
      </c>
      <c r="AD363" s="1">
        <f>[1]节奏总纲!AD363</f>
        <v>84.957158709068153</v>
      </c>
      <c r="AE363" s="1">
        <f>[1]节奏总纲!AE363</f>
        <v>87.064762367263285</v>
      </c>
      <c r="AF363" s="1">
        <f>[1]节奏总纲!AF363</f>
        <v>90.241691698216215</v>
      </c>
      <c r="AG363" s="1">
        <f>[1]节奏总纲!AG363</f>
        <v>95.182038399947245</v>
      </c>
      <c r="AH363" s="1">
        <f>[1]节奏总纲!AH363</f>
        <v>103.97984772466795</v>
      </c>
      <c r="AZ363" s="1">
        <f>[1]节奏总纲!AZ363</f>
        <v>360</v>
      </c>
      <c r="BA363" s="1">
        <f>[1]节奏总纲!BA363</f>
        <v>46.657691286422882</v>
      </c>
      <c r="BB363" s="1">
        <f>[1]节奏总纲!BB363</f>
        <v>48.173700750441178</v>
      </c>
      <c r="BC363" s="1">
        <f>[1]节奏总纲!BC363</f>
        <v>50.126030281496639</v>
      </c>
      <c r="BD363" s="1">
        <f>[1]节奏总纲!BD363</f>
        <v>52.879120100861911</v>
      </c>
      <c r="BE363" s="1">
        <f>[1]节奏总纲!BE363</f>
        <v>57.583862001809656</v>
      </c>
    </row>
  </sheetData>
  <mergeCells count="16">
    <mergeCell ref="BJ2:BN2"/>
    <mergeCell ref="BQ2:BU2"/>
    <mergeCell ref="BX2:CB2"/>
    <mergeCell ref="B6:D6"/>
    <mergeCell ref="B22:D22"/>
    <mergeCell ref="W2:AA2"/>
    <mergeCell ref="AD2:AH2"/>
    <mergeCell ref="AM2:AQ2"/>
    <mergeCell ref="AT2:AX2"/>
    <mergeCell ref="BA2:BE2"/>
    <mergeCell ref="F1:F2"/>
    <mergeCell ref="G1:G2"/>
    <mergeCell ref="I1:I2"/>
    <mergeCell ref="J1:J2"/>
    <mergeCell ref="K1:K2"/>
    <mergeCell ref="P2:T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P163"/>
  <sheetViews>
    <sheetView workbookViewId="0">
      <selection activeCell="B7" sqref="B7"/>
    </sheetView>
  </sheetViews>
  <sheetFormatPr defaultColWidth="6.625" defaultRowHeight="11.25" x14ac:dyDescent="0.15"/>
  <cols>
    <col min="1" max="2" width="6.625" style="4"/>
    <col min="3" max="7" width="9.75" style="4" bestFit="1" customWidth="1"/>
    <col min="8" max="8" width="6.625" style="4"/>
    <col min="9" max="9" width="6.625" style="11"/>
    <col min="10" max="16384" width="6.625" style="4"/>
  </cols>
  <sheetData>
    <row r="2" spans="2:16" x14ac:dyDescent="0.15">
      <c r="C2" s="24" t="s">
        <v>18</v>
      </c>
      <c r="D2" s="24"/>
      <c r="E2" s="24"/>
      <c r="F2" s="24"/>
      <c r="G2" s="24"/>
    </row>
    <row r="3" spans="2:16" x14ac:dyDescent="0.15">
      <c r="B3" s="1" t="s">
        <v>55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K3" s="26" t="s">
        <v>54</v>
      </c>
      <c r="L3" s="26"/>
      <c r="M3" s="26"/>
      <c r="N3" s="26"/>
      <c r="O3" s="26"/>
      <c r="P3" s="26"/>
    </row>
    <row r="4" spans="2:16" x14ac:dyDescent="0.15">
      <c r="B4" s="8">
        <v>1</v>
      </c>
      <c r="C4" s="4">
        <f>'[2]实力验证（按等级）'!AG5</f>
        <v>2500942.3388598445</v>
      </c>
      <c r="D4" s="4">
        <f>'[2]实力验证（按等级）'!AH5</f>
        <v>2512551.1280888254</v>
      </c>
      <c r="E4" s="4">
        <f>'[2]实力验证（按等级）'!AI5</f>
        <v>2528283.7187209777</v>
      </c>
      <c r="F4" s="4">
        <f>'[2]实力验证（按等级）'!AJ5</f>
        <v>2545194.8679372855</v>
      </c>
      <c r="G4" s="4">
        <f>'[2]实力验证（按等级）'!AK5</f>
        <v>2558513.9572203495</v>
      </c>
      <c r="K4" s="15" t="s">
        <v>14</v>
      </c>
      <c r="L4" s="15" t="s">
        <v>53</v>
      </c>
      <c r="M4" s="15" t="s">
        <v>52</v>
      </c>
      <c r="N4" s="15" t="s">
        <v>51</v>
      </c>
      <c r="O4" s="15" t="s">
        <v>50</v>
      </c>
      <c r="P4" s="15" t="s">
        <v>49</v>
      </c>
    </row>
    <row r="5" spans="2:16" x14ac:dyDescent="0.15">
      <c r="B5" s="8">
        <v>2</v>
      </c>
      <c r="C5" s="4">
        <f>'[2]实力验证（按等级）'!AG6</f>
        <v>3517613.9249715721</v>
      </c>
      <c r="D5" s="4">
        <f>'[2]实力验证（按等级）'!AH6</f>
        <v>3558641.8257326558</v>
      </c>
      <c r="E5" s="4">
        <f>'[2]实力验证（按等级）'!AI6</f>
        <v>3624178.9572740197</v>
      </c>
      <c r="F5" s="4">
        <f>'[2]实力验证（按等级）'!AJ6</f>
        <v>3719323.1162313018</v>
      </c>
      <c r="G5" s="4">
        <f>'[2]实力验证（按等级）'!AK6</f>
        <v>3775605.0535245403</v>
      </c>
      <c r="K5" s="15">
        <f>'[1]功能-行军令'!AO5</f>
        <v>3</v>
      </c>
      <c r="L5" s="15">
        <f>'[1]功能-行军令'!AP5</f>
        <v>2</v>
      </c>
      <c r="M5" s="15">
        <f>'[1]功能-行军令'!AQ5</f>
        <v>0</v>
      </c>
      <c r="N5" s="15">
        <f>'[1]功能-行军令'!AR5</f>
        <v>0</v>
      </c>
      <c r="O5" s="15">
        <f>'[1]功能-行军令'!AS5</f>
        <v>0</v>
      </c>
      <c r="P5" s="15">
        <f>'[1]功能-行军令'!AT5</f>
        <v>0</v>
      </c>
    </row>
    <row r="6" spans="2:16" x14ac:dyDescent="0.15">
      <c r="B6" s="8">
        <v>3</v>
      </c>
      <c r="C6" s="4">
        <f>'[2]实力验证（按等级）'!AG7</f>
        <v>4754444.5973145077</v>
      </c>
      <c r="D6" s="4">
        <f>'[2]实力验证（按等级）'!AH7</f>
        <v>4841616.0497272313</v>
      </c>
      <c r="E6" s="4">
        <f>'[2]实力验证（按等级）'!AI7</f>
        <v>4989687.2020780817</v>
      </c>
      <c r="F6" s="4">
        <f>'[2]实力验证（按等级）'!AJ7</f>
        <v>5213350.2046916168</v>
      </c>
      <c r="G6" s="4">
        <f>'[2]实力验证（按等级）'!AK7</f>
        <v>5344738.9760777531</v>
      </c>
      <c r="K6" s="15">
        <f>'[1]功能-行军令'!AO6</f>
        <v>5</v>
      </c>
      <c r="L6" s="15">
        <f>'[1]功能-行军令'!AP6</f>
        <v>2</v>
      </c>
      <c r="M6" s="15">
        <f>'[1]功能-行军令'!AQ6</f>
        <v>0</v>
      </c>
      <c r="N6" s="15">
        <f>'[1]功能-行军令'!AR6</f>
        <v>0</v>
      </c>
      <c r="O6" s="15">
        <f>'[1]功能-行军令'!AS6</f>
        <v>0</v>
      </c>
      <c r="P6" s="15">
        <f>'[1]功能-行军令'!AT6</f>
        <v>0</v>
      </c>
    </row>
    <row r="7" spans="2:16" x14ac:dyDescent="0.15">
      <c r="B7" s="8">
        <v>4</v>
      </c>
      <c r="C7" s="4">
        <f>'[2]实力验证（按等级）'!AG8</f>
        <v>6297960.2443307275</v>
      </c>
      <c r="D7" s="4">
        <f>'[2]实力验证（按等级）'!AH8</f>
        <v>6453779.6916835615</v>
      </c>
      <c r="E7" s="4">
        <f>'[2]实力验证（按等级）'!AI8</f>
        <v>6724798.3378744405</v>
      </c>
      <c r="F7" s="4">
        <f>'[2]实力验证（按等级）'!AJ8</f>
        <v>7140146.0223119799</v>
      </c>
      <c r="G7" s="4">
        <f>'[2]实力验证（按等级）'!AK8</f>
        <v>7386620.8682476413</v>
      </c>
      <c r="K7" s="15">
        <f>'[1]功能-行军令'!AO7</f>
        <v>7</v>
      </c>
      <c r="L7" s="15">
        <f>'[1]功能-行军令'!AP7</f>
        <v>2</v>
      </c>
      <c r="M7" s="15">
        <f>'[1]功能-行军令'!AQ7</f>
        <v>0</v>
      </c>
      <c r="N7" s="15">
        <f>'[1]功能-行军令'!AR7</f>
        <v>0</v>
      </c>
      <c r="O7" s="15">
        <f>'[1]功能-行军令'!AS7</f>
        <v>0</v>
      </c>
      <c r="P7" s="15">
        <f>'[1]功能-行军令'!AT7</f>
        <v>0</v>
      </c>
    </row>
    <row r="8" spans="2:16" x14ac:dyDescent="0.15">
      <c r="B8" s="8">
        <v>5</v>
      </c>
      <c r="C8" s="4">
        <f>'[2]实力验证（按等级）'!AG9</f>
        <v>8202594.7257233243</v>
      </c>
      <c r="D8" s="4">
        <f>'[2]实力验证（按等级）'!AH9</f>
        <v>8454585.1542194542</v>
      </c>
      <c r="E8" s="4">
        <f>'[2]实力验证（按等级）'!AI9</f>
        <v>8900772.8863669336</v>
      </c>
      <c r="F8" s="4">
        <f>'[2]实力验证（按等级）'!AJ9</f>
        <v>9589372.0575095583</v>
      </c>
      <c r="G8" s="4">
        <f>'[2]实力验证（按等级）'!AK9</f>
        <v>10003839.049108379</v>
      </c>
      <c r="K8" s="15">
        <f>'[1]功能-行军令'!AO8</f>
        <v>10</v>
      </c>
      <c r="L8" s="15">
        <f>'[1]功能-行军令'!AP8</f>
        <v>1</v>
      </c>
      <c r="M8" s="15">
        <f>'[1]功能-行军令'!AQ8</f>
        <v>1</v>
      </c>
      <c r="N8" s="15">
        <f>'[1]功能-行军令'!AR8</f>
        <v>0</v>
      </c>
      <c r="O8" s="15">
        <f>'[1]功能-行军令'!AS8</f>
        <v>0</v>
      </c>
      <c r="P8" s="15">
        <f>'[1]功能-行军令'!AT8</f>
        <v>0</v>
      </c>
    </row>
    <row r="9" spans="2:16" x14ac:dyDescent="0.15">
      <c r="B9" s="8">
        <v>6</v>
      </c>
      <c r="C9" s="4">
        <f>'[2]实力验证（按等级）'!AG10</f>
        <v>10528433.899836116</v>
      </c>
      <c r="D9" s="4">
        <f>'[2]实力验证（按等级）'!AH10</f>
        <v>10911072.506350191</v>
      </c>
      <c r="E9" s="4">
        <f>'[2]实力验证（按等级）'!AI10</f>
        <v>11598670.651409147</v>
      </c>
      <c r="F9" s="4">
        <f>'[2]实力验证（按等级）'!AJ10</f>
        <v>12663949.808687916</v>
      </c>
      <c r="G9" s="4">
        <f>'[2]实力验证（按等级）'!AK10</f>
        <v>13314976.020617699</v>
      </c>
      <c r="K9" s="15">
        <f>'[1]功能-行军令'!AO9</f>
        <v>13</v>
      </c>
      <c r="L9" s="15">
        <f>'[1]功能-行军令'!AP9</f>
        <v>0.95</v>
      </c>
      <c r="M9" s="15">
        <f>'[1]功能-行军令'!AQ9</f>
        <v>1.05</v>
      </c>
      <c r="N9" s="15">
        <f>'[1]功能-行军令'!AR9</f>
        <v>0</v>
      </c>
      <c r="O9" s="15">
        <f>'[1]功能-行军令'!AS9</f>
        <v>0</v>
      </c>
      <c r="P9" s="15">
        <f>'[1]功能-行军令'!AT9</f>
        <v>0</v>
      </c>
    </row>
    <row r="10" spans="2:16" x14ac:dyDescent="0.15">
      <c r="B10" s="8">
        <v>7</v>
      </c>
      <c r="C10" s="4">
        <f>'[2]实力验证（按等级）'!AG11</f>
        <v>13342678.593612272</v>
      </c>
      <c r="D10" s="4">
        <f>'[2]实力验证（按等级）'!AH11</f>
        <v>13898555.384002345</v>
      </c>
      <c r="E10" s="4">
        <f>'[2]实力验证（按等级）'!AI11</f>
        <v>14910307.38769903</v>
      </c>
      <c r="F10" s="4">
        <f>'[2]实力验证（按等级）'!AJ11</f>
        <v>16454893.246702671</v>
      </c>
      <c r="G10" s="4">
        <f>'[2]实力验证（按等级）'!AK11</f>
        <v>17353174.206810892</v>
      </c>
      <c r="K10" s="15">
        <f>'[1]功能-行军令'!AO10</f>
        <v>16</v>
      </c>
      <c r="L10" s="15">
        <f>'[1]功能-行军令'!AP10</f>
        <v>0.89749999999999996</v>
      </c>
      <c r="M10" s="15">
        <f>'[1]功能-行军令'!AQ10</f>
        <v>1.1025</v>
      </c>
      <c r="N10" s="15">
        <f>'[1]功能-行军令'!AR10</f>
        <v>0</v>
      </c>
      <c r="O10" s="15">
        <f>'[1]功能-行军令'!AS10</f>
        <v>0</v>
      </c>
      <c r="P10" s="15">
        <f>'[1]功能-行军令'!AT10</f>
        <v>0</v>
      </c>
    </row>
    <row r="11" spans="2:16" x14ac:dyDescent="0.15">
      <c r="B11" s="8">
        <v>8</v>
      </c>
      <c r="C11" s="4">
        <f>'[2]实力验证（按等级）'!AG12</f>
        <v>16720244.594958505</v>
      </c>
      <c r="D11" s="4">
        <f>'[2]实力验证（按等级）'!AH12</f>
        <v>17455221.813589942</v>
      </c>
      <c r="E11" s="4">
        <f>'[2]实力验证（按等级）'!AI12</f>
        <v>18816547.896690365</v>
      </c>
      <c r="F11" s="4">
        <f>'[2]实力验证（按等级）'!AJ12</f>
        <v>20945266.9607918</v>
      </c>
      <c r="G11" s="4">
        <f>'[2]实力验证（按等级）'!AK12</f>
        <v>22228286.746131983</v>
      </c>
      <c r="K11" s="15">
        <f>'[1]功能-行军令'!AO11</f>
        <v>20</v>
      </c>
      <c r="L11" s="15">
        <f>'[1]功能-行军令'!AP11</f>
        <v>0.89749999999999996</v>
      </c>
      <c r="M11" s="15">
        <f>'[1]功能-行军令'!AQ11</f>
        <v>0.58500000000000008</v>
      </c>
      <c r="N11" s="15">
        <f>'[1]功能-行军令'!AR11</f>
        <v>0.51749999999999996</v>
      </c>
      <c r="O11" s="15">
        <f>'[1]功能-行军令'!AS11</f>
        <v>0</v>
      </c>
      <c r="P11" s="15">
        <f>'[1]功能-行军令'!AT11</f>
        <v>0</v>
      </c>
    </row>
    <row r="12" spans="2:16" x14ac:dyDescent="0.15">
      <c r="B12" s="8">
        <v>9</v>
      </c>
      <c r="C12" s="4">
        <f>'[2]实力验证（按等级）'!AG13</f>
        <v>20593709.24817935</v>
      </c>
      <c r="D12" s="4">
        <f>'[2]实力验证（按等级）'!AH13</f>
        <v>21577477.740082961</v>
      </c>
      <c r="E12" s="4">
        <f>'[2]实力验证（按等级）'!AI13</f>
        <v>23442343.315738134</v>
      </c>
      <c r="F12" s="4">
        <f>'[2]实力验证（按等级）'!AJ13</f>
        <v>26359481.43000716</v>
      </c>
      <c r="G12" s="4">
        <f>'[2]实力验证（按等级）'!AK13</f>
        <v>28140924.06875626</v>
      </c>
      <c r="K12" s="15">
        <f>'[1]功能-行军令'!AO12</f>
        <v>24</v>
      </c>
      <c r="L12" s="15">
        <f>'[1]功能-行军令'!AP12</f>
        <v>0.84574999999999978</v>
      </c>
      <c r="M12" s="15">
        <f>'[1]功能-行军令'!AQ12</f>
        <v>0.58500000000000008</v>
      </c>
      <c r="N12" s="15">
        <f>'[1]功能-行军令'!AR12</f>
        <v>0.56925000000000003</v>
      </c>
      <c r="O12" s="15">
        <f>'[1]功能-行军令'!AS12</f>
        <v>0</v>
      </c>
      <c r="P12" s="15">
        <f>'[1]功能-行军令'!AT12</f>
        <v>0</v>
      </c>
    </row>
    <row r="13" spans="2:16" x14ac:dyDescent="0.15">
      <c r="B13" s="8">
        <v>10</v>
      </c>
      <c r="C13" s="4">
        <f>'[2]实力验证（按等级）'!AG14</f>
        <v>25255711.888269622</v>
      </c>
      <c r="D13" s="4">
        <f>'[2]实力验证（按等级）'!AH14</f>
        <v>26448123.233221982</v>
      </c>
      <c r="E13" s="4">
        <f>'[2]实力验证（按等级）'!AI14</f>
        <v>28928888.32794825</v>
      </c>
      <c r="F13" s="4">
        <f>'[2]实力验证（按等级）'!AJ14</f>
        <v>32837407.370488275</v>
      </c>
      <c r="G13" s="4">
        <f>'[2]实力验证（按等级）'!AK14</f>
        <v>35254496.065582991</v>
      </c>
      <c r="K13" s="15">
        <f>'[1]功能-行军令'!AO13</f>
        <v>28</v>
      </c>
      <c r="L13" s="15">
        <f>'[1]功能-行军令'!AP13</f>
        <v>0</v>
      </c>
      <c r="M13" s="15">
        <f>'[1]功能-行军令'!AQ13</f>
        <v>1.43075</v>
      </c>
      <c r="N13" s="15">
        <f>'[1]功能-行军令'!AR13</f>
        <v>0.56925000000000003</v>
      </c>
      <c r="O13" s="15">
        <f>'[1]功能-行军令'!AS13</f>
        <v>0</v>
      </c>
      <c r="P13" s="15">
        <f>'[1]功能-行军令'!AT13</f>
        <v>0</v>
      </c>
    </row>
    <row r="14" spans="2:16" x14ac:dyDescent="0.15">
      <c r="B14" s="8">
        <v>11</v>
      </c>
      <c r="C14" s="4">
        <f>'[2]实力验证（按等级）'!AG15</f>
        <v>31151020.557566226</v>
      </c>
      <c r="D14" s="4">
        <f>'[2]实力验证（按等级）'!AH15</f>
        <v>32630647.483674619</v>
      </c>
      <c r="E14" s="4">
        <f>'[2]实力验证（按等级）'!AI15</f>
        <v>35684161.727716342</v>
      </c>
      <c r="F14" s="4">
        <f>'[2]实力验证（按等级）'!AJ15</f>
        <v>40751492.316459045</v>
      </c>
      <c r="G14" s="4">
        <f>'[2]实力验证（按等级）'!AK15</f>
        <v>43790689.897759907</v>
      </c>
      <c r="K14" s="15">
        <f>'[1]功能-行军令'!AO14</f>
        <v>34</v>
      </c>
      <c r="L14" s="15">
        <f>'[1]功能-行军令'!AP14</f>
        <v>0</v>
      </c>
      <c r="M14" s="15">
        <f>'[1]功能-行军令'!AQ14</f>
        <v>1.43075</v>
      </c>
      <c r="N14" s="15">
        <f>'[1]功能-行军令'!AR14</f>
        <v>0.32925000000000004</v>
      </c>
      <c r="O14" s="15">
        <f>'[1]功能-行军令'!AS14</f>
        <v>0.24</v>
      </c>
      <c r="P14" s="15">
        <f>'[1]功能-行军令'!AT14</f>
        <v>0</v>
      </c>
    </row>
    <row r="15" spans="2:16" x14ac:dyDescent="0.15">
      <c r="B15" s="8">
        <v>12</v>
      </c>
      <c r="C15" s="4">
        <f>'[2]实力验证（按等级）'!AG16</f>
        <v>36453639.190608263</v>
      </c>
      <c r="D15" s="4">
        <f>'[2]实力验证（按等级）'!AH16</f>
        <v>38410822.948358044</v>
      </c>
      <c r="E15" s="4">
        <f>'[2]实力验证（按等级）'!AI16</f>
        <v>41764954.294964202</v>
      </c>
      <c r="F15" s="4">
        <f>'[2]实力验证（按等级）'!AJ16</f>
        <v>47818325.805122681</v>
      </c>
      <c r="G15" s="4">
        <f>'[2]实力验证（按等级）'!AK16</f>
        <v>51683234.269877411</v>
      </c>
      <c r="K15" s="15">
        <f>'[1]功能-行军令'!AO15</f>
        <v>39</v>
      </c>
      <c r="L15" s="15">
        <f>'[1]功能-行军令'!AP15</f>
        <v>0</v>
      </c>
      <c r="M15" s="15">
        <f>'[1]功能-行军令'!AQ15</f>
        <v>1.41875</v>
      </c>
      <c r="N15" s="15">
        <f>'[1]功能-行军令'!AR15</f>
        <v>0.32925000000000004</v>
      </c>
      <c r="O15" s="15">
        <f>'[1]功能-行军令'!AS15</f>
        <v>0.252</v>
      </c>
      <c r="P15" s="15">
        <f>'[1]功能-行军令'!AT15</f>
        <v>0</v>
      </c>
    </row>
    <row r="16" spans="2:16" x14ac:dyDescent="0.15">
      <c r="B16" s="8">
        <v>13</v>
      </c>
      <c r="C16" s="4">
        <f>'[2]实力验证（按等级）'!AG17</f>
        <v>42465440.974780656</v>
      </c>
      <c r="D16" s="4">
        <f>'[2]实力验证（按等级）'!AH17</f>
        <v>44742831.761546552</v>
      </c>
      <c r="E16" s="4">
        <f>'[2]实力验证（按等级）'!AI17</f>
        <v>48916151.738924891</v>
      </c>
      <c r="F16" s="4">
        <f>'[2]实力验证（按等级）'!AJ17</f>
        <v>55686076.07167577</v>
      </c>
      <c r="G16" s="4">
        <f>'[2]实力验证（按等级）'!AK17</f>
        <v>60571564.864255227</v>
      </c>
      <c r="K16" s="15">
        <f>'[1]功能-行军令'!AO16</f>
        <v>44</v>
      </c>
      <c r="L16" s="15">
        <f>'[1]功能-行军令'!AP16</f>
        <v>0</v>
      </c>
      <c r="M16" s="15">
        <f>'[1]功能-行军令'!AQ16</f>
        <v>1.40615</v>
      </c>
      <c r="N16" s="15">
        <f>'[1]功能-行军令'!AR16</f>
        <v>0.32925000000000004</v>
      </c>
      <c r="O16" s="15">
        <f>'[1]功能-行军令'!AS16</f>
        <v>0.2646</v>
      </c>
      <c r="P16" s="15">
        <f>'[1]功能-行军令'!AT16</f>
        <v>0</v>
      </c>
    </row>
    <row r="17" spans="2:16" x14ac:dyDescent="0.15">
      <c r="B17" s="8">
        <v>14</v>
      </c>
      <c r="C17" s="4">
        <f>'[2]实力验证（按等级）'!AG18</f>
        <v>49179701.31622114</v>
      </c>
      <c r="D17" s="4">
        <f>'[2]实力验证（按等级）'!AH18</f>
        <v>51817222.610048272</v>
      </c>
      <c r="E17" s="4">
        <f>'[2]实力验证（按等级）'!AI18</f>
        <v>56458075.732308745</v>
      </c>
      <c r="F17" s="4">
        <f>'[2]实力验证（按等级）'!AJ18</f>
        <v>64349166.64368289</v>
      </c>
      <c r="G17" s="4">
        <f>'[2]实力验证（按等级）'!AK18</f>
        <v>70235900.337911427</v>
      </c>
      <c r="K17" s="15">
        <f>'[1]功能-行军令'!AO17</f>
        <v>53</v>
      </c>
      <c r="L17" s="15">
        <f>'[1]功能-行军令'!AP17</f>
        <v>0</v>
      </c>
      <c r="M17" s="15">
        <f>'[1]功能-行军令'!AQ17</f>
        <v>0</v>
      </c>
      <c r="N17" s="15">
        <f>'[1]功能-行军令'!AR17</f>
        <v>1.7354000000000001</v>
      </c>
      <c r="O17" s="15">
        <f>'[1]功能-行军令'!AS17</f>
        <v>0.2326</v>
      </c>
      <c r="P17" s="15">
        <f>'[1]功能-行军令'!AT17</f>
        <v>3.2000000000000001E-2</v>
      </c>
    </row>
    <row r="18" spans="2:16" x14ac:dyDescent="0.15">
      <c r="B18" s="8">
        <v>15</v>
      </c>
      <c r="C18" s="4">
        <f>'[2]实力验证（按等级）'!AG19</f>
        <v>56666535.625531413</v>
      </c>
      <c r="D18" s="4">
        <f>'[2]实力验证（按等级）'!AH19</f>
        <v>59668390.930082001</v>
      </c>
      <c r="E18" s="4">
        <f>'[2]实力验证（按等级）'!AI19</f>
        <v>64967036.023756243</v>
      </c>
      <c r="F18" s="4">
        <f>'[2]实力验证（按等级）'!AJ19</f>
        <v>73998653.423111439</v>
      </c>
      <c r="G18" s="4">
        <f>'[2]实力验证（按等级）'!AK19</f>
        <v>82639967.499674648</v>
      </c>
      <c r="K18" s="15">
        <f>'[1]功能-行军令'!AO18</f>
        <v>59</v>
      </c>
      <c r="L18" s="15">
        <f>'[1]功能-行军令'!AP18</f>
        <v>0</v>
      </c>
      <c r="M18" s="15">
        <f>'[1]功能-行军令'!AQ18</f>
        <v>0</v>
      </c>
      <c r="N18" s="15">
        <f>'[1]功能-行军令'!AR18</f>
        <v>1.7338</v>
      </c>
      <c r="O18" s="15">
        <f>'[1]功能-行军令'!AS18</f>
        <v>0.2326</v>
      </c>
      <c r="P18" s="15">
        <f>'[1]功能-行军令'!AT18</f>
        <v>3.3600000000000005E-2</v>
      </c>
    </row>
    <row r="19" spans="2:16" x14ac:dyDescent="0.15">
      <c r="B19" s="8">
        <v>16</v>
      </c>
      <c r="C19" s="4">
        <f>'[2]实力验证（按等级）'!AG20</f>
        <v>64986840.694319591</v>
      </c>
      <c r="D19" s="4">
        <f>'[2]实力验证（按等级）'!AH20</f>
        <v>68420416.153750032</v>
      </c>
      <c r="E19" s="4">
        <f>'[2]实力验证（按等级）'!AI20</f>
        <v>74364944.843801066</v>
      </c>
      <c r="F19" s="4">
        <f>'[2]实力验证（按等级）'!AJ20</f>
        <v>86699064.112237692</v>
      </c>
      <c r="G19" s="4">
        <f>'[2]实力验证（按等级）'!AK20</f>
        <v>95589402.045637116</v>
      </c>
      <c r="K19" s="15">
        <f>'[1]功能-行军令'!AO19</f>
        <v>65</v>
      </c>
      <c r="L19" s="15">
        <f>'[1]功能-行军令'!AP19</f>
        <v>0</v>
      </c>
      <c r="M19" s="15">
        <f>'[1]功能-行军令'!AQ19</f>
        <v>0</v>
      </c>
      <c r="N19" s="15">
        <f>'[1]功能-行军令'!AR19</f>
        <v>1.7321200000000001</v>
      </c>
      <c r="O19" s="15">
        <f>'[1]功能-行军令'!AS19</f>
        <v>0.2326</v>
      </c>
      <c r="P19" s="15">
        <f>'[1]功能-行军令'!AT19</f>
        <v>3.5280000000000006E-2</v>
      </c>
    </row>
    <row r="20" spans="2:16" x14ac:dyDescent="0.15">
      <c r="B20" s="8">
        <v>17</v>
      </c>
      <c r="C20" s="4">
        <f>'[2]实力验证（按等级）'!AG21</f>
        <v>74203265.69100754</v>
      </c>
      <c r="D20" s="4">
        <f>'[2]实力验证（按等级）'!AH21</f>
        <v>78077529.682113931</v>
      </c>
      <c r="E20" s="4">
        <f>'[2]实力验证（按等级）'!AI21</f>
        <v>85913635.15444082</v>
      </c>
      <c r="F20" s="4">
        <f>'[2]实力验证（按等级）'!AJ21</f>
        <v>99163510.826596349</v>
      </c>
      <c r="G20" s="4">
        <f>'[2]实力验证（按等级）'!AK21</f>
        <v>109539927.68550913</v>
      </c>
      <c r="K20" s="15">
        <f>'[1]功能-行军令'!AO20</f>
        <v>72</v>
      </c>
      <c r="L20" s="15">
        <f>'[1]功能-行军令'!AP20</f>
        <v>0</v>
      </c>
      <c r="M20" s="15">
        <f>'[1]功能-行军令'!AQ20</f>
        <v>0</v>
      </c>
      <c r="N20" s="15">
        <f>'[1]功能-行军令'!AR20</f>
        <v>1.7321200000000001</v>
      </c>
      <c r="O20" s="15">
        <f>'[1]功能-行军令'!AS20</f>
        <v>0.2326</v>
      </c>
      <c r="P20" s="15">
        <f>'[1]功能-行军令'!AT20</f>
        <v>3.5280000000000006E-2</v>
      </c>
    </row>
    <row r="21" spans="2:16" x14ac:dyDescent="0.15">
      <c r="B21" s="8">
        <v>18</v>
      </c>
      <c r="C21" s="4">
        <f>'[2]实力验证（按等级）'!AG22</f>
        <v>84467522.217441171</v>
      </c>
      <c r="D21" s="4">
        <f>'[2]实力验证（按等级）'!AH22</f>
        <v>89728041.401499495</v>
      </c>
      <c r="E21" s="4">
        <f>'[2]实力验证（按等级）'!AI22</f>
        <v>98084243.705493495</v>
      </c>
      <c r="F21" s="4">
        <f>'[2]实力验证（按等级）'!AJ22</f>
        <v>113141744.78679365</v>
      </c>
      <c r="G21" s="4">
        <f>'[2]实力验证（按等级）'!AK22</f>
        <v>125222460.54331467</v>
      </c>
      <c r="K21" s="15">
        <f>'[1]功能-行军令'!AO21</f>
        <v>79</v>
      </c>
      <c r="L21" s="15">
        <f>'[1]功能-行军令'!AP21</f>
        <v>0</v>
      </c>
      <c r="M21" s="15">
        <f>'[1]功能-行军令'!AQ21</f>
        <v>0</v>
      </c>
      <c r="N21" s="15">
        <f>'[1]功能-行军令'!AR21</f>
        <v>1.7321200000000001</v>
      </c>
      <c r="O21" s="15">
        <f>'[1]功能-行军令'!AS21</f>
        <v>0.2326</v>
      </c>
      <c r="P21" s="15">
        <f>'[1]功能-行军令'!AT21</f>
        <v>3.5280000000000006E-2</v>
      </c>
    </row>
    <row r="22" spans="2:16" x14ac:dyDescent="0.15">
      <c r="B22" s="8">
        <v>19</v>
      </c>
      <c r="C22" s="4">
        <f>'[2]实力验证（按等级）'!AG23</f>
        <v>96727936.689674124</v>
      </c>
      <c r="D22" s="4">
        <f>'[2]实力验证（按等级）'!AH23</f>
        <v>101939423.91788338</v>
      </c>
      <c r="E22" s="4">
        <f>'[2]实力验证（按等级）'!AI23</f>
        <v>111453669.93468972</v>
      </c>
      <c r="F22" s="4">
        <f>'[2]实力验证（按等级）'!AJ23</f>
        <v>128381710.27498814</v>
      </c>
      <c r="G22" s="4">
        <f>'[2]实力验证（按等级）'!AK23</f>
        <v>142449790.29158467</v>
      </c>
      <c r="K22" s="15"/>
      <c r="L22" s="15"/>
      <c r="M22" s="15"/>
      <c r="N22" s="15"/>
      <c r="O22" s="15"/>
      <c r="P22" s="15"/>
    </row>
    <row r="23" spans="2:16" x14ac:dyDescent="0.15">
      <c r="B23" s="8">
        <v>20</v>
      </c>
      <c r="C23" s="4">
        <f>'[2]实力验证（按等级）'!AG24</f>
        <v>109684724.4814869</v>
      </c>
      <c r="D23" s="4">
        <f>'[2]实力验证（按等级）'!AH24</f>
        <v>114805345.07890165</v>
      </c>
      <c r="E23" s="4">
        <f>'[2]实力验证（按等级）'!AI24</f>
        <v>125667190.45862414</v>
      </c>
      <c r="F23" s="4">
        <f>'[2]实力验证（按等级）'!AJ24</f>
        <v>144016167.35406718</v>
      </c>
      <c r="G23" s="4">
        <f>'[2]实力验证（按等级）'!AK24</f>
        <v>159821487.21291915</v>
      </c>
      <c r="K23" s="15"/>
      <c r="L23" s="15"/>
      <c r="M23" s="15"/>
      <c r="N23" s="15"/>
      <c r="O23" s="15"/>
      <c r="P23" s="15"/>
    </row>
    <row r="24" spans="2:16" x14ac:dyDescent="0.15">
      <c r="B24" s="8">
        <v>21</v>
      </c>
      <c r="C24" s="4">
        <f>'[2]实力验证（按等级）'!AG25</f>
        <v>123442529.68860401</v>
      </c>
      <c r="D24" s="4">
        <f>'[2]实力验证（按等级）'!AH25</f>
        <v>129453402.12226216</v>
      </c>
      <c r="E24" s="4">
        <f>'[2]实力验证（按等级）'!AI25</f>
        <v>142109700.98734465</v>
      </c>
      <c r="F24" s="4">
        <f>'[2]实力验证（按等级）'!AJ25</f>
        <v>163065347.20019215</v>
      </c>
      <c r="G24" s="4">
        <f>'[2]实力验证（按等级）'!AK25</f>
        <v>181431376.59331623</v>
      </c>
      <c r="K24" s="14"/>
      <c r="L24" s="15"/>
      <c r="M24" s="15"/>
      <c r="N24" s="15"/>
      <c r="O24" s="15"/>
      <c r="P24" s="15"/>
    </row>
    <row r="25" spans="2:16" x14ac:dyDescent="0.15">
      <c r="B25" s="8">
        <v>22</v>
      </c>
      <c r="C25" s="4">
        <f>'[2]实力验证（按等级）'!AG26</f>
        <v>138453660.77769092</v>
      </c>
      <c r="D25" s="4">
        <f>'[2]实力验证（按等级）'!AH26</f>
        <v>145419938.22831884</v>
      </c>
      <c r="E25" s="4">
        <f>'[2]实力验证（按等级）'!AI26</f>
        <v>159933142.26082367</v>
      </c>
      <c r="F25" s="4">
        <f>'[2]实力验证（按等级）'!AJ26</f>
        <v>183690516.88040113</v>
      </c>
      <c r="G25" s="4">
        <f>'[2]实力验证（按等级）'!AK26</f>
        <v>206705907.30039787</v>
      </c>
      <c r="K25" s="14"/>
      <c r="L25" s="15"/>
      <c r="M25" s="15"/>
      <c r="N25" s="15"/>
      <c r="O25" s="15"/>
      <c r="P25" s="15"/>
    </row>
    <row r="26" spans="2:16" x14ac:dyDescent="0.15">
      <c r="B26" s="8">
        <v>23</v>
      </c>
      <c r="C26" s="4">
        <f>'[2]实力验证（按等级）'!AG27</f>
        <v>154649479.67996988</v>
      </c>
      <c r="D26" s="4">
        <f>'[2]实力验证（按等级）'!AH27</f>
        <v>162764754.86897093</v>
      </c>
      <c r="E26" s="4">
        <f>'[2]实力验证（按等级）'!AI27</f>
        <v>178976288.00174227</v>
      </c>
      <c r="F26" s="4">
        <f>'[2]实力验证（按等级）'!AJ27</f>
        <v>206315482.3897149</v>
      </c>
      <c r="G26" s="4">
        <f>'[2]实力验证（按等级）'!AK27</f>
        <v>233712040.41328499</v>
      </c>
    </row>
    <row r="27" spans="2:16" x14ac:dyDescent="0.15">
      <c r="B27" s="8">
        <v>24</v>
      </c>
      <c r="C27" s="4">
        <f>'[2]实力验证（按等级）'!AG28</f>
        <v>172040907.7828567</v>
      </c>
      <c r="D27" s="4">
        <f>'[2]实力验证（按等级）'!AH28</f>
        <v>181335917.66462195</v>
      </c>
      <c r="E27" s="4">
        <f>'[2]实力验证（按等级）'!AI28</f>
        <v>199893565.63587463</v>
      </c>
      <c r="F27" s="4">
        <f>'[2]实力验证（按等级）'!AJ28</f>
        <v>231870534.38425758</v>
      </c>
      <c r="G27" s="4">
        <f>'[2]实力验证（按等级）'!AK28</f>
        <v>263819122.76147282</v>
      </c>
    </row>
    <row r="28" spans="2:16" x14ac:dyDescent="0.15">
      <c r="B28" s="8">
        <v>25</v>
      </c>
      <c r="C28" s="4">
        <f>'[2]实力验证（按等级）'!AG29</f>
        <v>190629625.97270858</v>
      </c>
      <c r="D28" s="4">
        <f>'[2]实力验证（按等级）'!AH29</f>
        <v>201404729.16506517</v>
      </c>
      <c r="E28" s="4">
        <f>'[2]实力验证（按等级）'!AI29</f>
        <v>223079054.77625948</v>
      </c>
      <c r="F28" s="4">
        <f>'[2]实力验证（按等级）'!AJ29</f>
        <v>260017934.50322863</v>
      </c>
      <c r="G28" s="4">
        <f>'[2]实力验证（按等级）'!AK29</f>
        <v>296310543.14383632</v>
      </c>
    </row>
    <row r="29" spans="2:16" x14ac:dyDescent="0.15">
      <c r="B29" s="8">
        <v>26</v>
      </c>
      <c r="C29" s="4">
        <f>'[2]实力验证（按等级）'!AG30</f>
        <v>210664924.82489792</v>
      </c>
      <c r="D29" s="4">
        <f>'[2]实力验证（按等级）'!AH30</f>
        <v>223652402.72647133</v>
      </c>
      <c r="E29" s="4">
        <f>'[2]实力验证（按等级）'!AI30</f>
        <v>248612756.08204439</v>
      </c>
      <c r="F29" s="4">
        <f>'[2]实力验证（按等级）'!AJ30</f>
        <v>290261605.92744118</v>
      </c>
      <c r="G29" s="4">
        <f>'[2]实力验证（按等级）'!AK30</f>
        <v>332071508.10812157</v>
      </c>
    </row>
    <row r="30" spans="2:16" x14ac:dyDescent="0.15">
      <c r="B30" s="8">
        <v>27</v>
      </c>
      <c r="C30" s="4">
        <f>'[2]实力验证（按等级）'!AG31</f>
        <v>232715508.45527214</v>
      </c>
      <c r="D30" s="4">
        <f>'[2]实力验证（按等级）'!AH31</f>
        <v>248182823.64283451</v>
      </c>
      <c r="E30" s="4">
        <f>'[2]实力验证（按等级）'!AI31</f>
        <v>276180165.02531189</v>
      </c>
      <c r="F30" s="4">
        <f>'[2]实力验证（按等级）'!AJ31</f>
        <v>323359782.2445451</v>
      </c>
      <c r="G30" s="4">
        <f>'[2]实力验证（按等级）'!AK31</f>
        <v>370843301.48219877</v>
      </c>
    </row>
    <row r="31" spans="2:16" x14ac:dyDescent="0.15">
      <c r="B31" s="8">
        <v>28</v>
      </c>
      <c r="C31" s="4">
        <f>'[2]实力验证（按等级）'!AG32</f>
        <v>256944908.83962515</v>
      </c>
      <c r="D31" s="4">
        <f>'[2]实力验证（按等级）'!AH32</f>
        <v>276079781.39840943</v>
      </c>
      <c r="E31" s="4">
        <f>'[2]实力验证（按等级）'!AI32</f>
        <v>308825057.26123029</v>
      </c>
      <c r="F31" s="4">
        <f>'[2]实力验证（按等级）'!AJ32</f>
        <v>372219327.28337121</v>
      </c>
      <c r="G31" s="4">
        <f>'[2]实力验证（按等级）'!AK32</f>
        <v>432797028.02260774</v>
      </c>
    </row>
    <row r="32" spans="2:16" x14ac:dyDescent="0.15">
      <c r="B32" s="8">
        <v>29</v>
      </c>
      <c r="C32" s="4">
        <f>'[2]实力验证（按等级）'!AG33</f>
        <v>287126751.70701844</v>
      </c>
      <c r="D32" s="4">
        <f>'[2]实力验证（按等级）'!AH33</f>
        <v>311952924.34220088</v>
      </c>
      <c r="E32" s="4">
        <f>'[2]实力验证（按等级）'!AI33</f>
        <v>355347745.63035607</v>
      </c>
      <c r="F32" s="4">
        <f>'[2]实力验证（按等级）'!AJ33</f>
        <v>434669315.66889608</v>
      </c>
      <c r="G32" s="4">
        <f>'[2]实力验证（按等级）'!AK33</f>
        <v>506591709.35069174</v>
      </c>
    </row>
    <row r="33" spans="2:7" x14ac:dyDescent="0.15">
      <c r="B33" s="8">
        <v>30</v>
      </c>
      <c r="C33" s="4">
        <f>'[2]实力验证（按等级）'!AG34</f>
        <v>320078241.92638183</v>
      </c>
      <c r="D33" s="4">
        <f>'[2]实力验证（按等级）'!AH34</f>
        <v>351410992.81187439</v>
      </c>
      <c r="E33" s="4">
        <f>'[2]实力验证（按等级）'!AI34</f>
        <v>407148932.40332216</v>
      </c>
      <c r="F33" s="4">
        <f>'[2]实力验证（按等级）'!AJ34</f>
        <v>504996388.05090261</v>
      </c>
      <c r="G33" s="4">
        <f>'[2]实力验证（按等级）'!AK34</f>
        <v>590976162.49532306</v>
      </c>
    </row>
    <row r="34" spans="2:7" x14ac:dyDescent="0.15">
      <c r="B34" s="8">
        <v>31</v>
      </c>
      <c r="C34" s="4">
        <f>'[2]实力验证（按等级）'!AG35</f>
        <v>361924316.79633939</v>
      </c>
      <c r="D34" s="4">
        <f>'[2]实力验证（按等级）'!AH35</f>
        <v>401130779.39424026</v>
      </c>
      <c r="E34" s="4">
        <f>'[2]实力验证（按等级）'!AI35</f>
        <v>472465638.77440202</v>
      </c>
      <c r="F34" s="4">
        <f>'[2]实力验证（按等级）'!AJ35</f>
        <v>593984640.5002861</v>
      </c>
      <c r="G34" s="4">
        <f>'[2]实力验证（按等级）'!AK35</f>
        <v>696581278.15107405</v>
      </c>
    </row>
    <row r="35" spans="2:7" x14ac:dyDescent="0.15">
      <c r="B35" s="8">
        <v>32</v>
      </c>
      <c r="C35" s="4">
        <f>'[2]实力验证（按等级）'!AG36</f>
        <v>407798406.69365495</v>
      </c>
      <c r="D35" s="4">
        <f>'[2]实力验证（按等级）'!AH36</f>
        <v>456624395.76228291</v>
      </c>
      <c r="E35" s="4">
        <f>'[2]实力验证（按等级）'!AI36</f>
        <v>546104832.83324707</v>
      </c>
      <c r="F35" s="4">
        <f>'[2]实力验证（按等级）'!AJ36</f>
        <v>695838011.82391822</v>
      </c>
      <c r="G35" s="4">
        <f>'[2]实力验证（按等级）'!AK36</f>
        <v>817947486.48193777</v>
      </c>
    </row>
    <row r="36" spans="2:7" x14ac:dyDescent="0.15">
      <c r="B36" s="8">
        <v>33</v>
      </c>
      <c r="C36" s="4">
        <f>'[2]实力验证（按等级）'!AG37</f>
        <v>458570320.02249181</v>
      </c>
      <c r="D36" s="4">
        <f>'[2]实力验证（按等级）'!AH37</f>
        <v>517729544.36067653</v>
      </c>
      <c r="E36" s="4">
        <f>'[2]实力验证（按等级）'!AI37</f>
        <v>629505303.11748636</v>
      </c>
      <c r="F36" s="4">
        <f>'[2]实力验证（按等级）'!AJ37</f>
        <v>811803065.4955405</v>
      </c>
      <c r="G36" s="4">
        <f>'[2]实力验证（按等级）'!AK37</f>
        <v>955511104.57158697</v>
      </c>
    </row>
    <row r="37" spans="2:7" x14ac:dyDescent="0.15">
      <c r="B37" s="8">
        <v>34</v>
      </c>
      <c r="C37" s="4">
        <f>'[2]实力验证（按等级）'!AG38</f>
        <v>514017531.68117023</v>
      </c>
      <c r="D37" s="4">
        <f>'[2]实力验证（按等级）'!AH38</f>
        <v>586621307.11623406</v>
      </c>
      <c r="E37" s="4">
        <f>'[2]实力验证（按等级）'!AI38</f>
        <v>723184735.15320265</v>
      </c>
      <c r="F37" s="4">
        <f>'[2]实力验证（按等级）'!AJ38</f>
        <v>934697912.0516777</v>
      </c>
      <c r="G37" s="4">
        <f>'[2]实力验证（按等级）'!AK38</f>
        <v>1092761372.8120778</v>
      </c>
    </row>
    <row r="38" spans="2:7" x14ac:dyDescent="0.15">
      <c r="B38" s="8">
        <v>35</v>
      </c>
      <c r="C38" s="4">
        <f>'[2]实力验证（按等级）'!AG39</f>
        <v>581331880.27849197</v>
      </c>
      <c r="D38" s="4">
        <f>'[2]实力验证（按等级）'!AH39</f>
        <v>665064067.78296506</v>
      </c>
      <c r="E38" s="4">
        <f>'[2]实力验证（按等级）'!AI39</f>
        <v>813737917.73898804</v>
      </c>
      <c r="F38" s="4">
        <f>'[2]实力验证（按等级）'!AJ39</f>
        <v>1051821633.7899351</v>
      </c>
      <c r="G38" s="4">
        <f>'[2]实力验证（按等级）'!AK39</f>
        <v>1229957637.8225248</v>
      </c>
    </row>
    <row r="39" spans="2:7" x14ac:dyDescent="0.15">
      <c r="B39" s="8">
        <v>36</v>
      </c>
      <c r="C39" s="4">
        <f>'[2]实力验证（按等级）'!AG40</f>
        <v>664619216.82824087</v>
      </c>
      <c r="D39" s="4">
        <f>'[2]实力验证（按等级）'!AH40</f>
        <v>753489575.21342158</v>
      </c>
      <c r="E39" s="4">
        <f>'[2]实力验证（按等级）'!AI40</f>
        <v>908249498.19717526</v>
      </c>
      <c r="F39" s="4">
        <f>'[2]实力验证（按等级）'!AJ40</f>
        <v>1180387089.5550075</v>
      </c>
      <c r="G39" s="4">
        <f>'[2]实力验证（按等级）'!AK40</f>
        <v>1379681933.7405086</v>
      </c>
    </row>
    <row r="40" spans="2:7" x14ac:dyDescent="0.15">
      <c r="B40" s="8">
        <v>37</v>
      </c>
      <c r="C40" s="4">
        <f>'[2]实力验证（按等级）'!AG41</f>
        <v>757465680.56535745</v>
      </c>
      <c r="D40" s="4">
        <f>'[2]实力验证（按等级）'!AH41</f>
        <v>850745070.61828589</v>
      </c>
      <c r="E40" s="4">
        <f>'[2]实力验证（按等级）'!AI41</f>
        <v>1011622369.0364876</v>
      </c>
      <c r="F40" s="4">
        <f>'[2]实力验证（按等级）'!AJ41</f>
        <v>1319692732.5510101</v>
      </c>
      <c r="G40" s="4">
        <f>'[2]实力验证（按等级）'!AK41</f>
        <v>1544060608.045182</v>
      </c>
    </row>
    <row r="41" spans="2:7" x14ac:dyDescent="0.15">
      <c r="B41" s="8">
        <v>38</v>
      </c>
      <c r="C41" s="4">
        <f>'[2]实力验证（按等级）'!AG42</f>
        <v>860402561.54088855</v>
      </c>
      <c r="D41" s="4">
        <f>'[2]实力验证（按等级）'!AH42</f>
        <v>957986542.09368312</v>
      </c>
      <c r="E41" s="4">
        <f>'[2]实力验证（按等级）'!AI42</f>
        <v>1123541594.8975487</v>
      </c>
      <c r="F41" s="4">
        <f>'[2]实力验证（按等级）'!AJ42</f>
        <v>1472594426.6235423</v>
      </c>
      <c r="G41" s="4">
        <f>'[2]实力验证（按等级）'!AK42</f>
        <v>1723203154.5390072</v>
      </c>
    </row>
    <row r="42" spans="2:7" x14ac:dyDescent="0.15">
      <c r="B42" s="8">
        <v>39</v>
      </c>
      <c r="C42" s="4">
        <f>'[2]实力验证（按等级）'!AG43</f>
        <v>974708670.98411059</v>
      </c>
      <c r="D42" s="4">
        <f>'[2]实力验证（按等级）'!AH43</f>
        <v>1075529368.7207668</v>
      </c>
      <c r="E42" s="4">
        <f>'[2]实力验证（按等级）'!AI43</f>
        <v>1245532484.8592107</v>
      </c>
      <c r="F42" s="4">
        <f>'[2]实力验证（按等级）'!AJ43</f>
        <v>1638645173.1675432</v>
      </c>
      <c r="G42" s="4">
        <f>'[2]实力验证（按等级）'!AK43</f>
        <v>1920114202.9928617</v>
      </c>
    </row>
    <row r="43" spans="2:7" x14ac:dyDescent="0.15">
      <c r="B43" s="8">
        <v>40</v>
      </c>
      <c r="C43" s="4">
        <f>'[2]实力验证（按等级）'!AG44</f>
        <v>1101581859.2905219</v>
      </c>
      <c r="D43" s="4">
        <f>'[2]实力验证（按等级）'!AH44</f>
        <v>1196544376.5064692</v>
      </c>
      <c r="E43" s="4">
        <f>'[2]实力验证（按等级）'!AI44</f>
        <v>1376444593.8159223</v>
      </c>
      <c r="F43" s="4">
        <f>'[2]实力验证（按等级）'!AJ44</f>
        <v>1823595129.3783858</v>
      </c>
      <c r="G43" s="4">
        <f>'[2]实力验证（按等级）'!AK44</f>
        <v>2138704685.3391955</v>
      </c>
    </row>
    <row r="44" spans="2:7" x14ac:dyDescent="0.15">
      <c r="B44" s="8">
        <v>41</v>
      </c>
      <c r="C44" s="4">
        <f>'[2]实力验证（按等级）'!AG45</f>
        <v>1193590451.3784349</v>
      </c>
      <c r="D44" s="4">
        <f>'[2]实力验证（按等级）'!AH45</f>
        <v>1291591037.2480829</v>
      </c>
      <c r="E44" s="4">
        <f>'[2]实力验证（按等级）'!AI45</f>
        <v>1491705170.2238402</v>
      </c>
      <c r="F44" s="4">
        <f>'[2]实力验证（按等级）'!AJ45</f>
        <v>1995010029.1914561</v>
      </c>
      <c r="G44" s="4">
        <f>'[2]实力验证（按等级）'!AK45</f>
        <v>2345077265.2192407</v>
      </c>
    </row>
    <row r="45" spans="2:7" x14ac:dyDescent="0.15">
      <c r="B45" s="8">
        <v>42</v>
      </c>
      <c r="C45" s="4">
        <f>'[2]实力验证（按等级）'!AG46</f>
        <v>1292710047.7866945</v>
      </c>
      <c r="D45" s="4">
        <f>'[2]实力验证（按等级）'!AH46</f>
        <v>1393183188.5704806</v>
      </c>
      <c r="E45" s="4">
        <f>'[2]实力验证（按等级）'!AI46</f>
        <v>1614837553.734889</v>
      </c>
      <c r="F45" s="4">
        <f>'[2]实力验证（按等级）'!AJ46</f>
        <v>2181921569.4944596</v>
      </c>
      <c r="G45" s="4">
        <f>'[2]实力验证（按等级）'!AK46</f>
        <v>2565416529.1900177</v>
      </c>
    </row>
    <row r="46" spans="2:7" x14ac:dyDescent="0.15">
      <c r="B46" s="8">
        <v>43</v>
      </c>
      <c r="C46" s="4">
        <f>'[2]实力验证（按等级）'!AG47</f>
        <v>1397748170.6406643</v>
      </c>
      <c r="D46" s="4">
        <f>'[2]实力验证（按等级）'!AH47</f>
        <v>1506723886.6653292</v>
      </c>
      <c r="E46" s="4">
        <f>'[2]实力验证（按等级）'!AI47</f>
        <v>1745346870.2929282</v>
      </c>
      <c r="F46" s="4">
        <f>'[2]实力验证（按等级）'!AJ47</f>
        <v>2382906113.2474418</v>
      </c>
      <c r="G46" s="4">
        <f>'[2]实力验证（按等级）'!AK47</f>
        <v>2807835478.553061</v>
      </c>
    </row>
    <row r="47" spans="2:7" x14ac:dyDescent="0.15">
      <c r="B47" s="8">
        <v>44</v>
      </c>
      <c r="C47" s="4">
        <f>'[2]实力验证（按等级）'!AG48</f>
        <v>1512204102.9085531</v>
      </c>
      <c r="D47" s="4">
        <f>'[2]实力验证（按等级）'!AH48</f>
        <v>1629610941.1013088</v>
      </c>
      <c r="E47" s="4">
        <f>'[2]实力验证（按等级）'!AI48</f>
        <v>1890091134.7789426</v>
      </c>
      <c r="F47" s="4">
        <f>'[2]实力验证（按等级）'!AJ48</f>
        <v>2607590769.7033696</v>
      </c>
      <c r="G47" s="4">
        <f>'[2]实力验证（按等级）'!AK48</f>
        <v>3063941437.5084724</v>
      </c>
    </row>
    <row r="48" spans="2:7" x14ac:dyDescent="0.15">
      <c r="B48" s="8">
        <v>45</v>
      </c>
      <c r="C48" s="4">
        <f>'[2]实力验证（按等级）'!AG49</f>
        <v>1633079838.5289683</v>
      </c>
      <c r="D48" s="4">
        <f>'[2]实力验证（按等级）'!AH49</f>
        <v>1764822445.4651549</v>
      </c>
      <c r="E48" s="4">
        <f>'[2]实力验证（按等级）'!AI49</f>
        <v>2052701078.8106735</v>
      </c>
      <c r="F48" s="4">
        <f>'[2]实力验证（按等级）'!AJ49</f>
        <v>2846009463.947525</v>
      </c>
      <c r="G48" s="4">
        <f>'[2]实力验证（按等级）'!AK49</f>
        <v>3337422657.1665578</v>
      </c>
    </row>
    <row r="49" spans="2:7" x14ac:dyDescent="0.15">
      <c r="B49" s="8">
        <v>46</v>
      </c>
      <c r="C49" s="4">
        <f>'[2]实力验证（按等级）'!AG50</f>
        <v>1763440770.7236307</v>
      </c>
      <c r="D49" s="4">
        <f>'[2]实力验证（按等级）'!AH50</f>
        <v>1909606293.785531</v>
      </c>
      <c r="E49" s="4">
        <f>'[2]实力验证（按等级）'!AI50</f>
        <v>2233479511.4961715</v>
      </c>
      <c r="F49" s="4">
        <f>'[2]实力验证（按等级）'!AJ50</f>
        <v>3091008509.8563137</v>
      </c>
      <c r="G49" s="4">
        <f>'[2]实力验证（按等级）'!AK50</f>
        <v>3628014496.4232779</v>
      </c>
    </row>
    <row r="50" spans="2:7" x14ac:dyDescent="0.15">
      <c r="B50" s="8">
        <v>47</v>
      </c>
      <c r="C50" s="4">
        <f>'[2]实力验证（按等级）'!AG51</f>
        <v>1902971936.2398295</v>
      </c>
      <c r="D50" s="4">
        <f>'[2]实力验证（按等级）'!AH51</f>
        <v>2064653733.7981298</v>
      </c>
      <c r="E50" s="4">
        <f>'[2]实力验证（按等级）'!AI51</f>
        <v>2419900258.0263681</v>
      </c>
      <c r="F50" s="4">
        <f>'[2]实力验证（按等级）'!AJ51</f>
        <v>3353594683.6304159</v>
      </c>
      <c r="G50" s="4">
        <f>'[2]实力验证（按等级）'!AK51</f>
        <v>3939181257.0542984</v>
      </c>
    </row>
    <row r="51" spans="2:7" x14ac:dyDescent="0.15">
      <c r="B51" s="8">
        <v>48</v>
      </c>
      <c r="C51" s="4">
        <f>'[2]实力验证（按等级）'!AG52</f>
        <v>2053363513.7730107</v>
      </c>
      <c r="D51" s="4">
        <f>'[2]实力验证（按等级）'!AH52</f>
        <v>2227145430.0209646</v>
      </c>
      <c r="E51" s="4">
        <f>'[2]实力验证（按等级）'!AI52</f>
        <v>2617600592.8350949</v>
      </c>
      <c r="F51" s="4">
        <f>'[2]实力验证（按等级）'!AJ52</f>
        <v>3630961849.3202486</v>
      </c>
      <c r="G51" s="4">
        <f>'[2]实力验证（按等级）'!AK52</f>
        <v>4273041913.9387283</v>
      </c>
    </row>
    <row r="52" spans="2:7" x14ac:dyDescent="0.15">
      <c r="B52" s="8">
        <v>49</v>
      </c>
      <c r="C52" s="4">
        <f>'[2]实力验证（按等级）'!AG53</f>
        <v>2213304200.3861604</v>
      </c>
      <c r="D52" s="4">
        <f>'[2]实力验证（按等级）'!AH53</f>
        <v>2395333154.0812011</v>
      </c>
      <c r="E52" s="4">
        <f>'[2]实力验证（按等级）'!AI53</f>
        <v>2826831508.3380871</v>
      </c>
      <c r="F52" s="4">
        <f>'[2]实力验证（按等级）'!AJ53</f>
        <v>4029336627.255003</v>
      </c>
      <c r="G52" s="4">
        <f>'[2]实力验证（按等级）'!AK53</f>
        <v>4627481220.6418972</v>
      </c>
    </row>
    <row r="53" spans="2:7" x14ac:dyDescent="0.15">
      <c r="B53" s="8">
        <v>50</v>
      </c>
      <c r="C53" s="4">
        <f>'[2]实力验证（按等级）'!AG54</f>
        <v>2385254979.9614973</v>
      </c>
      <c r="D53" s="4">
        <f>'[2]实力验证（按等级）'!AH54</f>
        <v>2592986548.0319638</v>
      </c>
      <c r="E53" s="4">
        <f>'[2]实力验证（按等级）'!AI54</f>
        <v>3203364976.8110828</v>
      </c>
      <c r="F53" s="4">
        <f>'[2]实力验证（按等级）'!AJ54</f>
        <v>4356564249.16469</v>
      </c>
      <c r="G53" s="4">
        <f>'[2]实力验证（按等级）'!AK54</f>
        <v>5006607013.3690357</v>
      </c>
    </row>
    <row r="54" spans="2:7" x14ac:dyDescent="0.15">
      <c r="B54" s="8">
        <v>51</v>
      </c>
      <c r="C54" s="4">
        <f>'[2]实力验证（按等级）'!AG55</f>
        <v>2641605137.2994528</v>
      </c>
      <c r="D54" s="4">
        <f>'[2]实力验证（按等级）'!AH55</f>
        <v>2869211793.8531132</v>
      </c>
      <c r="E54" s="4">
        <f>'[2]实力验证（按等级）'!AI55</f>
        <v>3738376634.130969</v>
      </c>
      <c r="F54" s="4">
        <f>'[2]实力验证（按等级）'!AJ55</f>
        <v>4847369722.4872112</v>
      </c>
      <c r="G54" s="4">
        <f>'[2]实力验证（按等级）'!AK55</f>
        <v>5608178205.6564302</v>
      </c>
    </row>
    <row r="55" spans="2:7" x14ac:dyDescent="0.15">
      <c r="B55" s="8">
        <v>52</v>
      </c>
      <c r="C55" s="4">
        <f>'[2]实力验证（按等级）'!AG56</f>
        <v>2917647584.3490534</v>
      </c>
      <c r="D55" s="4">
        <f>'[2]实力验证（按等级）'!AH56</f>
        <v>3176048162.6185212</v>
      </c>
      <c r="E55" s="4">
        <f>'[2]实力验证（按等级）'!AI56</f>
        <v>4334911595.8906708</v>
      </c>
      <c r="F55" s="4">
        <f>'[2]实力验证（按等级）'!AJ56</f>
        <v>5383827539.3973484</v>
      </c>
      <c r="G55" s="4">
        <f>'[2]实力验证（按等级）'!AK56</f>
        <v>6267555456.4425955</v>
      </c>
    </row>
    <row r="56" spans="2:7" x14ac:dyDescent="0.15">
      <c r="B56" s="8">
        <v>53</v>
      </c>
      <c r="C56" s="4">
        <f>'[2]实力验证（按等级）'!AG57</f>
        <v>3217539924.6806703</v>
      </c>
      <c r="D56" s="4">
        <f>'[2]实力验证（按等级）'!AH57</f>
        <v>3510218111.9629884</v>
      </c>
      <c r="E56" s="4">
        <f>'[2]实力验证（按等级）'!AI57</f>
        <v>4999508537.8014832</v>
      </c>
      <c r="F56" s="4">
        <f>'[2]实力验证（按等级）'!AJ57</f>
        <v>5977484689.1580563</v>
      </c>
      <c r="G56" s="4">
        <f>'[2]实力验证（按等级）'!AK57</f>
        <v>6980205911.1943398</v>
      </c>
    </row>
    <row r="57" spans="2:7" x14ac:dyDescent="0.15">
      <c r="B57" s="8">
        <v>54</v>
      </c>
      <c r="C57" s="4">
        <f>'[2]实力验证（按等级）'!AG58</f>
        <v>3549926457.1358266</v>
      </c>
      <c r="D57" s="4">
        <f>'[2]实力验证（按等级）'!AH58</f>
        <v>3889848368.4100971</v>
      </c>
      <c r="E57" s="4">
        <f>'[2]实力验证（按等级）'!AI58</f>
        <v>5421852289.4915237</v>
      </c>
      <c r="F57" s="4">
        <f>'[2]实力验证（按等级）'!AJ58</f>
        <v>6673613874.7685232</v>
      </c>
      <c r="G57" s="4">
        <f>'[2]实力验证（按等级）'!AK58</f>
        <v>7748313162.2584362</v>
      </c>
    </row>
    <row r="58" spans="2:7" x14ac:dyDescent="0.15">
      <c r="B58" s="8">
        <v>55</v>
      </c>
      <c r="C58" s="4">
        <f>'[2]实力验证（按等级）'!AG59</f>
        <v>3922921052.1328754</v>
      </c>
      <c r="D58" s="4">
        <f>'[2]实力验证（按等级）'!AH59</f>
        <v>4305646401.7289286</v>
      </c>
      <c r="E58" s="4">
        <f>'[2]实力验证（按等级）'!AI59</f>
        <v>5798636521.7209368</v>
      </c>
      <c r="F58" s="4">
        <f>'[2]实力验证（按等级）'!AJ59</f>
        <v>7431345325.2648325</v>
      </c>
      <c r="G58" s="4">
        <f>'[2]实力验证（按等级）'!AK59</f>
        <v>8587834641.723217</v>
      </c>
    </row>
    <row r="59" spans="2:7" x14ac:dyDescent="0.15">
      <c r="B59" s="8">
        <v>56</v>
      </c>
      <c r="C59" s="4">
        <f>'[2]实力验证（按等级）'!AG60</f>
        <v>4334926354.0597057</v>
      </c>
      <c r="D59" s="4">
        <f>'[2]实力验证（按等级）'!AH60</f>
        <v>4754392577.0479374</v>
      </c>
      <c r="E59" s="4">
        <f>'[2]实力验证（按等级）'!AI60</f>
        <v>6196581268.5735912</v>
      </c>
      <c r="F59" s="4">
        <f>'[2]实力验证（按等级）'!AJ60</f>
        <v>8255455077.7959423</v>
      </c>
      <c r="G59" s="4">
        <f>'[2]实力验证（按等级）'!AK60</f>
        <v>9493956694.9909573</v>
      </c>
    </row>
    <row r="60" spans="2:7" x14ac:dyDescent="0.15">
      <c r="B60" s="8">
        <v>57</v>
      </c>
      <c r="C60" s="4">
        <f>'[2]实力验证（按等级）'!AG61</f>
        <v>4813924434.3790112</v>
      </c>
      <c r="D60" s="4">
        <f>'[2]实力验证（按等级）'!AH61</f>
        <v>5241547427.1463375</v>
      </c>
      <c r="E60" s="4">
        <f>'[2]实力验证（按等级）'!AI61</f>
        <v>6619582250.6241302</v>
      </c>
      <c r="F60" s="4">
        <f>'[2]实力验证（按等级）'!AJ61</f>
        <v>9150754413.5567417</v>
      </c>
      <c r="G60" s="4">
        <f>'[2]实力验证（按等级）'!AK61</f>
        <v>10485086494.925455</v>
      </c>
    </row>
    <row r="61" spans="2:7" x14ac:dyDescent="0.15">
      <c r="B61" s="8">
        <v>58</v>
      </c>
      <c r="C61" s="4">
        <f>'[2]实力验证（按等级）'!AG62</f>
        <v>5305821990.0653067</v>
      </c>
      <c r="D61" s="4">
        <f>'[2]实力验证（按等级）'!AH62</f>
        <v>5764008661.0696259</v>
      </c>
      <c r="E61" s="4">
        <f>'[2]实力验证（按等级）'!AI62</f>
        <v>7070906212.9339371</v>
      </c>
      <c r="F61" s="4">
        <f>'[2]实力验证（按等级）'!AJ62</f>
        <v>10133705845.734921</v>
      </c>
      <c r="G61" s="4">
        <f>'[2]实力验证（按等级）'!AK62</f>
        <v>12183336256.73707</v>
      </c>
    </row>
    <row r="62" spans="2:7" x14ac:dyDescent="0.15">
      <c r="B62" s="8">
        <v>59</v>
      </c>
      <c r="C62" s="4">
        <f>'[2]实力验证（按等级）'!AG63</f>
        <v>5835461871.3500729</v>
      </c>
      <c r="D62" s="4">
        <f>'[2]实力验证（按等级）'!AH63</f>
        <v>6328292374.1902943</v>
      </c>
      <c r="E62" s="4">
        <f>'[2]实力验证（按等级）'!AI63</f>
        <v>7552664372.3487139</v>
      </c>
      <c r="F62" s="4">
        <f>'[2]实力验证（按等级）'!AJ63</f>
        <v>11221423618.598778</v>
      </c>
      <c r="G62" s="4">
        <f>'[2]实力验证（按等级）'!AK63</f>
        <v>13451807672.723717</v>
      </c>
    </row>
    <row r="63" spans="2:7" x14ac:dyDescent="0.15">
      <c r="B63" s="8">
        <v>60</v>
      </c>
      <c r="C63" s="4">
        <f>'[2]实力验证（按等级）'!AG64</f>
        <v>6508695985.1779127</v>
      </c>
      <c r="D63" s="4">
        <f>'[2]实力验证（按等级）'!AH64</f>
        <v>7206774116.8606443</v>
      </c>
      <c r="E63" s="4">
        <f>'[2]实力验证（按等级）'!AI64</f>
        <v>8736104146.1597176</v>
      </c>
      <c r="F63" s="4">
        <f>'[2]实力验证（按等级）'!AJ64</f>
        <v>13214567651.296272</v>
      </c>
      <c r="G63" s="4">
        <f>'[2]实力验证（按等级）'!AK64</f>
        <v>16096526716.150995</v>
      </c>
    </row>
    <row r="64" spans="2:7" x14ac:dyDescent="0.15">
      <c r="B64" s="8">
        <v>61</v>
      </c>
      <c r="C64" s="4">
        <f>'[2]实力验证（按等级）'!AG65</f>
        <v>7391850929.4847794</v>
      </c>
      <c r="D64" s="4">
        <f>'[2]实力验证（按等级）'!AH65</f>
        <v>8369589275.1308775</v>
      </c>
      <c r="E64" s="4">
        <f>'[2]实力验证（按等级）'!AI65</f>
        <v>10179325692.885357</v>
      </c>
      <c r="F64" s="4">
        <f>'[2]实力验证（按等级）'!AJ65</f>
        <v>15318515088.829157</v>
      </c>
      <c r="G64" s="4">
        <f>'[2]实力验证（按等级）'!AK65</f>
        <v>18471428311.649757</v>
      </c>
    </row>
    <row r="65" spans="2:7" x14ac:dyDescent="0.15">
      <c r="B65" s="8">
        <v>62</v>
      </c>
      <c r="C65" s="4">
        <f>'[2]实力验证（按等级）'!AG66</f>
        <v>8384578435.9088335</v>
      </c>
      <c r="D65" s="4">
        <f>'[2]实力验证（按等级）'!AH66</f>
        <v>9670300872.3542519</v>
      </c>
      <c r="E65" s="4">
        <f>'[2]实力验证（按等级）'!AI66</f>
        <v>11823932373.55221</v>
      </c>
      <c r="F65" s="4">
        <f>'[2]实力验证（按等级）'!AJ66</f>
        <v>17702891953.334595</v>
      </c>
      <c r="G65" s="4">
        <f>'[2]实力验证（按等级）'!AK66</f>
        <v>21150234429.026878</v>
      </c>
    </row>
    <row r="66" spans="2:7" x14ac:dyDescent="0.15">
      <c r="B66" s="8">
        <v>63</v>
      </c>
      <c r="C66" s="4">
        <f>'[2]实力验证（按等级）'!AG67</f>
        <v>9489011318.2161694</v>
      </c>
      <c r="D66" s="4">
        <f>'[2]实力验证（按等级）'!AH67</f>
        <v>11141336145.040499</v>
      </c>
      <c r="E66" s="4">
        <f>'[2]实力验证（按等级）'!AI67</f>
        <v>13685966112.782356</v>
      </c>
      <c r="F66" s="4">
        <f>'[2]实力验证（按等级）'!AJ67</f>
        <v>20408089774.191032</v>
      </c>
      <c r="G66" s="4">
        <f>'[2]实力验证（按等级）'!AK67</f>
        <v>24149422939.772392</v>
      </c>
    </row>
    <row r="67" spans="2:7" x14ac:dyDescent="0.15">
      <c r="B67" s="8">
        <v>64</v>
      </c>
      <c r="C67" s="4">
        <f>'[2]实力验证（按等级）'!AG68</f>
        <v>10724390360.208311</v>
      </c>
      <c r="D67" s="4">
        <f>'[2]实力验证（按等级）'!AH68</f>
        <v>12793858313.376423</v>
      </c>
      <c r="E67" s="4">
        <f>'[2]实力验证（按等级）'!AI68</f>
        <v>15808779540.807598</v>
      </c>
      <c r="F67" s="4">
        <f>'[2]实力验证（按等级）'!AJ68</f>
        <v>23460434050.364166</v>
      </c>
      <c r="G67" s="4">
        <f>'[2]实力验证（按等级）'!AK68</f>
        <v>27497481038.275833</v>
      </c>
    </row>
    <row r="68" spans="2:7" x14ac:dyDescent="0.15">
      <c r="B68" s="8">
        <v>65</v>
      </c>
      <c r="C68" s="4">
        <f>'[2]实力验证（按等级）'!AG69</f>
        <v>12101331155.747486</v>
      </c>
      <c r="D68" s="4">
        <f>'[2]实力验证（按等级）'!AH69</f>
        <v>14675641070.628992</v>
      </c>
      <c r="E68" s="4">
        <f>'[2]实力验证（按等级）'!AI69</f>
        <v>18246950629.53587</v>
      </c>
      <c r="F68" s="4">
        <f>'[2]实力验证（按等级）'!AJ69</f>
        <v>26824864133.181885</v>
      </c>
      <c r="G68" s="4">
        <f>'[2]实力验证（按等级）'!AK69</f>
        <v>31137922672.49371</v>
      </c>
    </row>
    <row r="69" spans="2:7" x14ac:dyDescent="0.15">
      <c r="B69" s="8">
        <v>66</v>
      </c>
      <c r="C69" s="4">
        <f>'[2]实力验证（按等级）'!AG70</f>
        <v>13474850521.821865</v>
      </c>
      <c r="D69" s="4">
        <f>'[2]实力验证（按等级）'!AH70</f>
        <v>16654415610.08213</v>
      </c>
      <c r="E69" s="4">
        <f>'[2]实力验证（按等级）'!AI70</f>
        <v>20928699318.303925</v>
      </c>
      <c r="F69" s="4">
        <f>'[2]实力验证（按等级）'!AJ70</f>
        <v>30436658800.681087</v>
      </c>
      <c r="G69" s="4">
        <f>'[2]实力验证（按等级）'!AK70</f>
        <v>35222826138.027939</v>
      </c>
    </row>
    <row r="70" spans="2:7" x14ac:dyDescent="0.15">
      <c r="B70" s="8">
        <v>67</v>
      </c>
      <c r="C70" s="4">
        <f>'[2]实力验证（按等级）'!AG71</f>
        <v>14968338740.577572</v>
      </c>
      <c r="D70" s="4">
        <f>'[2]实力验证（按等级）'!AH71</f>
        <v>18853703454.121723</v>
      </c>
      <c r="E70" s="4">
        <f>'[2]实力验证（按等级）'!AI71</f>
        <v>23893987763.423077</v>
      </c>
      <c r="F70" s="4">
        <f>'[2]实力验证（按等级）'!AJ71</f>
        <v>34523807726.983185</v>
      </c>
      <c r="G70" s="4">
        <f>'[2]实力验证（按等级）'!AK71</f>
        <v>39871082479.878822</v>
      </c>
    </row>
    <row r="71" spans="2:7" x14ac:dyDescent="0.15">
      <c r="B71" s="8">
        <v>68</v>
      </c>
      <c r="C71" s="4">
        <f>'[2]实力验证（按等级）'!AG72</f>
        <v>16586653025.174246</v>
      </c>
      <c r="D71" s="4">
        <f>'[2]实力验证（按等级）'!AH72</f>
        <v>21291003105.513737</v>
      </c>
      <c r="E71" s="4">
        <f>'[2]实力验证（按等级）'!AI72</f>
        <v>27194569297.700264</v>
      </c>
      <c r="F71" s="4">
        <f>'[2]实力验证（按等级）'!AJ72</f>
        <v>39280574495.289009</v>
      </c>
      <c r="G71" s="4">
        <f>'[2]实力验证（按等级）'!AK72</f>
        <v>45185439367.965607</v>
      </c>
    </row>
    <row r="72" spans="2:7" x14ac:dyDescent="0.15">
      <c r="B72" s="8">
        <v>69</v>
      </c>
      <c r="C72" s="4">
        <f>'[2]实力验证（按等级）'!AG73</f>
        <v>18353655452.941555</v>
      </c>
      <c r="D72" s="4">
        <f>'[2]实力验证（按等级）'!AH73</f>
        <v>23988842375.644577</v>
      </c>
      <c r="E72" s="4">
        <f>'[2]实力验证（按等级）'!AI73</f>
        <v>31012727747.842892</v>
      </c>
      <c r="F72" s="4">
        <f>'[2]实力验证（按等级）'!AJ73</f>
        <v>44540343045.448326</v>
      </c>
      <c r="G72" s="4">
        <f>'[2]实力验证（按等级）'!AK73</f>
        <v>51149676369.6446</v>
      </c>
    </row>
    <row r="73" spans="2:7" x14ac:dyDescent="0.15">
      <c r="B73" s="8">
        <v>70</v>
      </c>
      <c r="C73" s="4">
        <f>'[2]实力验证（按等级）'!AG74</f>
        <v>20360592271.786015</v>
      </c>
      <c r="D73" s="4">
        <f>'[2]实力验证（按等级）'!AH74</f>
        <v>27111184289.754066</v>
      </c>
      <c r="E73" s="4">
        <f>'[2]实力验证（按等级）'!AI74</f>
        <v>35073570161.343765</v>
      </c>
      <c r="F73" s="4">
        <f>'[2]实力验证（按等级）'!AJ74</f>
        <v>50181061231.840698</v>
      </c>
      <c r="G73" s="4">
        <f>'[2]实力验证（按等级）'!AK74</f>
        <v>57897117662.137886</v>
      </c>
    </row>
    <row r="74" spans="2:7" x14ac:dyDescent="0.15">
      <c r="B74" s="8">
        <v>71</v>
      </c>
      <c r="C74" s="4">
        <f>'[2]实力验证（按等级）'!AG75</f>
        <v>22698294653.383926</v>
      </c>
      <c r="D74" s="4">
        <f>'[2]实力验证（按等级）'!AH75</f>
        <v>30171728659.957603</v>
      </c>
      <c r="E74" s="4">
        <f>'[2]实力验证（按等级）'!AI75</f>
        <v>38760811542.69928</v>
      </c>
      <c r="F74" s="4">
        <f>'[2]实力验证（按等级）'!AJ75</f>
        <v>55822192465.229462</v>
      </c>
      <c r="G74" s="4">
        <f>'[2]实力验证（按等级）'!AK75</f>
        <v>64740773085.912529</v>
      </c>
    </row>
    <row r="75" spans="2:7" x14ac:dyDescent="0.15">
      <c r="B75" s="8">
        <v>72</v>
      </c>
      <c r="C75" s="4">
        <f>'[2]实力验证（按等级）'!AG76</f>
        <v>25364576299.702545</v>
      </c>
      <c r="D75" s="4">
        <f>'[2]实力验证（按等级）'!AH76</f>
        <v>33573685449.367161</v>
      </c>
      <c r="E75" s="4">
        <f>'[2]实力验证（按等级）'!AI76</f>
        <v>42786708272.555428</v>
      </c>
      <c r="F75" s="4">
        <f>'[2]实力验证（按等级）'!AJ76</f>
        <v>62133187128.046288</v>
      </c>
      <c r="G75" s="4">
        <f>'[2]实力验证（按等级）'!AK76</f>
        <v>72587430619.734238</v>
      </c>
    </row>
    <row r="76" spans="2:7" x14ac:dyDescent="0.15">
      <c r="B76" s="8">
        <v>73</v>
      </c>
      <c r="C76" s="4">
        <f>'[2]实力验证（按等级）'!AG77</f>
        <v>28397241935.473801</v>
      </c>
      <c r="D76" s="4">
        <f>'[2]实力验证（按等级）'!AH77</f>
        <v>37274021677.555321</v>
      </c>
      <c r="E76" s="4">
        <f>'[2]实力验证（按等级）'!AI77</f>
        <v>47389050569.484093</v>
      </c>
      <c r="F76" s="4">
        <f>'[2]实力验证（按等级）'!AJ77</f>
        <v>70292409067.968018</v>
      </c>
      <c r="G76" s="4">
        <f>'[2]实力验证（按等级）'!AK77</f>
        <v>82069758480.893921</v>
      </c>
    </row>
    <row r="77" spans="2:7" x14ac:dyDescent="0.15">
      <c r="B77" s="8">
        <v>74</v>
      </c>
      <c r="C77" s="4">
        <f>'[2]实力验证（按等级）'!AG78</f>
        <v>31800857962.886215</v>
      </c>
      <c r="D77" s="4">
        <f>'[2]实力验证（按等级）'!AH78</f>
        <v>41382353132.654297</v>
      </c>
      <c r="E77" s="4">
        <f>'[2]实力验证（按等级）'!AI78</f>
        <v>52574453981.890709</v>
      </c>
      <c r="F77" s="4">
        <f>'[2]实力验证（按等级）'!AJ78</f>
        <v>79520757194.368164</v>
      </c>
      <c r="G77" s="4">
        <f>'[2]实力验证（按等级）'!AK78</f>
        <v>93413450198.222351</v>
      </c>
    </row>
    <row r="78" spans="2:7" x14ac:dyDescent="0.15">
      <c r="B78" s="8">
        <v>75</v>
      </c>
      <c r="C78" s="4">
        <f>'[2]实力验证（按等级）'!AG79</f>
        <v>35613635927.629929</v>
      </c>
      <c r="D78" s="4">
        <f>'[2]实力验证（按等级）'!AH79</f>
        <v>46194845829.59726</v>
      </c>
      <c r="E78" s="4">
        <f>'[2]实力验证（按等级）'!AI79</f>
        <v>58447937505.896614</v>
      </c>
      <c r="F78" s="4">
        <f>'[2]实力验证（按等级）'!AJ79</f>
        <v>89779104870.482178</v>
      </c>
      <c r="G78" s="4">
        <f>'[2]实力验证（按等级）'!AK79</f>
        <v>106122152076.24008</v>
      </c>
    </row>
    <row r="79" spans="2:7" x14ac:dyDescent="0.15">
      <c r="B79" s="8">
        <v>76</v>
      </c>
      <c r="C79" s="4">
        <f>'[2]实力验证（按等级）'!AG80</f>
        <v>39990182262.943001</v>
      </c>
      <c r="D79" s="4">
        <f>'[2]实力验证（按等级）'!AH80</f>
        <v>51655737691.741989</v>
      </c>
      <c r="E79" s="4">
        <f>'[2]实力验证（按等级）'!AI80</f>
        <v>65484151912.422989</v>
      </c>
      <c r="F79" s="4">
        <f>'[2]实力验证（按等级）'!AJ80</f>
        <v>101393042222.97792</v>
      </c>
      <c r="G79" s="4">
        <f>'[2]实力验证（按等级）'!AK80</f>
        <v>121473587359.26315</v>
      </c>
    </row>
    <row r="80" spans="2:7" x14ac:dyDescent="0.15">
      <c r="B80" s="8">
        <v>77</v>
      </c>
      <c r="C80" s="4">
        <f>'[2]实力验证（按等级）'!AG81</f>
        <v>44895204402.483551</v>
      </c>
      <c r="D80" s="4">
        <f>'[2]实力验证（按等级）'!AH81</f>
        <v>57709306613.500023</v>
      </c>
      <c r="E80" s="4">
        <f>'[2]实力验证（按等级）'!AI81</f>
        <v>73439989496.864807</v>
      </c>
      <c r="F80" s="4">
        <f>'[2]实力验证（按等级）'!AJ81</f>
        <v>114068834671.47926</v>
      </c>
      <c r="G80" s="4">
        <f>'[2]实力验证（按等级）'!AK81</f>
        <v>138479681233.62634</v>
      </c>
    </row>
    <row r="81" spans="2:7" x14ac:dyDescent="0.15">
      <c r="B81" s="8">
        <v>78</v>
      </c>
      <c r="C81" s="4">
        <f>'[2]实力验证（按等级）'!AG82</f>
        <v>49492133362.208618</v>
      </c>
      <c r="D81" s="4">
        <f>'[2]实力验证（按等级）'!AH82</f>
        <v>63627413671.030533</v>
      </c>
      <c r="E81" s="4">
        <f>'[2]实力验证（按等级）'!AI82</f>
        <v>81860016923.874634</v>
      </c>
      <c r="F81" s="4">
        <f>'[2]实力验证（按等级）'!AJ82</f>
        <v>128320415226.28574</v>
      </c>
      <c r="G81" s="4">
        <f>'[2]实力验证（按等级）'!AK82</f>
        <v>156429439006.63397</v>
      </c>
    </row>
    <row r="82" spans="2:7" x14ac:dyDescent="0.15">
      <c r="B82" s="8">
        <v>79</v>
      </c>
      <c r="C82" s="4">
        <f>'[2]实力验证（按等级）'!AG83</f>
        <v>54339876200.778641</v>
      </c>
      <c r="D82" s="4">
        <f>'[2]实力验证（按等级）'!AH83</f>
        <v>70507955954.150589</v>
      </c>
      <c r="E82" s="4">
        <f>'[2]实力验证（按等级）'!AI83</f>
        <v>90958154963.289703</v>
      </c>
      <c r="F82" s="4">
        <f>'[2]实力验证（按等级）'!AJ83</f>
        <v>143758456302.67657</v>
      </c>
      <c r="G82" s="4">
        <f>'[2]实力验证（按等级）'!AK83</f>
        <v>176491416010.38922</v>
      </c>
    </row>
    <row r="83" spans="2:7" x14ac:dyDescent="0.15">
      <c r="B83" s="8">
        <v>80</v>
      </c>
      <c r="C83" s="4">
        <f>'[2]实力验证（按等级）'!AG84</f>
        <v>59607965183.437691</v>
      </c>
      <c r="D83" s="4">
        <f>'[2]实力验证（按等级）'!AH84</f>
        <v>78395023291.793961</v>
      </c>
      <c r="E83" s="4">
        <f>'[2]实力验证（按等级）'!AI84</f>
        <v>100786160877.49542</v>
      </c>
      <c r="F83" s="4">
        <f>'[2]实力验证（按等级）'!AJ84</f>
        <v>160374132607.56708</v>
      </c>
      <c r="G83" s="4">
        <f>'[2]实力验证（按等级）'!AK84</f>
        <v>199342169679.25534</v>
      </c>
    </row>
    <row r="84" spans="2:7" x14ac:dyDescent="0.15">
      <c r="B84" s="8">
        <v>81</v>
      </c>
      <c r="C84" s="4">
        <f>'[2]实力验证（按等级）'!AG85</f>
        <v>65045017441.566452</v>
      </c>
      <c r="D84" s="4">
        <f>'[2]实力验证（按等级）'!AH85</f>
        <v>88163935799.993408</v>
      </c>
      <c r="E84" s="4">
        <f>'[2]实力验证（按等级）'!AI85</f>
        <v>111224080815.14078</v>
      </c>
      <c r="F84" s="4">
        <f>'[2]实力验证（按等级）'!AJ85</f>
        <v>183588217817.83603</v>
      </c>
      <c r="G84" s="4">
        <f>'[2]实力验证（按等级）'!AK85</f>
        <v>229053032466.19424</v>
      </c>
    </row>
    <row r="85" spans="2:7" x14ac:dyDescent="0.15">
      <c r="B85" s="8">
        <v>82</v>
      </c>
      <c r="C85" s="4">
        <f>'[2]实力验证（按等级）'!AG86</f>
        <v>71586857519.414063</v>
      </c>
      <c r="D85" s="4">
        <f>'[2]实力验证（按等级）'!AH86</f>
        <v>98076643467.814011</v>
      </c>
      <c r="E85" s="4">
        <f>'[2]实力验证（按等级）'!AI86</f>
        <v>122625006101.48245</v>
      </c>
      <c r="F85" s="4">
        <f>'[2]实力验证（按等级）'!AJ86</f>
        <v>209609889692.16864</v>
      </c>
      <c r="G85" s="4">
        <f>'[2]实力验证（按等级）'!AK86</f>
        <v>261617239121.28934</v>
      </c>
    </row>
    <row r="86" spans="2:7" x14ac:dyDescent="0.15">
      <c r="B86" s="8">
        <v>83</v>
      </c>
      <c r="C86" s="4">
        <f>'[2]实力验证（按等级）'!AG87</f>
        <v>78522975525.916519</v>
      </c>
      <c r="D86" s="4">
        <f>'[2]实力验证（按等级）'!AH87</f>
        <v>108197714169.19249</v>
      </c>
      <c r="E86" s="4">
        <f>'[2]实力验证（按等级）'!AI87</f>
        <v>135711207430.41507</v>
      </c>
      <c r="F86" s="4">
        <f>'[2]实力验证（按等级）'!AJ87</f>
        <v>236656950109.87244</v>
      </c>
      <c r="G86" s="4">
        <f>'[2]实力验证（按等级）'!AK87</f>
        <v>292023550664.44153</v>
      </c>
    </row>
    <row r="87" spans="2:7" x14ac:dyDescent="0.15">
      <c r="B87" s="8">
        <v>84</v>
      </c>
      <c r="C87" s="4">
        <f>'[2]实力验证（按等级）'!AG88</f>
        <v>85925145476.963181</v>
      </c>
      <c r="D87" s="4">
        <f>'[2]实力验证（按等级）'!AH88</f>
        <v>119223659183.09544</v>
      </c>
      <c r="E87" s="4">
        <f>'[2]实力验证（按等级）'!AI88</f>
        <v>150162029756.05316</v>
      </c>
      <c r="F87" s="4">
        <f>'[2]实力验证（按等级）'!AJ88</f>
        <v>265813854363.54535</v>
      </c>
      <c r="G87" s="4">
        <f>'[2]实力验证（按等级）'!AK88</f>
        <v>325448691107.46094</v>
      </c>
    </row>
    <row r="88" spans="2:7" x14ac:dyDescent="0.15">
      <c r="B88" s="8">
        <v>85</v>
      </c>
      <c r="C88" s="4">
        <f>'[2]实力验证（按等级）'!AG89</f>
        <v>94110703884.920456</v>
      </c>
      <c r="D88" s="4">
        <f>'[2]实力验证（按等级）'!AH89</f>
        <v>131418095771.78839</v>
      </c>
      <c r="E88" s="4">
        <f>'[2]实力验证（按等级）'!AI89</f>
        <v>166316807405.70306</v>
      </c>
      <c r="F88" s="4">
        <f>'[2]实力验证（按等级）'!AJ89</f>
        <v>294800316332.12579</v>
      </c>
      <c r="G88" s="4">
        <f>'[2]实力验证（按等级）'!AK89</f>
        <v>361233608445.54053</v>
      </c>
    </row>
    <row r="89" spans="2:7" x14ac:dyDescent="0.15">
      <c r="B89" s="8">
        <v>86</v>
      </c>
      <c r="C89" s="4">
        <f>'[2]实力验证（按等级）'!AG90</f>
        <v>104009629710.60443</v>
      </c>
      <c r="D89" s="4">
        <f>'[2]实力验证（按等级）'!AH90</f>
        <v>145553358704.03165</v>
      </c>
      <c r="E89" s="4">
        <f>'[2]实力验证（按等级）'!AI90</f>
        <v>184214497526.22086</v>
      </c>
      <c r="F89" s="4">
        <f>'[2]实力验证（按等级）'!AJ90</f>
        <v>326554859291.86182</v>
      </c>
      <c r="G89" s="4">
        <f>'[2]实力验证（按等级）'!AK90</f>
        <v>394510993157.88202</v>
      </c>
    </row>
    <row r="90" spans="2:7" x14ac:dyDescent="0.15">
      <c r="B90" s="8">
        <v>87</v>
      </c>
      <c r="C90" s="4">
        <f>'[2]实力验证（按等级）'!AG91</f>
        <v>115137104730.56351</v>
      </c>
      <c r="D90" s="4">
        <f>'[2]实力验证（按等级）'!AH91</f>
        <v>160141048680.10474</v>
      </c>
      <c r="E90" s="4">
        <f>'[2]实力验证（按等级）'!AI91</f>
        <v>205149067642.96286</v>
      </c>
      <c r="F90" s="4">
        <f>'[2]实力验证（按等级）'!AJ91</f>
        <v>360294559679.09167</v>
      </c>
      <c r="G90" s="4">
        <f>'[2]实力验证（按等级）'!AK91</f>
        <v>431299824311.60376</v>
      </c>
    </row>
    <row r="91" spans="2:7" x14ac:dyDescent="0.15">
      <c r="B91" s="8">
        <v>88</v>
      </c>
      <c r="C91" s="4">
        <f>'[2]实力验证（按等级）'!AG92</f>
        <v>124955805220.13235</v>
      </c>
      <c r="D91" s="4">
        <f>'[2]实力验证（按等级）'!AH92</f>
        <v>175026146725.98737</v>
      </c>
      <c r="E91" s="4">
        <f>'[2]实力验证（按等级）'!AI92</f>
        <v>228643904734.55356</v>
      </c>
      <c r="F91" s="4">
        <f>'[2]实力验证（按等级）'!AJ92</f>
        <v>396592155439.34363</v>
      </c>
      <c r="G91" s="4">
        <f>'[2]实力验证（按等级）'!AK92</f>
        <v>469243075497.3902</v>
      </c>
    </row>
    <row r="92" spans="2:7" x14ac:dyDescent="0.15">
      <c r="B92" s="8">
        <v>89</v>
      </c>
      <c r="C92" s="4">
        <f>'[2]实力验证（按等级）'!AG93</f>
        <v>135097901953.26111</v>
      </c>
      <c r="D92" s="4">
        <f>'[2]实力验证（按等级）'!AH93</f>
        <v>191152071492.28867</v>
      </c>
      <c r="E92" s="4">
        <f>'[2]实力验证（按等级）'!AI93</f>
        <v>254189516803.03326</v>
      </c>
      <c r="F92" s="4">
        <f>'[2]实力验证（按等级）'!AJ93</f>
        <v>435897590911.16315</v>
      </c>
      <c r="G92" s="4">
        <f>'[2]实力验证（按等级）'!AK93</f>
        <v>508734311222.37238</v>
      </c>
    </row>
    <row r="93" spans="2:7" x14ac:dyDescent="0.15">
      <c r="B93" s="8">
        <v>90</v>
      </c>
      <c r="C93" s="4">
        <f>'[2]实力验证（按等级）'!AG94</f>
        <v>146112839800.45807</v>
      </c>
      <c r="D93" s="4">
        <f>'[2]实力验证（按等级）'!AH94</f>
        <v>208540943781.5632</v>
      </c>
      <c r="E93" s="4">
        <f>'[2]实力验证（按等级）'!AI94</f>
        <v>284508863894.91815</v>
      </c>
      <c r="F93" s="4">
        <f>'[2]实力验证（按等级）'!AJ94</f>
        <v>476580307109.85107</v>
      </c>
      <c r="G93" s="4">
        <f>'[2]实力验证（按等级）'!AK94</f>
        <v>551963456355.75464</v>
      </c>
    </row>
    <row r="94" spans="2:7" x14ac:dyDescent="0.15">
      <c r="B94" s="8">
        <v>91</v>
      </c>
      <c r="C94" s="4">
        <f>'[2]实力验证（按等级）'!AG95</f>
        <v>159031406627.43646</v>
      </c>
      <c r="D94" s="4">
        <f>'[2]实力验证（按等级）'!AH95</f>
        <v>231048333884.86789</v>
      </c>
      <c r="E94" s="4">
        <f>'[2]实力验证（按等级）'!AI95</f>
        <v>318142737480.85168</v>
      </c>
      <c r="F94" s="4">
        <f>'[2]实力验证（按等级）'!AJ95</f>
        <v>510341429255.61261</v>
      </c>
      <c r="G94" s="4">
        <f>'[2]实力验证（按等级）'!AK95</f>
        <v>587453934321.95386</v>
      </c>
    </row>
    <row r="95" spans="2:7" x14ac:dyDescent="0.15">
      <c r="B95" s="8">
        <v>92</v>
      </c>
      <c r="C95" s="4">
        <f>'[2]实力验证（按等级）'!AG96</f>
        <v>174279614590.69678</v>
      </c>
      <c r="D95" s="4">
        <f>'[2]实力验证（按等级）'!AH96</f>
        <v>254222862300.49939</v>
      </c>
      <c r="E95" s="4">
        <f>'[2]实力验证（按等级）'!AI96</f>
        <v>354564986977.80682</v>
      </c>
      <c r="F95" s="4">
        <f>'[2]实力验证（按等级）'!AJ96</f>
        <v>547995858656.39148</v>
      </c>
      <c r="G95" s="4">
        <f>'[2]实力验证（按等级）'!AK96</f>
        <v>625144491704.68396</v>
      </c>
    </row>
    <row r="96" spans="2:7" x14ac:dyDescent="0.15">
      <c r="B96" s="8">
        <v>93</v>
      </c>
      <c r="C96" s="4">
        <f>'[2]实力验证（按等级）'!AG97</f>
        <v>189987534455.57629</v>
      </c>
      <c r="D96" s="4">
        <f>'[2]实力验证（按等级）'!AH97</f>
        <v>279107921043.02979</v>
      </c>
      <c r="E96" s="4">
        <f>'[2]实力验证（按等级）'!AI97</f>
        <v>395685525674.03876</v>
      </c>
      <c r="F96" s="4">
        <f>'[2]实力验证（按等级）'!AJ97</f>
        <v>590442334448.4895</v>
      </c>
      <c r="G96" s="4">
        <f>'[2]实力验证（按等级）'!AK97</f>
        <v>664627807134.53796</v>
      </c>
    </row>
    <row r="97" spans="2:7" x14ac:dyDescent="0.15">
      <c r="B97" s="8">
        <v>94</v>
      </c>
      <c r="C97" s="4">
        <f>'[2]实力验证（按等级）'!AG98</f>
        <v>206732269068.37305</v>
      </c>
      <c r="D97" s="4">
        <f>'[2]实力验证（按等级）'!AH98</f>
        <v>308628511533.63617</v>
      </c>
      <c r="E97" s="4">
        <f>'[2]实力验证（按等级）'!AI98</f>
        <v>441234903241.38806</v>
      </c>
      <c r="F97" s="4">
        <f>'[2]实力验证（按等级）'!AJ98</f>
        <v>635961823232.31641</v>
      </c>
      <c r="G97" s="4">
        <f>'[2]实力验证（按等级）'!AK98</f>
        <v>705944313011.30298</v>
      </c>
    </row>
    <row r="98" spans="2:7" x14ac:dyDescent="0.15">
      <c r="B98" s="8">
        <v>95</v>
      </c>
      <c r="C98" s="4">
        <f>'[2]实力验证（按等级）'!AG99</f>
        <v>225365571741.57758</v>
      </c>
      <c r="D98" s="4">
        <f>'[2]实力验证（按等级）'!AH99</f>
        <v>342635732027.87958</v>
      </c>
      <c r="E98" s="4">
        <f>'[2]实力验证（按等级）'!AI99</f>
        <v>487226910867.29474</v>
      </c>
      <c r="F98" s="4">
        <f>'[2]实力验证（按等级）'!AJ99</f>
        <v>677335434186.82092</v>
      </c>
      <c r="G98" s="4">
        <f>'[2]实力验证（按等级）'!AK99</f>
        <v>739661521215.79077</v>
      </c>
    </row>
    <row r="99" spans="2:7" x14ac:dyDescent="0.15">
      <c r="B99" s="8">
        <v>96</v>
      </c>
      <c r="C99" s="4">
        <f>'[2]实力验证（按等级）'!AG100</f>
        <v>246640454303.17395</v>
      </c>
      <c r="D99" s="4">
        <f>'[2]实力验证（按等级）'!AH100</f>
        <v>385679422765.22327</v>
      </c>
      <c r="E99" s="4">
        <f>'[2]实力验证（按等级）'!AI100</f>
        <v>534759767617.80957</v>
      </c>
      <c r="F99" s="4">
        <f>'[2]实力验证（按等级）'!AJ100</f>
        <v>717224046225.06494</v>
      </c>
      <c r="G99" s="4">
        <f>'[2]实力验证（按等级）'!AK100</f>
        <v>774057144083.91443</v>
      </c>
    </row>
    <row r="100" spans="2:7" x14ac:dyDescent="0.15">
      <c r="B100" s="8">
        <v>97</v>
      </c>
      <c r="C100" s="4">
        <f>'[2]实力验证（按等级）'!AG101</f>
        <v>273594557392.53073</v>
      </c>
      <c r="D100" s="4">
        <f>'[2]实力验证（按等级）'!AH101</f>
        <v>425327944114.79474</v>
      </c>
      <c r="E100" s="4">
        <f>'[2]实力验证（按等级）'!AI101</f>
        <v>584007671671.94446</v>
      </c>
      <c r="F100" s="4">
        <f>'[2]实力验证（按等级）'!AJ101</f>
        <v>759220903317.47351</v>
      </c>
      <c r="G100" s="4">
        <f>'[2]实力验证（按等级）'!AK101</f>
        <v>811365979796.15198</v>
      </c>
    </row>
    <row r="101" spans="2:7" x14ac:dyDescent="0.15">
      <c r="B101" s="8">
        <v>98</v>
      </c>
      <c r="C101" s="4">
        <f>'[2]实力验证（按等级）'!AG102</f>
        <v>302153285928.0069</v>
      </c>
      <c r="D101" s="4">
        <f>'[2]实力验证（按等级）'!AH102</f>
        <v>460397696550.62988</v>
      </c>
      <c r="E101" s="4">
        <f>'[2]实力验证（按等级）'!AI102</f>
        <v>635702198311.59033</v>
      </c>
      <c r="F101" s="4">
        <f>'[2]实力验证（按等级）'!AJ102</f>
        <v>801824896737.74243</v>
      </c>
      <c r="G101" s="4">
        <f>'[2]实力验证（按等级）'!AK102</f>
        <v>850506320654.67883</v>
      </c>
    </row>
    <row r="102" spans="2:7" x14ac:dyDescent="0.15">
      <c r="B102" s="8">
        <v>99</v>
      </c>
      <c r="C102" s="4">
        <f>'[2]实力验证（按等级）'!AG103</f>
        <v>331720481882.43286</v>
      </c>
      <c r="D102" s="4">
        <f>'[2]实力验证（按等级）'!AH103</f>
        <v>493862021720.138</v>
      </c>
      <c r="E102" s="4">
        <f>'[2]实力验证（按等级）'!AI103</f>
        <v>691232703766.42358</v>
      </c>
      <c r="F102" s="4">
        <f>'[2]实力验证（按等级）'!AJ103</f>
        <v>846408150973.69177</v>
      </c>
      <c r="G102" s="4">
        <f>'[2]实力验证（按等级）'!AK103</f>
        <v>890089915599.05627</v>
      </c>
    </row>
    <row r="103" spans="2:7" x14ac:dyDescent="0.15">
      <c r="B103" s="8">
        <v>100</v>
      </c>
      <c r="C103" s="4">
        <f>'[2]实力验证（按等级）'!AG104</f>
        <v>363598521788.35632</v>
      </c>
      <c r="D103" s="4">
        <f>'[2]实力验证（按等级）'!AH104</f>
        <v>528597466296.71753</v>
      </c>
      <c r="E103" s="4">
        <f>'[2]实力验证（按等级）'!AI104</f>
        <v>750716048588.05505</v>
      </c>
      <c r="F103" s="4">
        <f>'[2]实力验证（按等级）'!AJ104</f>
        <v>892327530094.97583</v>
      </c>
      <c r="G103" s="4">
        <f>'[2]实力验证（按等级）'!AK104</f>
        <v>931355090643.91504</v>
      </c>
    </row>
    <row r="104" spans="2:7" x14ac:dyDescent="0.15">
      <c r="B104" s="8">
        <v>101</v>
      </c>
      <c r="C104" s="4">
        <f>'[2]实力验证（按等级）'!AG105</f>
        <v>403487005965.05414</v>
      </c>
      <c r="D104" s="4">
        <f>'[2]实力验证（按等级）'!AH105</f>
        <v>574887557119.16296</v>
      </c>
      <c r="E104" s="4">
        <f>'[2]实力验证（按等级）'!AI105</f>
        <v>791497337168.08875</v>
      </c>
      <c r="F104" s="4">
        <f>'[2]实力验证（按等级）'!AJ105</f>
        <v>929652292576.28442</v>
      </c>
      <c r="G104" s="4">
        <f>'[2]实力验证（按等级）'!AK105</f>
        <v>971103368643.05884</v>
      </c>
    </row>
    <row r="105" spans="2:7" x14ac:dyDescent="0.15">
      <c r="B105" s="8">
        <v>102</v>
      </c>
      <c r="C105" s="4">
        <f>'[2]实力验证（按等级）'!AG106</f>
        <v>441665734666.24799</v>
      </c>
      <c r="D105" s="4">
        <f>'[2]实力验证（按等级）'!AH106</f>
        <v>624355430754.00269</v>
      </c>
      <c r="E105" s="4">
        <f>'[2]实力验证（按等级）'!AI106</f>
        <v>833414974239.08533</v>
      </c>
      <c r="F105" s="4">
        <f>'[2]实力验证（按等级）'!AJ106</f>
        <v>968747187496.71985</v>
      </c>
      <c r="G105" s="4">
        <f>'[2]实力验证（按等级）'!AK106</f>
        <v>1012656584856.9513</v>
      </c>
    </row>
    <row r="106" spans="2:7" x14ac:dyDescent="0.15">
      <c r="B106" s="8">
        <v>103</v>
      </c>
      <c r="C106" s="4">
        <f>'[2]实力验证（按等级）'!AG107</f>
        <v>482968742097.28247</v>
      </c>
      <c r="D106" s="4">
        <f>'[2]实力验证（按等级）'!AH107</f>
        <v>677497212884.50073</v>
      </c>
      <c r="E106" s="4">
        <f>'[2]实力验证（按等级）'!AI107</f>
        <v>878496470425.10791</v>
      </c>
      <c r="F106" s="4">
        <f>'[2]实力验证（按等级）'!AJ107</f>
        <v>1010395047200.0048</v>
      </c>
      <c r="G106" s="4">
        <f>'[2]实力验证（按等级）'!AK107</f>
        <v>1058121946949.4633</v>
      </c>
    </row>
    <row r="107" spans="2:7" x14ac:dyDescent="0.15">
      <c r="B107" s="8">
        <v>104</v>
      </c>
      <c r="C107" s="4">
        <f>'[2]实力验证（按等级）'!AG108</f>
        <v>527478369342.06561</v>
      </c>
      <c r="D107" s="4">
        <f>'[2]实力验证（按等级）'!AH108</f>
        <v>731487701331.60535</v>
      </c>
      <c r="E107" s="4">
        <f>'[2]实力验证（按等级）'!AI108</f>
        <v>927007884138.4856</v>
      </c>
      <c r="F107" s="4">
        <f>'[2]实力验证（按等级）'!AJ108</f>
        <v>1055663372705.1696</v>
      </c>
      <c r="G107" s="4">
        <f>'[2]实力验证（按等级）'!AK108</f>
        <v>1108725575358.7781</v>
      </c>
    </row>
    <row r="108" spans="2:7" x14ac:dyDescent="0.15">
      <c r="B108" s="8">
        <v>105</v>
      </c>
      <c r="C108" s="4">
        <f>'[2]实力验证（按等级）'!AG109</f>
        <v>571135012966.0813</v>
      </c>
      <c r="D108" s="4">
        <f>'[2]实力验证（按等级）'!AH109</f>
        <v>788375039359.92529</v>
      </c>
      <c r="E108" s="4">
        <f>'[2]实力验证（按等级）'!AI109</f>
        <v>978700796043.14087</v>
      </c>
      <c r="F108" s="4">
        <f>'[2]实力验证（按等级）'!AJ109</f>
        <v>1102225892580.7388</v>
      </c>
      <c r="G108" s="4">
        <f>'[2]实力验证（按等级）'!AK109</f>
        <v>1162836932017.8679</v>
      </c>
    </row>
    <row r="109" spans="2:7" x14ac:dyDescent="0.15">
      <c r="B109" s="8">
        <v>106</v>
      </c>
      <c r="C109" s="4">
        <f>'[2]实力验证（按等级）'!AG110</f>
        <v>618909102337.67041</v>
      </c>
      <c r="D109" s="4">
        <f>'[2]实力验证（按等级）'!AH110</f>
        <v>842856606109.61694</v>
      </c>
      <c r="E109" s="4">
        <f>'[2]实力验证（按等级）'!AI110</f>
        <v>1031812348907.5646</v>
      </c>
      <c r="F109" s="4">
        <f>'[2]实力验证（按等级）'!AJ110</f>
        <v>1151408784434.0227</v>
      </c>
      <c r="G109" s="4">
        <f>'[2]实力验证（按等级）'!AK110</f>
        <v>1211593549003.3127</v>
      </c>
    </row>
    <row r="110" spans="2:7" x14ac:dyDescent="0.15">
      <c r="B110" s="8">
        <v>107</v>
      </c>
      <c r="C110" s="4">
        <f>'[2]实力验证（按等级）'!AG111</f>
        <v>670694002844.2428</v>
      </c>
      <c r="D110" s="4">
        <f>'[2]实力验证（按等级）'!AH111</f>
        <v>900174873911.79407</v>
      </c>
      <c r="E110" s="4">
        <f>'[2]实力验证（按等级）'!AI111</f>
        <v>1082970748630.0997</v>
      </c>
      <c r="F110" s="4">
        <f>'[2]实力验证（按等级）'!AJ111</f>
        <v>1198931313771.7356</v>
      </c>
      <c r="G110" s="4">
        <f>'[2]实力验证（按等级）'!AK111</f>
        <v>1260486850415.5535</v>
      </c>
    </row>
    <row r="111" spans="2:7" x14ac:dyDescent="0.15">
      <c r="B111" s="8">
        <v>108</v>
      </c>
      <c r="C111" s="4">
        <f>'[2]实力验证（按等级）'!AG112</f>
        <v>725665912342.41711</v>
      </c>
      <c r="D111" s="4">
        <f>'[2]实力验证（按等级）'!AH112</f>
        <v>961190087541.82068</v>
      </c>
      <c r="E111" s="4">
        <f>'[2]实力验证（按等级）'!AI112</f>
        <v>1133300896987.4866</v>
      </c>
      <c r="F111" s="4">
        <f>'[2]实力验证（按等级）'!AJ112</f>
        <v>1243051194025.6069</v>
      </c>
      <c r="G111" s="4">
        <f>'[2]实力验证（按等级）'!AK112</f>
        <v>1310493197872.3218</v>
      </c>
    </row>
    <row r="112" spans="2:7" x14ac:dyDescent="0.15">
      <c r="B112" s="8">
        <v>109</v>
      </c>
      <c r="C112" s="4">
        <f>'[2]实力验证（按等级）'!AG113</f>
        <v>784918813762.08582</v>
      </c>
      <c r="D112" s="4">
        <f>'[2]实力验证（按等级）'!AH113</f>
        <v>1024607647824.2323</v>
      </c>
      <c r="E112" s="4">
        <f>'[2]实力验证（按等级）'!AI113</f>
        <v>1186804779083.9014</v>
      </c>
      <c r="F112" s="4">
        <f>'[2]实力验证（按等级）'!AJ113</f>
        <v>1288498107943.0435</v>
      </c>
      <c r="G112" s="4">
        <f>'[2]实力验证（按等级）'!AK113</f>
        <v>1363185992785.4236</v>
      </c>
    </row>
    <row r="113" spans="2:7" x14ac:dyDescent="0.15">
      <c r="B113" s="8">
        <v>110</v>
      </c>
      <c r="C113" s="4">
        <f>'[2]实力验证（按等级）'!AG114</f>
        <v>847530633804.40308</v>
      </c>
      <c r="D113" s="4">
        <f>'[2]实力验证（按等级）'!AH114</f>
        <v>1092320147418.2588</v>
      </c>
      <c r="E113" s="4">
        <f>'[2]实力验证（按等级）'!AI114</f>
        <v>1243156328121.2751</v>
      </c>
      <c r="F113" s="4">
        <f>'[2]实力验证（按等级）'!AJ114</f>
        <v>1336871368335.4951</v>
      </c>
      <c r="G113" s="4">
        <f>'[2]实力验证（按等级）'!AK114</f>
        <v>1422549830280.9419</v>
      </c>
    </row>
    <row r="114" spans="2:7" x14ac:dyDescent="0.15">
      <c r="B114" s="8">
        <v>111</v>
      </c>
      <c r="C114" s="4">
        <f>'[2]实力验证（按等级）'!AG115</f>
        <v>897546179632.33765</v>
      </c>
      <c r="D114" s="4">
        <f>'[2]实力验证（按等级）'!AH115</f>
        <v>1140864178642.8667</v>
      </c>
      <c r="E114" s="4">
        <f>'[2]实力验证（按等级）'!AI115</f>
        <v>1293837760847.0117</v>
      </c>
      <c r="F114" s="4">
        <f>'[2]实力验证（按等级）'!AJ115</f>
        <v>1392054344566.7026</v>
      </c>
      <c r="G114" s="4">
        <f>'[2]实力验证（按等级）'!AK115</f>
        <v>1486640026021.3948</v>
      </c>
    </row>
    <row r="115" spans="2:7" x14ac:dyDescent="0.15">
      <c r="B115" s="8">
        <v>112</v>
      </c>
      <c r="C115" s="4">
        <f>'[2]实力验证（按等级）'!AG116</f>
        <v>949774974992.11731</v>
      </c>
      <c r="D115" s="4">
        <f>'[2]实力验证（按等级）'!AH116</f>
        <v>1191496010780.2822</v>
      </c>
      <c r="E115" s="4">
        <f>'[2]实力验证（按等级）'!AI116</f>
        <v>1349519734869.1399</v>
      </c>
      <c r="F115" s="4">
        <f>'[2]实力验证（按等级）'!AJ116</f>
        <v>1450900183404.5996</v>
      </c>
      <c r="G115" s="4">
        <f>'[2]实力验证（按等级）'!AK116</f>
        <v>1551697480084.5593</v>
      </c>
    </row>
    <row r="116" spans="2:7" x14ac:dyDescent="0.15">
      <c r="B116" s="8">
        <v>113</v>
      </c>
      <c r="C116" s="4">
        <f>'[2]实力验证（按等级）'!AG117</f>
        <v>1005094233216.4467</v>
      </c>
      <c r="D116" s="4">
        <f>'[2]实力验证（按等级）'!AH117</f>
        <v>1247473275162.395</v>
      </c>
      <c r="E116" s="4">
        <f>'[2]实力验证（按等级）'!AI117</f>
        <v>1409426811072.6123</v>
      </c>
      <c r="F116" s="4">
        <f>'[2]实力验证（按等级）'!AJ117</f>
        <v>1511205237045.6184</v>
      </c>
      <c r="G116" s="4">
        <f>'[2]实力验证（按等级）'!AK117</f>
        <v>1619734611607.4651</v>
      </c>
    </row>
    <row r="117" spans="2:7" x14ac:dyDescent="0.15">
      <c r="B117" s="8">
        <v>114</v>
      </c>
      <c r="C117" s="4">
        <f>'[2]实力验证（按等级）'!AG118</f>
        <v>1066353545141.9127</v>
      </c>
      <c r="D117" s="4">
        <f>'[2]实力验证（按等级）'!AH118</f>
        <v>1307674247954.8694</v>
      </c>
      <c r="E117" s="4">
        <f>'[2]实力验证（按等级）'!AI118</f>
        <v>1470553341979.9939</v>
      </c>
      <c r="F117" s="4">
        <f>'[2]实力验证（按等级）'!AJ118</f>
        <v>1573685904999.3037</v>
      </c>
      <c r="G117" s="4">
        <f>'[2]实力验证（按等级）'!AK118</f>
        <v>1690855882779.8296</v>
      </c>
    </row>
    <row r="118" spans="2:7" x14ac:dyDescent="0.15">
      <c r="B118" s="8">
        <v>115</v>
      </c>
      <c r="C118" s="4">
        <f>'[2]实力验证（按等级）'!AG119</f>
        <v>1131106575739.9167</v>
      </c>
      <c r="D118" s="4">
        <f>'[2]实力验证（按等级）'!AH119</f>
        <v>1369015196841.1531</v>
      </c>
      <c r="E118" s="4">
        <f>'[2]实力验证（按等级）'!AI119</f>
        <v>1533440006105.1448</v>
      </c>
      <c r="F118" s="4">
        <f>'[2]实力验证（按等级）'!AJ119</f>
        <v>1639661592767.9021</v>
      </c>
      <c r="G118" s="4">
        <f>'[2]实力验证（按等级）'!AK119</f>
        <v>1765639846338.5981</v>
      </c>
    </row>
    <row r="119" spans="2:7" x14ac:dyDescent="0.15">
      <c r="B119" s="8">
        <v>116</v>
      </c>
      <c r="C119" s="4">
        <f>'[2]实力验证（按等级）'!AG120</f>
        <v>1193819055224.481</v>
      </c>
      <c r="D119" s="4">
        <f>'[2]实力验证（按等级）'!AH120</f>
        <v>1433642423454.9253</v>
      </c>
      <c r="E119" s="4">
        <f>'[2]实力验证（按等级）'!AI120</f>
        <v>1601771178249.6707</v>
      </c>
      <c r="F119" s="4">
        <f>'[2]实力验证（按等级）'!AJ120</f>
        <v>1712172749385.4973</v>
      </c>
      <c r="G119" s="4">
        <f>'[2]实力验证（按等级）'!AK120</f>
        <v>1845317871530.7688</v>
      </c>
    </row>
    <row r="120" spans="2:7" x14ac:dyDescent="0.15">
      <c r="B120" s="8">
        <v>117</v>
      </c>
      <c r="C120" s="4">
        <f>'[2]实力验证（按等级）'!AG121</f>
        <v>1258415954242.4292</v>
      </c>
      <c r="D120" s="4">
        <f>'[2]实力验证（按等级）'!AH121</f>
        <v>1500194967430.5098</v>
      </c>
      <c r="E120" s="4">
        <f>'[2]实力验证（按等级）'!AI121</f>
        <v>1668222383868.584</v>
      </c>
      <c r="F120" s="4">
        <f>'[2]实力验证（按等级）'!AJ121</f>
        <v>1783890111995.3459</v>
      </c>
      <c r="G120" s="4">
        <f>'[2]实力验证（按等级）'!AK121</f>
        <v>1925371018465.613</v>
      </c>
    </row>
    <row r="121" spans="2:7" x14ac:dyDescent="0.15">
      <c r="B121" s="8">
        <v>118</v>
      </c>
      <c r="C121" s="4">
        <f>'[2]实力验证（按等级）'!AG122</f>
        <v>1325916567728.4587</v>
      </c>
      <c r="D121" s="4">
        <f>'[2]实力验证（按等级）'!AH122</f>
        <v>1568330033738.3384</v>
      </c>
      <c r="E121" s="4">
        <f>'[2]实力验证（按等级）'!AI122</f>
        <v>1737683913551.1958</v>
      </c>
      <c r="F121" s="4">
        <f>'[2]实力验证（按等级）'!AJ122</f>
        <v>1858098818465.1021</v>
      </c>
      <c r="G121" s="4">
        <f>'[2]实力验证（按等级）'!AK122</f>
        <v>2007420940470.7468</v>
      </c>
    </row>
    <row r="122" spans="2:7" x14ac:dyDescent="0.15">
      <c r="B122" s="8">
        <v>119</v>
      </c>
      <c r="C122" s="4">
        <f>'[2]实力验证（按等级）'!AG123</f>
        <v>1396588011216.2146</v>
      </c>
      <c r="D122" s="4">
        <f>'[2]实力验证（按等级）'!AH123</f>
        <v>1639741877069.5564</v>
      </c>
      <c r="E122" s="4">
        <f>'[2]实力验证（按等级）'!AI123</f>
        <v>1809163173311.9531</v>
      </c>
      <c r="F122" s="4">
        <f>'[2]实力验证（按等级）'!AJ123</f>
        <v>1935562476496.8049</v>
      </c>
      <c r="G122" s="4">
        <f>'[2]实力验证（按等级）'!AK123</f>
        <v>2091192541664.8611</v>
      </c>
    </row>
    <row r="123" spans="2:7" x14ac:dyDescent="0.15">
      <c r="B123" s="8">
        <v>120</v>
      </c>
      <c r="C123" s="4">
        <f>'[2]实力验证（按等级）'!AG124</f>
        <v>1470777018425.2395</v>
      </c>
      <c r="D123" s="4">
        <f>'[2]实力验证（按等级）'!AH124</f>
        <v>1713776572287.8315</v>
      </c>
      <c r="E123" s="4">
        <f>'[2]实力验证（按等级）'!AI124</f>
        <v>1883462344907.3296</v>
      </c>
      <c r="F123" s="4">
        <f>'[2]实力验证（按等级）'!AJ124</f>
        <v>2014093109506.8936</v>
      </c>
      <c r="G123" s="4">
        <f>'[2]实力验证（按等级）'!AK124</f>
        <v>2178951439610.7131</v>
      </c>
    </row>
    <row r="124" spans="2:7" x14ac:dyDescent="0.15">
      <c r="B124" s="8">
        <v>121</v>
      </c>
      <c r="C124" s="4">
        <f>'[2]实力验证（按等级）'!AG125</f>
        <v>1536276343154.4417</v>
      </c>
      <c r="D124" s="4">
        <f>'[2]实力验证（按等级）'!AH125</f>
        <v>1785898707185.4763</v>
      </c>
      <c r="E124" s="4">
        <f>'[2]实力验证（按等级）'!AI125</f>
        <v>1957330167557.5088</v>
      </c>
      <c r="F124" s="4">
        <f>'[2]实力验证（按等级）'!AJ125</f>
        <v>2097004187711.1252</v>
      </c>
      <c r="G124" s="4">
        <f>'[2]实力验证（按等级）'!AK125</f>
        <v>2272417600623.0981</v>
      </c>
    </row>
    <row r="125" spans="2:7" x14ac:dyDescent="0.15">
      <c r="B125" s="8">
        <v>122</v>
      </c>
      <c r="C125" s="4">
        <f>'[2]实力验证（按等级）'!AG126</f>
        <v>1604465335270.553</v>
      </c>
      <c r="D125" s="4">
        <f>'[2]实力验证（按等级）'!AH126</f>
        <v>1859829217265.575</v>
      </c>
      <c r="E125" s="4">
        <f>'[2]实力验证（按等级）'!AI126</f>
        <v>2035372874993.7278</v>
      </c>
      <c r="F125" s="4">
        <f>'[2]实力验证（按等级）'!AJ126</f>
        <v>2182680692537.8115</v>
      </c>
      <c r="G125" s="4">
        <f>'[2]实力验证（按等级）'!AK126</f>
        <v>2369377516167.2012</v>
      </c>
    </row>
    <row r="126" spans="2:7" x14ac:dyDescent="0.15">
      <c r="B126" s="8">
        <v>123</v>
      </c>
      <c r="C126" s="4">
        <f>'[2]实力验证（按等级）'!AG127</f>
        <v>1672680068688.1528</v>
      </c>
      <c r="D126" s="4">
        <f>'[2]实力验证（按等级）'!AH127</f>
        <v>1938342206522.4319</v>
      </c>
      <c r="E126" s="4">
        <f>'[2]实力验证（按等级）'!AI127</f>
        <v>2116140833122.0569</v>
      </c>
      <c r="F126" s="4">
        <f>'[2]实力验证（按等级）'!AJ127</f>
        <v>2273254658813.1479</v>
      </c>
      <c r="G126" s="4">
        <f>'[2]实力验证（按等级）'!AK127</f>
        <v>2468602593047.0557</v>
      </c>
    </row>
    <row r="127" spans="2:7" x14ac:dyDescent="0.15">
      <c r="B127" s="8">
        <v>124</v>
      </c>
      <c r="C127" s="4">
        <f>'[2]实力验证（按等级）'!AG128</f>
        <v>1743207277232.0364</v>
      </c>
      <c r="D127" s="4">
        <f>'[2]实力验证（按等级）'!AH128</f>
        <v>2019530173232.9194</v>
      </c>
      <c r="E127" s="4">
        <f>'[2]实力验证（按等级）'!AI128</f>
        <v>2199958762853.9131</v>
      </c>
      <c r="F127" s="4">
        <f>'[2]实力验证（按等级）'!AJ128</f>
        <v>2363152620169.3975</v>
      </c>
      <c r="G127" s="4">
        <f>'[2]实力验证（按等级）'!AK128</f>
        <v>2571064410137.0996</v>
      </c>
    </row>
    <row r="128" spans="2:7" x14ac:dyDescent="0.15">
      <c r="B128" s="8">
        <v>125</v>
      </c>
      <c r="C128" s="4">
        <f>'[2]实力验证（按等级）'!AG129</f>
        <v>1815882865210.5366</v>
      </c>
      <c r="D128" s="4">
        <f>'[2]实力验证（按等级）'!AH129</f>
        <v>2102732112003.4631</v>
      </c>
      <c r="E128" s="4">
        <f>'[2]实力验证（按等级）'!AI129</f>
        <v>2283073977228.1523</v>
      </c>
      <c r="F128" s="4">
        <f>'[2]实力验证（按等级）'!AJ129</f>
        <v>2456128876473.5986</v>
      </c>
      <c r="G128" s="4">
        <f>'[2]实力验证（按等级）'!AK129</f>
        <v>2681004695923.8184</v>
      </c>
    </row>
    <row r="129" spans="2:7" x14ac:dyDescent="0.15">
      <c r="B129" s="8">
        <v>126</v>
      </c>
      <c r="C129" s="4">
        <f>'[2]实力验证（按等级）'!AG130</f>
        <v>1891453914246.0256</v>
      </c>
      <c r="D129" s="4">
        <f>'[2]实力验证（按等级）'!AH130</f>
        <v>2185114084105.2937</v>
      </c>
      <c r="E129" s="4">
        <f>'[2]实力验证（按等级）'!AI130</f>
        <v>2368224292873.1411</v>
      </c>
      <c r="F129" s="4">
        <f>'[2]实力验证（按等级）'!AJ130</f>
        <v>2555731523131.2393</v>
      </c>
      <c r="G129" s="4">
        <f>'[2]实力验证（按等级）'!AK130</f>
        <v>2796903116753.8657</v>
      </c>
    </row>
    <row r="130" spans="2:7" x14ac:dyDescent="0.15">
      <c r="B130" s="8">
        <v>127</v>
      </c>
      <c r="C130" s="4">
        <f>'[2]实力验证（按等级）'!AG131</f>
        <v>1969087910357.4995</v>
      </c>
      <c r="D130" s="4">
        <f>'[2]实力验证（按等级）'!AH131</f>
        <v>2271283518284.8604</v>
      </c>
      <c r="E130" s="4">
        <f>'[2]实力验证（按等级）'!AI131</f>
        <v>2460373828808.9224</v>
      </c>
      <c r="F130" s="4">
        <f>'[2]实力验证（按等级）'!AJ131</f>
        <v>2660635175102.5825</v>
      </c>
      <c r="G130" s="4">
        <f>'[2]实力验证（按等级）'!AK131</f>
        <v>2917358460777.0991</v>
      </c>
    </row>
    <row r="131" spans="2:7" x14ac:dyDescent="0.15">
      <c r="B131" s="8">
        <v>128</v>
      </c>
      <c r="C131" s="4">
        <f>'[2]实力验证（按等级）'!AG132</f>
        <v>2050818068180.4458</v>
      </c>
      <c r="D131" s="4">
        <f>'[2]实力验证（按等级）'!AH132</f>
        <v>2357498349045.853</v>
      </c>
      <c r="E131" s="4">
        <f>'[2]实力验证（按等级）'!AI132</f>
        <v>2557764832146.812</v>
      </c>
      <c r="F131" s="4">
        <f>'[2]实力验证（按等级）'!AJ132</f>
        <v>2769798598946.8325</v>
      </c>
      <c r="G131" s="4">
        <f>'[2]实力验证（按等级）'!AK132</f>
        <v>3043541752224.6372</v>
      </c>
    </row>
    <row r="132" spans="2:7" x14ac:dyDescent="0.15">
      <c r="B132" s="8">
        <v>129</v>
      </c>
      <c r="C132" s="4">
        <f>'[2]实力验证（按等级）'!AG133</f>
        <v>2134868250031.8765</v>
      </c>
      <c r="D132" s="4">
        <f>'[2]实力验证（按等级）'!AH133</f>
        <v>2448635484555.5547</v>
      </c>
      <c r="E132" s="4">
        <f>'[2]实力验证（按等级）'!AI133</f>
        <v>2660447270496.9834</v>
      </c>
      <c r="F132" s="4">
        <f>'[2]实力验证（按等级）'!AJ133</f>
        <v>2885711745571.2329</v>
      </c>
      <c r="G132" s="4">
        <f>'[2]实力验证（按等级）'!AK133</f>
        <v>3176838933067.9556</v>
      </c>
    </row>
    <row r="133" spans="2:7" x14ac:dyDescent="0.15">
      <c r="B133" s="8">
        <v>130</v>
      </c>
      <c r="C133" s="4">
        <f>'[2]实力验证（按等级）'!AG134</f>
        <v>2223224405708.6919</v>
      </c>
      <c r="D133" s="4">
        <f>'[2]实力验证（按等级）'!AH134</f>
        <v>2542734917663.5073</v>
      </c>
      <c r="E133" s="4">
        <f>'[2]实力验证（按等级）'!AI134</f>
        <v>2767397627292.4517</v>
      </c>
      <c r="F133" s="4">
        <f>'[2]实力验证（按等级）'!AJ134</f>
        <v>3006458297042.7637</v>
      </c>
      <c r="G133" s="4">
        <f>'[2]实力验证（按等级）'!AK134</f>
        <v>3315676984581.981</v>
      </c>
    </row>
    <row r="134" spans="2:7" x14ac:dyDescent="0.15">
      <c r="B134" s="8">
        <v>131</v>
      </c>
      <c r="C134" s="4">
        <f>'[2]实力验证（按等级）'!AG135</f>
        <v>2308655720292.1396</v>
      </c>
      <c r="D134" s="4">
        <f>'[2]实力验证（按等级）'!AH135</f>
        <v>2635560201398.2969</v>
      </c>
      <c r="E134" s="4">
        <f>'[2]实力验证（按等级）'!AI135</f>
        <v>2877774223637.1636</v>
      </c>
      <c r="F134" s="4">
        <f>'[2]实力验证（按等级）'!AJ135</f>
        <v>3132923081375.9482</v>
      </c>
      <c r="G134" s="4">
        <f>'[2]实力验证（按等级）'!AK135</f>
        <v>3449713899953.9492</v>
      </c>
    </row>
    <row r="135" spans="2:7" x14ac:dyDescent="0.15">
      <c r="B135" s="8">
        <v>132</v>
      </c>
      <c r="C135" s="4">
        <f>'[2]实力验证（按等级）'!AG136</f>
        <v>2398012695768.2842</v>
      </c>
      <c r="D135" s="4">
        <f>'[2]实力验证（按等级）'!AH136</f>
        <v>2731157376168.583</v>
      </c>
      <c r="E135" s="4">
        <f>'[2]实力验证（按等级）'!AI136</f>
        <v>2992588030971.9985</v>
      </c>
      <c r="F135" s="4">
        <f>'[2]实力验证（按等级）'!AJ136</f>
        <v>3258248414029.958</v>
      </c>
      <c r="G135" s="4">
        <f>'[2]实力验证（按等级）'!AK136</f>
        <v>3579093830406.1392</v>
      </c>
    </row>
    <row r="136" spans="2:7" x14ac:dyDescent="0.15">
      <c r="B136" s="8">
        <v>133</v>
      </c>
      <c r="C136" s="4">
        <f>'[2]实力验证（按等级）'!AG137</f>
        <v>2489784237447.0576</v>
      </c>
      <c r="D136" s="4">
        <f>'[2]实力验证（按等级）'!AH137</f>
        <v>2830193093501.2803</v>
      </c>
      <c r="E136" s="4">
        <f>'[2]实力验证（按等级）'!AI137</f>
        <v>3104892745376.5615</v>
      </c>
      <c r="F136" s="4">
        <f>'[2]实力验证（按等级）'!AJ137</f>
        <v>3378300912946.5815</v>
      </c>
      <c r="G136" s="4">
        <f>'[2]实力验证（按等级）'!AK137</f>
        <v>3713186148884.3428</v>
      </c>
    </row>
    <row r="137" spans="2:7" x14ac:dyDescent="0.15">
      <c r="B137" s="8">
        <v>134</v>
      </c>
      <c r="C137" s="4">
        <f>'[2]实力验证（按等级）'!AG138</f>
        <v>2585455842738.144</v>
      </c>
      <c r="D137" s="4">
        <f>'[2]实力验证（按等级）'!AH138</f>
        <v>2925344519096.7422</v>
      </c>
      <c r="E137" s="4">
        <f>'[2]实力验证（按等级）'!AI138</f>
        <v>3212836620970.0723</v>
      </c>
      <c r="F137" s="4">
        <f>'[2]实力验证（按等级）'!AJ138</f>
        <v>3503579176880.8198</v>
      </c>
      <c r="G137" s="4">
        <f>'[2]实力验证（按等级）'!AK138</f>
        <v>3851071554091.6099</v>
      </c>
    </row>
    <row r="138" spans="2:7" x14ac:dyDescent="0.15">
      <c r="B138" s="8">
        <v>135</v>
      </c>
      <c r="C138" s="4">
        <f>'[2]实力验证（按等级）'!AG139</f>
        <v>2676841070608.3711</v>
      </c>
      <c r="D138" s="4">
        <f>'[2]实力验证（按等级）'!AH139</f>
        <v>3018053569960.9536</v>
      </c>
      <c r="E138" s="4">
        <f>'[2]实力验证（按等级）'!AI139</f>
        <v>3326355175520.2451</v>
      </c>
      <c r="F138" s="4">
        <f>'[2]实力验证（按等级）'!AJ139</f>
        <v>3633319335085.5098</v>
      </c>
      <c r="G138" s="4">
        <f>'[2]实力验证（按等级）'!AK139</f>
        <v>3995178860066.2949</v>
      </c>
    </row>
    <row r="139" spans="2:7" x14ac:dyDescent="0.15">
      <c r="B139" s="8">
        <v>136</v>
      </c>
      <c r="C139" s="4">
        <f>'[2]实力验证（按等级）'!AG140</f>
        <v>2768056796216.3604</v>
      </c>
      <c r="D139" s="4">
        <f>'[2]实力验证（按等级）'!AH140</f>
        <v>3114376046221.0508</v>
      </c>
      <c r="E139" s="4">
        <f>'[2]实力验证（按等级）'!AI140</f>
        <v>3444107180156.4829</v>
      </c>
      <c r="F139" s="4">
        <f>'[2]实力验证（按等级）'!AJ140</f>
        <v>3769816417071.1143</v>
      </c>
      <c r="G139" s="4">
        <f>'[2]实力验证（按等级）'!AK140</f>
        <v>4125302282870.7974</v>
      </c>
    </row>
    <row r="140" spans="2:7" x14ac:dyDescent="0.15">
      <c r="B140" s="8">
        <v>137</v>
      </c>
      <c r="C140" s="4">
        <f>'[2]实力验证（按等级）'!AG141</f>
        <v>2861861242191.4644</v>
      </c>
      <c r="D140" s="4">
        <f>'[2]实力验证（按等级）'!AH141</f>
        <v>3213080625364.0981</v>
      </c>
      <c r="E140" s="4">
        <f>'[2]实力验证（按等级）'!AI141</f>
        <v>3566245026223.2373</v>
      </c>
      <c r="F140" s="4">
        <f>'[2]实力验证（按等级）'!AJ141</f>
        <v>3905588577040.0493</v>
      </c>
      <c r="G140" s="4">
        <f>'[2]实力验证（按等级）'!AK141</f>
        <v>4259789044062.8379</v>
      </c>
    </row>
    <row r="141" spans="2:7" x14ac:dyDescent="0.15">
      <c r="B141" s="8">
        <v>138</v>
      </c>
      <c r="C141" s="4">
        <f>'[2]实力验证（按等级）'!AG142</f>
        <v>2958645755207.8945</v>
      </c>
      <c r="D141" s="4">
        <f>'[2]实力验证（按等级）'!AH142</f>
        <v>3318261378683.6499</v>
      </c>
      <c r="E141" s="4">
        <f>'[2]实力验证（按等级）'!AI142</f>
        <v>3691979225808.7622</v>
      </c>
      <c r="F141" s="4">
        <f>'[2]实力验证（按等级）'!AJ142</f>
        <v>4046570505908.9116</v>
      </c>
      <c r="G141" s="4">
        <f>'[2]实力验证（按等级）'!AK142</f>
        <v>4393719883467.4878</v>
      </c>
    </row>
    <row r="142" spans="2:7" x14ac:dyDescent="0.15">
      <c r="B142" s="8">
        <v>139</v>
      </c>
      <c r="C142" s="4">
        <f>'[2]实力验证（按等级）'!AG143</f>
        <v>3058283847856.7969</v>
      </c>
      <c r="D142" s="4">
        <f>'[2]实力验证（按等级）'!AH143</f>
        <v>3434200146397.022</v>
      </c>
      <c r="E142" s="4">
        <f>'[2]实力验证（按等级）'!AI143</f>
        <v>3822567780244.6167</v>
      </c>
      <c r="F142" s="4">
        <f>'[2]实力验证（按等级）'!AJ143</f>
        <v>4188033555913.8296</v>
      </c>
      <c r="G142" s="4">
        <f>'[2]实力验证（按等级）'!AK143</f>
        <v>4534071083403.5</v>
      </c>
    </row>
    <row r="143" spans="2:7" x14ac:dyDescent="0.15">
      <c r="B143" s="8">
        <v>140</v>
      </c>
      <c r="C143" s="4">
        <f>'[2]实力验证（按等级）'!AG144</f>
        <v>3160481954625.8467</v>
      </c>
      <c r="D143" s="4">
        <f>'[2]实力验证（按等级）'!AH144</f>
        <v>3554060518711.1875</v>
      </c>
      <c r="E143" s="4">
        <f>'[2]实力验证（按等级）'!AI144</f>
        <v>3953704307730.1426</v>
      </c>
      <c r="F143" s="4">
        <f>'[2]实力验证（按等级）'!AJ144</f>
        <v>4335976603753.4614</v>
      </c>
      <c r="G143" s="4">
        <f>'[2]实力验证（按等级）'!AK144</f>
        <v>4685959574120.8105</v>
      </c>
    </row>
    <row r="144" spans="2:7" x14ac:dyDescent="0.15">
      <c r="B144" s="8">
        <v>141</v>
      </c>
      <c r="C144" s="4">
        <f>'[2]实力验证（按等级）'!AG145</f>
        <v>3267123587871.1177</v>
      </c>
      <c r="D144" s="4">
        <f>'[2]实力验证（按等级）'!AH145</f>
        <v>3679450922802.501</v>
      </c>
      <c r="E144" s="4">
        <f>'[2]实力验证（按等级）'!AI145</f>
        <v>4094885108492.4873</v>
      </c>
      <c r="F144" s="4">
        <f>'[2]实力验证（按等级）'!AJ145</f>
        <v>4492287397095.8691</v>
      </c>
      <c r="G144" s="4">
        <f>'[2]实力验证（按等级）'!AK145</f>
        <v>4846625426771.4053</v>
      </c>
    </row>
    <row r="145" spans="2:7" x14ac:dyDescent="0.15">
      <c r="B145" s="8">
        <v>142</v>
      </c>
      <c r="C145" s="4">
        <f>'[2]实力验证（按等级）'!AG146</f>
        <v>3376423509094.1323</v>
      </c>
      <c r="D145" s="4">
        <f>'[2]实力验证（按等级）'!AH146</f>
        <v>3811702710291.1235</v>
      </c>
      <c r="E145" s="4">
        <f>'[2]实力验证（按等级）'!AI146</f>
        <v>4248387039437.627</v>
      </c>
      <c r="F145" s="4">
        <f>'[2]实力验证（按等级）'!AJ146</f>
        <v>4657335653004.2207</v>
      </c>
      <c r="G145" s="4">
        <f>'[2]实力验证（按等级）'!AK146</f>
        <v>5013088491509.9248</v>
      </c>
    </row>
    <row r="146" spans="2:7" x14ac:dyDescent="0.15">
      <c r="B146" s="8">
        <v>143</v>
      </c>
      <c r="C146" s="4">
        <f>'[2]实力验证（按等级）'!AG147</f>
        <v>3491643683365.1357</v>
      </c>
      <c r="D146" s="4">
        <f>'[2]实力验证（按等级）'!AH147</f>
        <v>3948944784779.5303</v>
      </c>
      <c r="E146" s="4">
        <f>'[2]实力验证（按等级）'!AI147</f>
        <v>4408510950409.7402</v>
      </c>
      <c r="F146" s="4">
        <f>'[2]实力验证（按等级）'!AJ147</f>
        <v>4826802187889.2881</v>
      </c>
      <c r="G146" s="4">
        <f>'[2]实力验证（按等级）'!AK147</f>
        <v>5186169077089.4863</v>
      </c>
    </row>
    <row r="147" spans="2:7" x14ac:dyDescent="0.15">
      <c r="B147" s="8">
        <v>144</v>
      </c>
      <c r="C147" s="4">
        <f>'[2]实力验证（按等级）'!AG148</f>
        <v>3612650686110.1089</v>
      </c>
      <c r="D147" s="4">
        <f>'[2]实力验证（按等级）'!AH148</f>
        <v>4094699610838.3462</v>
      </c>
      <c r="E147" s="4">
        <f>'[2]实力验证（按等级）'!AI148</f>
        <v>4572436666796.1494</v>
      </c>
      <c r="F147" s="4">
        <f>'[2]实力验证（按等级）'!AJ148</f>
        <v>5002761992408.1221</v>
      </c>
      <c r="G147" s="4">
        <f>'[2]实力验证（按等级）'!AK148</f>
        <v>5360961678108.5498</v>
      </c>
    </row>
    <row r="148" spans="2:7" x14ac:dyDescent="0.15">
      <c r="B148" s="8">
        <v>145</v>
      </c>
      <c r="C148" s="4">
        <f>'[2]实力验证（按等级）'!AG149</f>
        <v>3738749067460.6338</v>
      </c>
      <c r="D148" s="4">
        <f>'[2]实力验证（按等级）'!AH149</f>
        <v>4243913690133.1929</v>
      </c>
      <c r="E148" s="4">
        <f>'[2]实力验证（按等级）'!AI149</f>
        <v>4743465819244.2637</v>
      </c>
      <c r="F148" s="4">
        <f>'[2]实力验证（按等级）'!AJ149</f>
        <v>5181659367213.4141</v>
      </c>
      <c r="G148" s="4">
        <f>'[2]实力验证（按等级）'!AK149</f>
        <v>5540354888001.8838</v>
      </c>
    </row>
    <row r="149" spans="2:7" x14ac:dyDescent="0.15">
      <c r="B149" s="8">
        <v>146</v>
      </c>
      <c r="C149" s="4">
        <f>'[2]实力验证（按等级）'!AG150</f>
        <v>3867370251913.96</v>
      </c>
      <c r="D149" s="4">
        <f>'[2]实力验证（按等级）'!AH150</f>
        <v>4399280550064.4268</v>
      </c>
      <c r="E149" s="4">
        <f>'[2]实力验证（按等级）'!AI150</f>
        <v>4916801893929.3223</v>
      </c>
      <c r="F149" s="4">
        <f>'[2]实力验证（按等级）'!AJ150</f>
        <v>5365083879718.791</v>
      </c>
      <c r="G149" s="4">
        <f>'[2]实力验证（按等级）'!AK150</f>
        <v>5727898891450.3428</v>
      </c>
    </row>
    <row r="150" spans="2:7" x14ac:dyDescent="0.15">
      <c r="B150" s="8">
        <v>147</v>
      </c>
      <c r="C150" s="4">
        <f>'[2]实力验证（按等级）'!AG151</f>
        <v>4001760563930.6367</v>
      </c>
      <c r="D150" s="4">
        <f>'[2]实力验证（按等级）'!AH151</f>
        <v>4556655845745.2432</v>
      </c>
      <c r="E150" s="4">
        <f>'[2]实力验证（按等级）'!AI151</f>
        <v>5095892338654.2402</v>
      </c>
      <c r="F150" s="4">
        <f>'[2]实力验证（按等级）'!AJ151</f>
        <v>5564471867776.2646</v>
      </c>
      <c r="G150" s="4">
        <f>'[2]实力验证（按等级）'!AK151</f>
        <v>5925766290689.1953</v>
      </c>
    </row>
    <row r="151" spans="2:7" x14ac:dyDescent="0.15">
      <c r="B151" s="8">
        <v>148</v>
      </c>
      <c r="C151" s="4">
        <f>'[2]实力验证（按等级）'!AG152</f>
        <v>4138418857968.6089</v>
      </c>
      <c r="D151" s="4">
        <f>'[2]实力验证（按等级）'!AH152</f>
        <v>4722177680600.752</v>
      </c>
      <c r="E151" s="4">
        <f>'[2]实力验证（按等级）'!AI152</f>
        <v>5295117616679.4326</v>
      </c>
      <c r="F151" s="4">
        <f>'[2]实力验证（按等级）'!AJ152</f>
        <v>5787105336991.0586</v>
      </c>
      <c r="G151" s="4">
        <f>'[2]实力验证（按等级）'!AK152</f>
        <v>6130506721711.5713</v>
      </c>
    </row>
    <row r="152" spans="2:7" x14ac:dyDescent="0.15">
      <c r="B152" s="8">
        <v>149</v>
      </c>
      <c r="C152" s="4">
        <f>'[2]实力验证（按等级）'!AG153</f>
        <v>4281525080632.7856</v>
      </c>
      <c r="D152" s="4">
        <f>'[2]实力验证（按等级）'!AH153</f>
        <v>4906066179719.915</v>
      </c>
      <c r="E152" s="4">
        <f>'[2]实力验证（按等级）'!AI153</f>
        <v>5511924317310.6729</v>
      </c>
      <c r="F152" s="4">
        <f>'[2]实力验证（按等级）'!AJ153</f>
        <v>6017656366981.8672</v>
      </c>
      <c r="G152" s="4">
        <f>'[2]实力验证（按等级）'!AK153</f>
        <v>6347485091588.5176</v>
      </c>
    </row>
    <row r="153" spans="2:7" x14ac:dyDescent="0.15">
      <c r="B153" s="8">
        <v>150</v>
      </c>
      <c r="C153" s="4">
        <f>'[2]实力验证（按等级）'!AG154</f>
        <v>4445491037503.6836</v>
      </c>
      <c r="D153" s="4">
        <f>'[2]实力验证（按等级）'!AH154</f>
        <v>5095912425506.3936</v>
      </c>
      <c r="E153" s="4">
        <f>'[2]实力验证（按等级）'!AI154</f>
        <v>5736402183164.9111</v>
      </c>
      <c r="F153" s="4">
        <f>'[2]实力验证（按等级）'!AJ154</f>
        <v>6263611005943.71</v>
      </c>
      <c r="G153" s="4">
        <f>'[2]实力验证（按等级）'!AK154</f>
        <v>6604331146730.7891</v>
      </c>
    </row>
    <row r="154" spans="2:7" x14ac:dyDescent="0.15">
      <c r="B154" s="8">
        <v>151</v>
      </c>
      <c r="C154" s="4">
        <f>'[2]实力验证（按等级）'!AG155</f>
        <v>4606629474986.3242</v>
      </c>
      <c r="D154" s="4">
        <f>'[2]实力验证（按等级）'!AH155</f>
        <v>5280948989812.8604</v>
      </c>
      <c r="E154" s="4">
        <f>'[2]实力验证（按等级）'!AI155</f>
        <v>5959075005416.5508</v>
      </c>
      <c r="F154" s="4">
        <f>'[2]实力验证（按等级）'!AJ155</f>
        <v>6544813659066.5068</v>
      </c>
      <c r="G154" s="4">
        <f>'[2]实力验证（按等级）'!AK155</f>
        <v>6893804567319.9727</v>
      </c>
    </row>
    <row r="155" spans="2:7" x14ac:dyDescent="0.15">
      <c r="B155" s="8">
        <v>152</v>
      </c>
      <c r="C155" s="4">
        <f>'[2]实力验证（按等级）'!AG156</f>
        <v>4770413606079.4102</v>
      </c>
      <c r="D155" s="4">
        <f>'[2]实力验证（按等级）'!AH156</f>
        <v>5472179015809.4404</v>
      </c>
      <c r="E155" s="4">
        <f>'[2]实力验证（按等级）'!AI156</f>
        <v>6206311388931.7822</v>
      </c>
      <c r="F155" s="4">
        <f>'[2]实力验证（按等级）'!AJ156</f>
        <v>6837393797025.8135</v>
      </c>
      <c r="G155" s="4">
        <f>'[2]实力验证（按等级）'!AK156</f>
        <v>7071380003365.1426</v>
      </c>
    </row>
    <row r="156" spans="2:7" x14ac:dyDescent="0.15">
      <c r="B156" s="8">
        <v>153</v>
      </c>
      <c r="C156" s="4">
        <f>'[2]实力验证（按等级）'!AG157</f>
        <v>4949207674974.2354</v>
      </c>
      <c r="D156" s="4">
        <f>'[2]实力验证（按等级）'!AH157</f>
        <v>5683279819060.4951</v>
      </c>
      <c r="E156" s="4">
        <f>'[2]实力验证（按等级）'!AI157</f>
        <v>6466119062108.0186</v>
      </c>
      <c r="F156" s="4">
        <f>'[2]实力验证（按等级）'!AJ157</f>
        <v>7005570188144.5859</v>
      </c>
      <c r="G156" s="4">
        <f>'[2]实力验证（按等级）'!AK157</f>
        <v>7212286849314.7432</v>
      </c>
    </row>
    <row r="157" spans="2:7" x14ac:dyDescent="0.15">
      <c r="B157" s="8">
        <v>154</v>
      </c>
      <c r="C157" s="4">
        <f>'[2]实力验证（按等级）'!AG158</f>
        <v>5133006753731.5039</v>
      </c>
      <c r="D157" s="4">
        <f>'[2]实力验证（按等级）'!AH158</f>
        <v>5901428061986.5605</v>
      </c>
      <c r="E157" s="4">
        <f>'[2]实力验证（按等级）'!AI158</f>
        <v>6611523702446.958</v>
      </c>
      <c r="F157" s="4">
        <f>'[2]实力验证（按等级）'!AJ158</f>
        <v>7131432896618.1602</v>
      </c>
      <c r="G157" s="4">
        <f>'[2]实力验证（按等级）'!AK158</f>
        <v>7280433971283.0986</v>
      </c>
    </row>
    <row r="158" spans="2:7" x14ac:dyDescent="0.15">
      <c r="B158" s="8">
        <v>155</v>
      </c>
      <c r="C158" s="4">
        <f>'[2]实力验证（按等级）'!AG159</f>
        <v>5324061313440.5127</v>
      </c>
      <c r="D158" s="4">
        <f>'[2]实力验证（按等级）'!AH159</f>
        <v>6068964131354.0713</v>
      </c>
      <c r="E158" s="4">
        <f>'[2]实力验证（按等级）'!AI159</f>
        <v>6718822534138.8916</v>
      </c>
      <c r="F158" s="4">
        <f>'[2]实力验证（按等级）'!AJ159</f>
        <v>7188846557836.3691</v>
      </c>
      <c r="G158" s="4">
        <f>'[2]实力验证（按等级）'!AK159</f>
        <v>7342389462661.1611</v>
      </c>
    </row>
    <row r="159" spans="2:7" x14ac:dyDescent="0.15">
      <c r="B159" s="8">
        <v>156</v>
      </c>
      <c r="C159" s="4">
        <f>'[2]实力验证（按等级）'!AG160</f>
        <v>5448058562336.2588</v>
      </c>
      <c r="D159" s="4">
        <f>'[2]实力验证（按等级）'!AH160</f>
        <v>6182829213823.2842</v>
      </c>
      <c r="E159" s="4">
        <f>'[2]实力验证（按等级）'!AI160</f>
        <v>6763515769730.2158</v>
      </c>
      <c r="F159" s="4">
        <f>'[2]实力验证（按等级）'!AJ160</f>
        <v>7236439396399.6318</v>
      </c>
      <c r="G159" s="4">
        <f>'[2]实力验证（按等级）'!AK160</f>
        <v>7404692687711.9326</v>
      </c>
    </row>
    <row r="160" spans="2:7" x14ac:dyDescent="0.15">
      <c r="B160" s="8">
        <v>157</v>
      </c>
      <c r="C160" s="4">
        <f>'[2]实力验证（按等级）'!AG161</f>
        <v>5532974555415.9707</v>
      </c>
      <c r="D160" s="4">
        <f>'[2]实力验证（按等级）'!AH161</f>
        <v>6269786018679.8193</v>
      </c>
      <c r="E160" s="4">
        <f>'[2]实力验证（按等级）'!AI161</f>
        <v>6797174845120.7393</v>
      </c>
      <c r="F160" s="4">
        <f>'[2]实力验证（按等级）'!AJ161</f>
        <v>7284243279649.3633</v>
      </c>
      <c r="G160" s="4">
        <f>'[2]实力验证（按等级）'!AK161</f>
        <v>7467344616059.2891</v>
      </c>
    </row>
    <row r="161" spans="2:7" x14ac:dyDescent="0.15">
      <c r="B161" s="8">
        <v>158</v>
      </c>
      <c r="C161" s="4">
        <f>'[2]实力验证（按等级）'!AG162</f>
        <v>5580246509232.4033</v>
      </c>
      <c r="D161" s="4">
        <f>'[2]实力验证（按等级）'!AH162</f>
        <v>6319187074388.207</v>
      </c>
      <c r="E161" s="4">
        <f>'[2]实力验证（按等级）'!AI162</f>
        <v>6830945548900.5215</v>
      </c>
      <c r="F161" s="4">
        <f>'[2]实力验证（按等级）'!AJ162</f>
        <v>7332258683841.6914</v>
      </c>
      <c r="G161" s="4">
        <f>'[2]实力验证（按等级）'!AK162</f>
        <v>7530346217385.1426</v>
      </c>
    </row>
    <row r="162" spans="2:7" x14ac:dyDescent="0.15">
      <c r="B162" s="8">
        <v>159</v>
      </c>
      <c r="C162" s="4">
        <f>'[2]实力验证（按等级）'!AG163</f>
        <v>5606708795866.2158</v>
      </c>
      <c r="D162" s="4">
        <f>'[2]实力验证（按等级）'!AH163</f>
        <v>6348770650057.5381</v>
      </c>
      <c r="E162" s="4">
        <f>'[2]实力验证（按等级）'!AI163</f>
        <v>6864828071478.2363</v>
      </c>
      <c r="F162" s="4">
        <f>'[2]实力验证（按等级）'!AJ163</f>
        <v>7380486085268.6104</v>
      </c>
      <c r="G162" s="4">
        <f>'[2]实力验证（按等级）'!AK163</f>
        <v>7593698461429.208</v>
      </c>
    </row>
    <row r="163" spans="2:7" x14ac:dyDescent="0.15">
      <c r="B163" s="8">
        <v>160</v>
      </c>
      <c r="C163" s="4">
        <f>'[2]实力验证（按等级）'!AG164</f>
        <v>5633245923510.5059</v>
      </c>
      <c r="D163" s="4">
        <f>'[2]实力验证（按等级）'!AH164</f>
        <v>6378443998459.0068</v>
      </c>
      <c r="E163" s="4">
        <f>'[2]实力验证（按等级）'!AI164</f>
        <v>6898819458543.29</v>
      </c>
      <c r="F163" s="4">
        <f>'[2]实力验证（按等级）'!AJ164</f>
        <v>7428922649858.9482</v>
      </c>
      <c r="G163" s="4">
        <f>'[2]实力验证（按等级）'!AK164</f>
        <v>7657398957797.9609</v>
      </c>
    </row>
  </sheetData>
  <mergeCells count="2">
    <mergeCell ref="C2:G2"/>
    <mergeCell ref="K3:P3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Z93"/>
  <sheetViews>
    <sheetView workbookViewId="0">
      <selection activeCell="F21" sqref="F21"/>
    </sheetView>
  </sheetViews>
  <sheetFormatPr defaultColWidth="7.875" defaultRowHeight="11.25" x14ac:dyDescent="0.15"/>
  <cols>
    <col min="1" max="3" width="7.875" style="8"/>
    <col min="4" max="4" width="9.75" style="8" bestFit="1" customWidth="1"/>
    <col min="5" max="9" width="7.875" style="8"/>
    <col min="10" max="21" width="0" style="8" hidden="1" customWidth="1"/>
    <col min="22" max="22" width="9.75" style="8" hidden="1" customWidth="1"/>
    <col min="23" max="27" width="0" style="8" hidden="1" customWidth="1"/>
    <col min="28" max="16384" width="7.875" style="8"/>
  </cols>
  <sheetData>
    <row r="1" spans="2:26" x14ac:dyDescent="0.15">
      <c r="C1" s="5"/>
      <c r="D1" s="5"/>
      <c r="E1" s="5"/>
      <c r="F1" s="5"/>
      <c r="G1" s="5"/>
      <c r="U1" s="5"/>
      <c r="V1" s="5"/>
      <c r="W1" s="5"/>
      <c r="X1" s="5"/>
      <c r="Y1" s="5"/>
    </row>
    <row r="2" spans="2:26" x14ac:dyDescent="0.15">
      <c r="C2" s="23" t="s">
        <v>62</v>
      </c>
      <c r="D2" s="23"/>
      <c r="E2" s="23"/>
      <c r="F2" s="23"/>
      <c r="G2" s="23"/>
      <c r="K2" s="12"/>
      <c r="U2" s="23" t="s">
        <v>101</v>
      </c>
      <c r="V2" s="23"/>
      <c r="W2" s="23"/>
      <c r="X2" s="23"/>
      <c r="Y2" s="23"/>
    </row>
    <row r="3" spans="2:26" x14ac:dyDescent="0.15">
      <c r="B3" s="8" t="s">
        <v>17</v>
      </c>
      <c r="C3" s="9" t="s">
        <v>8</v>
      </c>
      <c r="D3" s="9" t="s">
        <v>9</v>
      </c>
      <c r="E3" s="9" t="s">
        <v>10</v>
      </c>
      <c r="F3" s="9" t="s">
        <v>11</v>
      </c>
      <c r="G3" s="9" t="s">
        <v>12</v>
      </c>
      <c r="H3" s="8" t="s">
        <v>29</v>
      </c>
      <c r="T3" s="8" t="s">
        <v>17</v>
      </c>
      <c r="U3" s="9" t="s">
        <v>8</v>
      </c>
      <c r="V3" s="9" t="s">
        <v>9</v>
      </c>
      <c r="W3" s="9" t="s">
        <v>10</v>
      </c>
      <c r="X3" s="9" t="s">
        <v>11</v>
      </c>
      <c r="Y3" s="9" t="s">
        <v>12</v>
      </c>
      <c r="Z3" s="8" t="s">
        <v>29</v>
      </c>
    </row>
    <row r="4" spans="2:26" x14ac:dyDescent="0.15">
      <c r="B4" s="8">
        <v>1</v>
      </c>
      <c r="C4" s="5">
        <v>3</v>
      </c>
      <c r="D4" s="5">
        <f>求节点(其他调用!D$4:D$163,其他调用!$B$4:$B$163,INDEX(其他调用!$C$4:$C$163,$C4,1))</f>
        <v>2.9320551802347885</v>
      </c>
      <c r="E4" s="5">
        <f>求节点(其他调用!E$4:E$163,其他调用!$B$4:$B$163,INDEX(其他调用!$C$4:$C$163,$C4,1))</f>
        <v>2.8277252402841926</v>
      </c>
      <c r="F4" s="5">
        <f>求节点(其他调用!F$4:F$163,其他调用!$B$4:$B$163,INDEX(其他调用!$C$4:$C$163,$C4,1))</f>
        <v>2.6928398347515645</v>
      </c>
      <c r="G4" s="5">
        <f>求节点(其他调用!G$4:G$163,其他调用!$B$4:$B$163,INDEX(其他调用!$C$4:$C$163,$C4,1))</f>
        <v>2.6238087965093833</v>
      </c>
      <c r="H4" s="8">
        <v>6</v>
      </c>
      <c r="J4" s="8">
        <v>3</v>
      </c>
      <c r="K4" s="8">
        <v>2.8184326176950298</v>
      </c>
      <c r="L4" s="8">
        <v>2.6960322635996499</v>
      </c>
      <c r="M4" s="8">
        <v>2.427725262672801</v>
      </c>
      <c r="N4" s="8">
        <v>2.2746094862430888</v>
      </c>
      <c r="O4" s="8">
        <f>D4/K4</f>
        <v>1.0403140957943786</v>
      </c>
      <c r="P4" s="8">
        <f t="shared" ref="P4:R4" si="0">E4/L4</f>
        <v>1.048846958718777</v>
      </c>
      <c r="Q4" s="8">
        <f t="shared" si="0"/>
        <v>1.1092028723987022</v>
      </c>
      <c r="R4" s="8">
        <f t="shared" si="0"/>
        <v>1.1535205547933669</v>
      </c>
      <c r="T4" s="8">
        <v>1</v>
      </c>
      <c r="U4" s="5">
        <v>3</v>
      </c>
      <c r="V4" s="5">
        <f>求节点(其他调用!D$4:D$163,其他调用!$B$4:$B$163,INDEX(其他调用!$C$4:$C$163,$U4,1))</f>
        <v>2.9320551802347885</v>
      </c>
      <c r="W4" s="5">
        <f>求节点(其他调用!E$4:E$163,其他调用!$B$4:$B$163,INDEX(其他调用!$C$4:$C$163,$U4,1))</f>
        <v>2.8277252402841926</v>
      </c>
      <c r="X4" s="5">
        <f>求节点(其他调用!F$4:F$163,其他调用!$B$4:$B$163,INDEX(其他调用!$C$4:$C$163,$U4,1))</f>
        <v>2.6928398347515645</v>
      </c>
      <c r="Y4" s="5">
        <f>求节点(其他调用!G$4:G$163,其他调用!$B$4:$B$163,INDEX(其他调用!$C$4:$C$163,$U4,1))</f>
        <v>2.6238087965093833</v>
      </c>
      <c r="Z4" s="8">
        <v>6</v>
      </c>
    </row>
    <row r="5" spans="2:26" x14ac:dyDescent="0.15">
      <c r="B5" s="8">
        <v>2</v>
      </c>
      <c r="C5" s="5">
        <v>6</v>
      </c>
      <c r="D5" s="5">
        <f>求节点(其他调用!D$4:D$163,其他调用!$B$4:$B$163,INDEX(其他调用!$C$4:$C$163,$C5,1))</f>
        <v>5.8442334310485347</v>
      </c>
      <c r="E5" s="5">
        <f>求节点(其他调用!E$4:E$163,其他调用!$B$4:$B$163,INDEX(其他调用!$C$4:$C$163,$C5,1))</f>
        <v>5.603307150685791</v>
      </c>
      <c r="F5" s="5">
        <f>求节点(其他调用!F$4:F$163,其他调用!$B$4:$B$163,INDEX(其他调用!$C$4:$C$163,$C5,1))</f>
        <v>5.3054279053332296</v>
      </c>
      <c r="G5" s="5">
        <f>求节点(其他调用!G$4:G$163,其他调用!$B$4:$B$163,INDEX(其他调用!$C$4:$C$163,$C5,1))</f>
        <v>5.1584334490664725</v>
      </c>
      <c r="H5" s="8">
        <v>6</v>
      </c>
      <c r="J5" s="8">
        <v>6</v>
      </c>
      <c r="K5" s="8">
        <v>5.5758533527354537</v>
      </c>
      <c r="L5" s="8">
        <v>5.3096980056022849</v>
      </c>
      <c r="M5" s="8">
        <v>4.9624155947840434</v>
      </c>
      <c r="N5" s="8">
        <v>4.5709617471180106</v>
      </c>
      <c r="O5" s="8">
        <f t="shared" ref="O5:O36" si="1">D5/K5</f>
        <v>1.0481325568186646</v>
      </c>
      <c r="P5" s="8">
        <f t="shared" ref="P5:P36" si="2">E5/L5</f>
        <v>1.055296769189833</v>
      </c>
      <c r="Q5" s="8">
        <f t="shared" ref="Q5:Q36" si="3">F5/M5</f>
        <v>1.0691220442942595</v>
      </c>
      <c r="R5" s="8">
        <f t="shared" ref="R5:R36" si="4">G5/N5</f>
        <v>1.1285225592445316</v>
      </c>
      <c r="T5" s="8">
        <v>2</v>
      </c>
      <c r="U5" s="5">
        <v>6</v>
      </c>
      <c r="V5" s="5">
        <f>求节点(其他调用!D$4:D$163,其他调用!$B$4:$B$163,INDEX(其他调用!$C$4:$C$163,$U5,1))</f>
        <v>5.8442334310485347</v>
      </c>
      <c r="W5" s="5">
        <f>求节点(其他调用!E$4:E$163,其他调用!$B$4:$B$163,INDEX(其他调用!$C$4:$C$163,$U5,1))</f>
        <v>5.603307150685791</v>
      </c>
      <c r="X5" s="5">
        <f>求节点(其他调用!F$4:F$163,其他调用!$B$4:$B$163,INDEX(其他调用!$C$4:$C$163,$U5,1))</f>
        <v>5.3054279053332296</v>
      </c>
      <c r="Y5" s="5">
        <f>求节点(其他调用!G$4:G$163,其他调用!$B$4:$B$163,INDEX(其他调用!$C$4:$C$163,$U5,1))</f>
        <v>5.1584334490664725</v>
      </c>
      <c r="Z5" s="8">
        <v>6</v>
      </c>
    </row>
    <row r="6" spans="2:26" x14ac:dyDescent="0.15">
      <c r="B6" s="8">
        <v>3</v>
      </c>
      <c r="C6" s="5">
        <v>9</v>
      </c>
      <c r="D6" s="5">
        <f>求节点(其他调用!D$4:D$163,其他调用!$B$4:$B$163,INDEX(其他调用!$C$4:$C$163,$C6,1))</f>
        <v>8.7613519127764228</v>
      </c>
      <c r="E6" s="5">
        <f>求节点(其他调用!E$4:E$163,其他调用!$B$4:$B$163,INDEX(其他调用!$C$4:$C$163,$C6,1))</f>
        <v>8.3841850299239606</v>
      </c>
      <c r="F6" s="5">
        <f>求节点(其他调用!F$4:F$163,其他调用!$B$4:$B$163,INDEX(其他调用!$C$4:$C$163,$C6,1))</f>
        <v>7.921708584853552</v>
      </c>
      <c r="G6" s="5">
        <f>求节点(其他调用!G$4:G$163,其他调用!$B$4:$B$163,INDEX(其他调用!$C$4:$C$163,$C6,1))</f>
        <v>7.6647097918727711</v>
      </c>
      <c r="H6" s="8">
        <v>6</v>
      </c>
      <c r="J6" s="8">
        <v>9</v>
      </c>
      <c r="K6" s="8">
        <v>8.2937990094898275</v>
      </c>
      <c r="L6" s="8">
        <v>7.9976742666488887</v>
      </c>
      <c r="M6" s="8">
        <v>7.5083293814625875</v>
      </c>
      <c r="N6" s="8">
        <v>6.9514653601025884</v>
      </c>
      <c r="O6" s="8">
        <f t="shared" si="1"/>
        <v>1.0563737923660337</v>
      </c>
      <c r="P6" s="8">
        <f t="shared" si="2"/>
        <v>1.0483278951340718</v>
      </c>
      <c r="Q6" s="8">
        <f t="shared" si="3"/>
        <v>1.0550560827035056</v>
      </c>
      <c r="R6" s="8">
        <f t="shared" si="4"/>
        <v>1.1026034648555965</v>
      </c>
      <c r="T6" s="8">
        <v>3</v>
      </c>
      <c r="U6" s="5">
        <v>9</v>
      </c>
      <c r="V6" s="5">
        <f>求节点(其他调用!D$4:D$163,其他调用!$B$4:$B$163,INDEX(其他调用!$C$4:$C$163,$U6,1))</f>
        <v>8.7613519127764228</v>
      </c>
      <c r="W6" s="5">
        <f>求节点(其他调用!E$4:E$163,其他调用!$B$4:$B$163,INDEX(其他调用!$C$4:$C$163,$U6,1))</f>
        <v>8.3841850299239606</v>
      </c>
      <c r="X6" s="5">
        <f>求节点(其他调用!F$4:F$163,其他调用!$B$4:$B$163,INDEX(其他调用!$C$4:$C$163,$U6,1))</f>
        <v>7.921708584853552</v>
      </c>
      <c r="Y6" s="5">
        <f>求节点(其他调用!G$4:G$163,其他调用!$B$4:$B$163,INDEX(其他调用!$C$4:$C$163,$U6,1))</f>
        <v>7.6647097918727711</v>
      </c>
      <c r="Z6" s="8">
        <v>6</v>
      </c>
    </row>
    <row r="7" spans="2:26" x14ac:dyDescent="0.15">
      <c r="B7" s="8">
        <v>4</v>
      </c>
      <c r="C7" s="5">
        <v>12</v>
      </c>
      <c r="D7" s="5">
        <f>求节点(其他调用!D$4:D$163,其他调用!$B$4:$B$163,INDEX(其他调用!$C$4:$C$163,$C7,1))</f>
        <v>11.661397172160591</v>
      </c>
      <c r="E7" s="5">
        <f>求节点(其他调用!E$4:E$163,其他调用!$B$4:$B$163,INDEX(其他调用!$C$4:$C$163,$C7,1))</f>
        <v>11.126542297633446</v>
      </c>
      <c r="F7" s="5">
        <f>求节点(其他调用!F$4:F$163,其他调用!$B$4:$B$163,INDEX(其他调用!$C$4:$C$163,$C7,1))</f>
        <v>10.456936189693174</v>
      </c>
      <c r="G7" s="5">
        <f>求节点(其他调用!G$4:G$163,其他调用!$B$4:$B$163,INDEX(其他调用!$C$4:$C$163,$C7,1))</f>
        <v>10.140477494841452</v>
      </c>
      <c r="H7" s="8">
        <v>6</v>
      </c>
      <c r="J7" s="8">
        <v>12</v>
      </c>
      <c r="K7" s="8">
        <v>11.085857828399096</v>
      </c>
      <c r="L7" s="8">
        <v>10.736105819150204</v>
      </c>
      <c r="M7" s="8">
        <v>10.224525568531023</v>
      </c>
      <c r="N7" s="8">
        <v>9.3913080247997218</v>
      </c>
      <c r="O7" s="8">
        <f t="shared" si="1"/>
        <v>1.051916536606406</v>
      </c>
      <c r="P7" s="8">
        <f t="shared" si="2"/>
        <v>1.0363666756885734</v>
      </c>
      <c r="Q7" s="8">
        <f t="shared" si="3"/>
        <v>1.0227306997869381</v>
      </c>
      <c r="R7" s="8">
        <f t="shared" si="4"/>
        <v>1.0797726438173885</v>
      </c>
      <c r="T7" s="8">
        <v>4</v>
      </c>
      <c r="U7" s="5">
        <v>12</v>
      </c>
      <c r="V7" s="5">
        <f>求节点(其他调用!D$4:D$163,其他调用!$B$4:$B$163,INDEX(其他调用!$C$4:$C$163,$U7,1))</f>
        <v>11.661397172160591</v>
      </c>
      <c r="W7" s="5">
        <f>求节点(其他调用!E$4:E$163,其他调用!$B$4:$B$163,INDEX(其他调用!$C$4:$C$163,$U7,1))</f>
        <v>11.126542297633446</v>
      </c>
      <c r="X7" s="5">
        <f>求节点(其他调用!F$4:F$163,其他调用!$B$4:$B$163,INDEX(其他调用!$C$4:$C$163,$U7,1))</f>
        <v>10.456936189693174</v>
      </c>
      <c r="Y7" s="5">
        <f>求节点(其他调用!G$4:G$163,其他调用!$B$4:$B$163,INDEX(其他调用!$C$4:$C$163,$U7,1))</f>
        <v>10.140477494841452</v>
      </c>
      <c r="Z7" s="8">
        <v>6</v>
      </c>
    </row>
    <row r="8" spans="2:26" x14ac:dyDescent="0.15">
      <c r="B8" s="8">
        <v>5</v>
      </c>
      <c r="C8" s="5">
        <v>15</v>
      </c>
      <c r="D8" s="5">
        <f>求节点(其他调用!D$4:D$163,其他调用!$B$4:$B$163,INDEX(其他调用!$C$4:$C$163,$C8,1))</f>
        <v>14.617654955009588</v>
      </c>
      <c r="E8" s="5">
        <f>求节点(其他调用!E$4:E$163,其他调用!$B$4:$B$163,INDEX(其他调用!$C$4:$C$163,$C8,1))</f>
        <v>14.024498867791426</v>
      </c>
      <c r="F8" s="5">
        <f>求节点(其他调用!F$4:F$163,其他调用!$B$4:$B$163,INDEX(其他调用!$C$4:$C$163,$C8,1))</f>
        <v>13.113176648184169</v>
      </c>
      <c r="G8" s="5">
        <f>求节点(其他调用!G$4:G$163,其他调用!$B$4:$B$163,INDEX(其他调用!$C$4:$C$163,$C8,1))</f>
        <v>12.560656616306117</v>
      </c>
      <c r="H8" s="8">
        <v>6</v>
      </c>
      <c r="J8" s="8">
        <v>15</v>
      </c>
      <c r="K8" s="8">
        <v>14.04027504578468</v>
      </c>
      <c r="L8" s="8">
        <v>13.532937069963669</v>
      </c>
      <c r="M8" s="8">
        <v>12.818671606456432</v>
      </c>
      <c r="N8" s="8">
        <v>11.761402769917906</v>
      </c>
      <c r="O8" s="8">
        <f t="shared" si="1"/>
        <v>1.0411231195501582</v>
      </c>
      <c r="P8" s="8">
        <f t="shared" si="2"/>
        <v>1.0363233638999754</v>
      </c>
      <c r="Q8" s="8">
        <f t="shared" si="3"/>
        <v>1.0229746927582888</v>
      </c>
      <c r="R8" s="8">
        <f t="shared" si="4"/>
        <v>1.0679556564827846</v>
      </c>
      <c r="T8" s="8">
        <v>5</v>
      </c>
      <c r="U8" s="5">
        <v>15</v>
      </c>
      <c r="V8" s="5">
        <f>求节点(其他调用!D$4:D$163,其他调用!$B$4:$B$163,INDEX(其他调用!$C$4:$C$163,$U8,1))</f>
        <v>14.617654955009588</v>
      </c>
      <c r="W8" s="5">
        <f>求节点(其他调用!E$4:E$163,其他调用!$B$4:$B$163,INDEX(其他调用!$C$4:$C$163,$U8,1))</f>
        <v>14.024498867791426</v>
      </c>
      <c r="X8" s="5">
        <f>求节点(其他调用!F$4:F$163,其他调用!$B$4:$B$163,INDEX(其他调用!$C$4:$C$163,$U8,1))</f>
        <v>13.113176648184169</v>
      </c>
      <c r="Y8" s="5">
        <f>求节点(其他调用!G$4:G$163,其他调用!$B$4:$B$163,INDEX(其他调用!$C$4:$C$163,$U8,1))</f>
        <v>12.560656616306117</v>
      </c>
      <c r="Z8" s="8">
        <v>6</v>
      </c>
    </row>
    <row r="9" spans="2:26" x14ac:dyDescent="0.15">
      <c r="B9" s="8">
        <v>6</v>
      </c>
      <c r="C9" s="5">
        <v>18</v>
      </c>
      <c r="D9" s="5">
        <f>求节点(其他调用!D$4:D$163,其他调用!$B$4:$B$163,INDEX(其他调用!$C$4:$C$163,$C9,1))</f>
        <v>17.548473121974101</v>
      </c>
      <c r="E9" s="5">
        <f>求节点(其他调用!E$4:E$163,其他调用!$B$4:$B$163,INDEX(其他调用!$C$4:$C$163,$C9,1))</f>
        <v>16.874781217774334</v>
      </c>
      <c r="F9" s="5">
        <f>求节点(其他调用!F$4:F$163,其他调用!$B$4:$B$163,INDEX(其他调用!$C$4:$C$163,$C9,1))</f>
        <v>15.824293721721368</v>
      </c>
      <c r="G9" s="5">
        <f>求节点(其他调用!G$4:G$163,其他调用!$B$4:$B$163,INDEX(其他调用!$C$4:$C$163,$C9,1))</f>
        <v>15.141130078790686</v>
      </c>
      <c r="H9" s="8">
        <v>6</v>
      </c>
      <c r="J9" s="8">
        <v>18</v>
      </c>
      <c r="K9" s="8">
        <v>17.008508841731821</v>
      </c>
      <c r="L9" s="8">
        <v>16.436238227581839</v>
      </c>
      <c r="M9" s="8">
        <v>15.400041882018774</v>
      </c>
      <c r="N9" s="8">
        <v>14.207086635646334</v>
      </c>
      <c r="O9" s="8">
        <f t="shared" si="1"/>
        <v>1.0317467148511827</v>
      </c>
      <c r="P9" s="8">
        <f t="shared" si="2"/>
        <v>1.0266814695747455</v>
      </c>
      <c r="Q9" s="8">
        <f t="shared" si="3"/>
        <v>1.0275487458380197</v>
      </c>
      <c r="R9" s="8">
        <f t="shared" si="4"/>
        <v>1.0657448966912602</v>
      </c>
      <c r="T9" s="8">
        <v>6</v>
      </c>
      <c r="U9" s="5">
        <v>18</v>
      </c>
      <c r="V9" s="5">
        <f>求节点(其他调用!D$4:D$163,其他调用!$B$4:$B$163,INDEX(其他调用!$C$4:$C$163,$U9,1))</f>
        <v>17.548473121974101</v>
      </c>
      <c r="W9" s="5">
        <f>求节点(其他调用!E$4:E$163,其他调用!$B$4:$B$163,INDEX(其他调用!$C$4:$C$163,$U9,1))</f>
        <v>16.874781217774334</v>
      </c>
      <c r="X9" s="5">
        <f>求节点(其他调用!F$4:F$163,其他调用!$B$4:$B$163,INDEX(其他调用!$C$4:$C$163,$U9,1))</f>
        <v>15.824293721721368</v>
      </c>
      <c r="Y9" s="5">
        <f>求节点(其他调用!G$4:G$163,其他调用!$B$4:$B$163,INDEX(其他调用!$C$4:$C$163,$U9,1))</f>
        <v>15.141130078790686</v>
      </c>
      <c r="Z9" s="8">
        <v>6</v>
      </c>
    </row>
    <row r="10" spans="2:26" x14ac:dyDescent="0.15">
      <c r="B10" s="8">
        <v>7</v>
      </c>
      <c r="C10" s="5">
        <v>21</v>
      </c>
      <c r="D10" s="5">
        <f>求节点(其他调用!D$4:D$163,其他调用!$B$4:$B$163,INDEX(其他调用!$C$4:$C$163,$C10,1))</f>
        <v>20.589647117302654</v>
      </c>
      <c r="E10" s="5">
        <f>求节点(其他调用!E$4:E$163,其他调用!$B$4:$B$163,INDEX(其他调用!$C$4:$C$163,$C10,1))</f>
        <v>19.843482776397728</v>
      </c>
      <c r="F10" s="5">
        <f>求节点(其他调用!F$4:F$163,其他调用!$B$4:$B$163,INDEX(其他调用!$C$4:$C$163,$C10,1))</f>
        <v>18.675906051742032</v>
      </c>
      <c r="G10" s="5">
        <f>求节点(其他调用!G$4:G$163,其他调用!$B$4:$B$163,INDEX(其他调用!$C$4:$C$163,$C10,1))</f>
        <v>17.886502335378513</v>
      </c>
      <c r="H10" s="8">
        <v>6</v>
      </c>
      <c r="J10" s="8">
        <v>21</v>
      </c>
      <c r="K10" s="8">
        <v>20.278217800309836</v>
      </c>
      <c r="L10" s="8">
        <v>19.602560333422836</v>
      </c>
      <c r="M10" s="8">
        <v>18.088049598828579</v>
      </c>
      <c r="N10" s="8">
        <v>16.74914721918682</v>
      </c>
      <c r="O10" s="8">
        <f t="shared" si="1"/>
        <v>1.01535782483745</v>
      </c>
      <c r="P10" s="8">
        <f t="shared" si="2"/>
        <v>1.01229035589622</v>
      </c>
      <c r="Q10" s="8">
        <f t="shared" si="3"/>
        <v>1.0324997147813839</v>
      </c>
      <c r="R10" s="8">
        <f t="shared" si="4"/>
        <v>1.0679052551934589</v>
      </c>
      <c r="T10" s="8">
        <v>7</v>
      </c>
      <c r="U10" s="5">
        <v>21</v>
      </c>
      <c r="V10" s="5">
        <f>求节点(其他调用!D$4:D$163,其他调用!$B$4:$B$163,INDEX(其他调用!$C$4:$C$163,$U10,1))</f>
        <v>20.589647117302654</v>
      </c>
      <c r="W10" s="5">
        <f>求节点(其他调用!E$4:E$163,其他调用!$B$4:$B$163,INDEX(其他调用!$C$4:$C$163,$U10,1))</f>
        <v>19.843482776397728</v>
      </c>
      <c r="X10" s="5">
        <f>求节点(其他调用!F$4:F$163,其他调用!$B$4:$B$163,INDEX(其他调用!$C$4:$C$163,$U10,1))</f>
        <v>18.675906051742032</v>
      </c>
      <c r="Y10" s="5">
        <f>求节点(其他调用!G$4:G$163,其他调用!$B$4:$B$163,INDEX(其他调用!$C$4:$C$163,$U10,1))</f>
        <v>17.886502335378513</v>
      </c>
      <c r="Z10" s="8">
        <v>6</v>
      </c>
    </row>
    <row r="11" spans="2:26" x14ac:dyDescent="0.15">
      <c r="B11" s="8">
        <v>8</v>
      </c>
      <c r="C11" s="5">
        <v>24</v>
      </c>
      <c r="D11" s="5">
        <f>求节点(其他调用!D$4:D$163,其他调用!$B$4:$B$163,INDEX(其他调用!$C$4:$C$163,$C11,1))</f>
        <v>23.499492305137622</v>
      </c>
      <c r="E11" s="5">
        <f>求节点(其他调用!E$4:E$163,其他调用!$B$4:$B$163,INDEX(其他调用!$C$4:$C$163,$C11,1))</f>
        <v>22.635807008293629</v>
      </c>
      <c r="F11" s="5">
        <f>求节点(其他调用!F$4:F$163,其他调用!$B$4:$B$163,INDEX(其他调用!$C$4:$C$163,$C11,1))</f>
        <v>21.435175114766551</v>
      </c>
      <c r="G11" s="5">
        <f>求节点(其他调用!G$4:G$163,其他调用!$B$4:$B$163,INDEX(其他调用!$C$4:$C$163,$C11,1))</f>
        <v>20.565455026392783</v>
      </c>
      <c r="H11" s="8">
        <v>6</v>
      </c>
      <c r="J11" s="8">
        <v>24</v>
      </c>
      <c r="K11" s="8">
        <v>23.345089072123788</v>
      </c>
      <c r="L11" s="8">
        <v>22.523029110718976</v>
      </c>
      <c r="M11" s="8">
        <v>20.797172448534649</v>
      </c>
      <c r="N11" s="8">
        <v>19.364046226967158</v>
      </c>
      <c r="O11" s="8">
        <f t="shared" si="1"/>
        <v>1.0066139491923467</v>
      </c>
      <c r="P11" s="8">
        <f t="shared" si="2"/>
        <v>1.0050072260272034</v>
      </c>
      <c r="Q11" s="8">
        <f t="shared" si="3"/>
        <v>1.0306773753889249</v>
      </c>
      <c r="R11" s="8">
        <f t="shared" si="4"/>
        <v>1.0620432726375386</v>
      </c>
      <c r="T11" s="8">
        <v>8</v>
      </c>
      <c r="U11" s="5">
        <v>24</v>
      </c>
      <c r="V11" s="5">
        <f>求节点(其他调用!D$4:D$163,其他调用!$B$4:$B$163,INDEX(其他调用!$C$4:$C$163,$U11,1))</f>
        <v>23.499492305137622</v>
      </c>
      <c r="W11" s="5">
        <f>求节点(其他调用!E$4:E$163,其他调用!$B$4:$B$163,INDEX(其他调用!$C$4:$C$163,$U11,1))</f>
        <v>22.635807008293629</v>
      </c>
      <c r="X11" s="5">
        <f>求节点(其他调用!F$4:F$163,其他调用!$B$4:$B$163,INDEX(其他调用!$C$4:$C$163,$U11,1))</f>
        <v>21.435175114766551</v>
      </c>
      <c r="Y11" s="5">
        <f>求节点(其他调用!G$4:G$163,其他调用!$B$4:$B$163,INDEX(其他调用!$C$4:$C$163,$U11,1))</f>
        <v>20.565455026392783</v>
      </c>
      <c r="Z11" s="8">
        <v>6</v>
      </c>
    </row>
    <row r="12" spans="2:26" x14ac:dyDescent="0.15">
      <c r="B12" s="8">
        <v>9</v>
      </c>
      <c r="C12" s="5">
        <v>27</v>
      </c>
      <c r="D12" s="5">
        <f>求节点(其他调用!D$4:D$163,其他调用!$B$4:$B$163,INDEX(其他调用!$C$4:$C$163,$C12,1))</f>
        <v>26.369463930509045</v>
      </c>
      <c r="E12" s="5">
        <f>求节点(其他调用!E$4:E$163,其他调用!$B$4:$B$163,INDEX(其他调用!$C$4:$C$163,$C12,1))</f>
        <v>25.377401363147825</v>
      </c>
      <c r="F12" s="5">
        <f>求节点(其他调用!F$4:F$163,其他调用!$B$4:$B$163,INDEX(其他调用!$C$4:$C$163,$C12,1))</f>
        <v>24.030019613443624</v>
      </c>
      <c r="G12" s="5">
        <f>求节点(其他调用!G$4:G$163,其他调用!$B$4:$B$163,INDEX(其他调用!$C$4:$C$163,$C12,1))</f>
        <v>22.963099790930922</v>
      </c>
      <c r="H12" s="8">
        <v>6</v>
      </c>
      <c r="J12" s="8">
        <v>27</v>
      </c>
      <c r="K12" s="8">
        <v>26.180917047096351</v>
      </c>
      <c r="L12" s="8">
        <v>25.120355093139256</v>
      </c>
      <c r="M12" s="8">
        <v>23.289982236537202</v>
      </c>
      <c r="N12" s="8">
        <v>21.737388785409152</v>
      </c>
      <c r="O12" s="8">
        <f t="shared" si="1"/>
        <v>1.0072016913339408</v>
      </c>
      <c r="P12" s="8">
        <f t="shared" si="2"/>
        <v>1.0102325890321022</v>
      </c>
      <c r="Q12" s="8">
        <f t="shared" si="3"/>
        <v>1.0317749223417378</v>
      </c>
      <c r="R12" s="8">
        <f t="shared" si="4"/>
        <v>1.0563872237655567</v>
      </c>
      <c r="T12" s="8">
        <v>9</v>
      </c>
      <c r="U12" s="5">
        <v>27</v>
      </c>
      <c r="V12" s="5">
        <f>求节点(其他调用!D$4:D$163,其他调用!$B$4:$B$163,INDEX(其他调用!$C$4:$C$163,$U12,1))</f>
        <v>26.369463930509045</v>
      </c>
      <c r="W12" s="5">
        <f>求节点(其他调用!E$4:E$163,其他调用!$B$4:$B$163,INDEX(其他调用!$C$4:$C$163,$U12,1))</f>
        <v>25.377401363147825</v>
      </c>
      <c r="X12" s="5">
        <f>求节点(其他调用!F$4:F$163,其他调用!$B$4:$B$163,INDEX(其他调用!$C$4:$C$163,$U12,1))</f>
        <v>24.030019613443624</v>
      </c>
      <c r="Y12" s="5">
        <f>求节点(其他调用!G$4:G$163,其他调用!$B$4:$B$163,INDEX(其他调用!$C$4:$C$163,$U12,1))</f>
        <v>22.963099790930922</v>
      </c>
      <c r="Z12" s="8">
        <v>6</v>
      </c>
    </row>
    <row r="13" spans="2:26" x14ac:dyDescent="0.15">
      <c r="B13" s="8">
        <v>10</v>
      </c>
      <c r="C13" s="5">
        <v>30</v>
      </c>
      <c r="D13" s="5">
        <f>求节点(其他调用!D$4:D$163,其他调用!$B$4:$B$163,INDEX(其他调用!$C$4:$C$163,$C13,1))</f>
        <v>29.205922841621756</v>
      </c>
      <c r="E13" s="5">
        <f>求节点(其他调用!E$4:E$163,其他调用!$B$4:$B$163,INDEX(其他调用!$C$4:$C$163,$C13,1))</f>
        <v>28.241885949837318</v>
      </c>
      <c r="F13" s="5">
        <f>求节点(其他调用!F$4:F$163,其他调用!$B$4:$B$163,INDEX(其他调用!$C$4:$C$163,$C13,1))</f>
        <v>26.90085434657415</v>
      </c>
      <c r="G13" s="5">
        <f>求节点(其他调用!G$4:G$163,其他调用!$B$4:$B$163,INDEX(其他调用!$C$4:$C$163,$C13,1))</f>
        <v>25.664626885943445</v>
      </c>
      <c r="H13" s="8">
        <v>6</v>
      </c>
      <c r="J13" s="8">
        <v>30</v>
      </c>
      <c r="K13" s="8">
        <v>28.896116688936608</v>
      </c>
      <c r="L13" s="8">
        <v>27.699087491914145</v>
      </c>
      <c r="M13" s="8">
        <v>25.814407296473163</v>
      </c>
      <c r="N13" s="8">
        <v>24.117177136207061</v>
      </c>
      <c r="O13" s="8">
        <f t="shared" si="1"/>
        <v>1.0107213767171614</v>
      </c>
      <c r="P13" s="8">
        <f t="shared" si="2"/>
        <v>1.0195962577497049</v>
      </c>
      <c r="Q13" s="8">
        <f t="shared" si="3"/>
        <v>1.0420868485424966</v>
      </c>
      <c r="R13" s="8">
        <f t="shared" si="4"/>
        <v>1.0641638008045808</v>
      </c>
      <c r="T13" s="8">
        <v>10</v>
      </c>
      <c r="U13" s="5">
        <v>30</v>
      </c>
      <c r="V13" s="5">
        <f>求节点(其他调用!D$4:D$163,其他调用!$B$4:$B$163,INDEX(其他调用!$C$4:$C$163,$U13,1))</f>
        <v>29.205922841621756</v>
      </c>
      <c r="W13" s="5">
        <f>求节点(其他调用!E$4:E$163,其他调用!$B$4:$B$163,INDEX(其他调用!$C$4:$C$163,$U13,1))</f>
        <v>28.241885949837318</v>
      </c>
      <c r="X13" s="5">
        <f>求节点(其他调用!F$4:F$163,其他调用!$B$4:$B$163,INDEX(其他调用!$C$4:$C$163,$U13,1))</f>
        <v>26.90085434657415</v>
      </c>
      <c r="Y13" s="5">
        <f>求节点(其他调用!G$4:G$163,其他调用!$B$4:$B$163,INDEX(其他调用!$C$4:$C$163,$U13,1))</f>
        <v>25.664626885943445</v>
      </c>
      <c r="Z13" s="8">
        <v>6</v>
      </c>
    </row>
    <row r="14" spans="2:26" x14ac:dyDescent="0.15">
      <c r="B14" s="8">
        <v>11</v>
      </c>
      <c r="C14" s="5">
        <v>33</v>
      </c>
      <c r="D14" s="5">
        <f>求节点(其他调用!D$4:D$163,其他调用!$B$4:$B$163,INDEX(其他调用!$C$4:$C$163,$C14,1))</f>
        <v>32.031845504099799</v>
      </c>
      <c r="E14" s="5">
        <f>求节点(其他调用!E$4:E$163,其他调用!$B$4:$B$163,INDEX(其他调用!$C$4:$C$163,$C14,1))</f>
        <v>30.787262409207109</v>
      </c>
      <c r="F14" s="5">
        <f>求节点(其他调用!F$4:F$163,其他调用!$B$4:$B$163,INDEX(其他调用!$C$4:$C$163,$C14,1))</f>
        <v>29.339854959748202</v>
      </c>
      <c r="G14" s="5">
        <f>求节点(其他调用!G$4:G$163,其他调用!$B$4:$B$163,INDEX(其他调用!$C$4:$C$163,$C14,1))</f>
        <v>28.349256769404541</v>
      </c>
      <c r="H14" s="8">
        <v>6</v>
      </c>
      <c r="J14" s="8">
        <v>33</v>
      </c>
      <c r="K14" s="8">
        <v>31.75780379615734</v>
      </c>
      <c r="L14" s="8">
        <v>30.609152546254958</v>
      </c>
      <c r="M14" s="8">
        <v>28.630622556923502</v>
      </c>
      <c r="N14" s="8">
        <v>26.785359952644367</v>
      </c>
      <c r="O14" s="8">
        <f t="shared" si="1"/>
        <v>1.0086291139557837</v>
      </c>
      <c r="P14" s="8">
        <f t="shared" si="2"/>
        <v>1.0058188433241659</v>
      </c>
      <c r="Q14" s="8">
        <f t="shared" si="3"/>
        <v>1.024771812118811</v>
      </c>
      <c r="R14" s="8">
        <f t="shared" si="4"/>
        <v>1.0583862535177833</v>
      </c>
      <c r="T14" s="8">
        <v>11</v>
      </c>
      <c r="U14" s="5">
        <v>33</v>
      </c>
      <c r="V14" s="5">
        <f>求节点(其他调用!D$4:D$163,其他调用!$B$4:$B$163,INDEX(其他调用!$C$4:$C$163,$U14,1))</f>
        <v>32.031845504099799</v>
      </c>
      <c r="W14" s="5">
        <f>求节点(其他调用!E$4:E$163,其他调用!$B$4:$B$163,INDEX(其他调用!$C$4:$C$163,$U14,1))</f>
        <v>30.787262409207109</v>
      </c>
      <c r="X14" s="5">
        <f>求节点(其他调用!F$4:F$163,其他调用!$B$4:$B$163,INDEX(其他调用!$C$4:$C$163,$U14,1))</f>
        <v>29.339854959748202</v>
      </c>
      <c r="Y14" s="5">
        <f>求节点(其他调用!G$4:G$163,其他调用!$B$4:$B$163,INDEX(其他调用!$C$4:$C$163,$U14,1))</f>
        <v>28.349256769404541</v>
      </c>
      <c r="Z14" s="8">
        <v>6</v>
      </c>
    </row>
    <row r="15" spans="2:26" x14ac:dyDescent="0.15">
      <c r="B15" s="8">
        <v>12</v>
      </c>
      <c r="C15" s="5">
        <v>36</v>
      </c>
      <c r="D15" s="5">
        <f>求节点(其他调用!D$4:D$163,其他调用!$B$4:$B$163,INDEX(其他调用!$C$4:$C$163,$C15,1))</f>
        <v>34.994328973751777</v>
      </c>
      <c r="E15" s="5">
        <f>求节点(其他调用!E$4:E$163,其他调用!$B$4:$B$163,INDEX(其他调用!$C$4:$C$163,$C15,1))</f>
        <v>33.374830557228044</v>
      </c>
      <c r="F15" s="5">
        <f>求节点(其他调用!F$4:F$163,其他调用!$B$4:$B$163,INDEX(其他调用!$C$4:$C$163,$C15,1))</f>
        <v>31.693492767200784</v>
      </c>
      <c r="G15" s="5">
        <f>求节点(其他调用!G$4:G$163,其他调用!$B$4:$B$163,INDEX(其他调用!$C$4:$C$163,$C15,1))</f>
        <v>30.697343626543411</v>
      </c>
      <c r="H15" s="8">
        <v>6</v>
      </c>
      <c r="J15" s="8">
        <v>36</v>
      </c>
      <c r="K15" s="8">
        <v>35.043742387970248</v>
      </c>
      <c r="L15" s="8">
        <v>33.84896065410549</v>
      </c>
      <c r="M15" s="8">
        <v>31.866032602454464</v>
      </c>
      <c r="N15" s="8">
        <v>29.998283696360939</v>
      </c>
      <c r="O15" s="8">
        <f t="shared" si="1"/>
        <v>0.99858995042049414</v>
      </c>
      <c r="P15" s="8">
        <f t="shared" si="2"/>
        <v>0.9859927723712858</v>
      </c>
      <c r="Q15" s="8">
        <f t="shared" si="3"/>
        <v>0.99458546228812961</v>
      </c>
      <c r="R15" s="8">
        <f t="shared" si="4"/>
        <v>1.0233033308591342</v>
      </c>
      <c r="T15" s="8">
        <v>12</v>
      </c>
      <c r="U15" s="5">
        <v>36</v>
      </c>
      <c r="V15" s="5">
        <f>求节点(其他调用!D$4:D$163,其他调用!$B$4:$B$163,INDEX(其他调用!$C$4:$C$163,$U15,1))</f>
        <v>34.994328973751777</v>
      </c>
      <c r="W15" s="5">
        <f>求节点(其他调用!E$4:E$163,其他调用!$B$4:$B$163,INDEX(其他调用!$C$4:$C$163,$U15,1))</f>
        <v>33.374830557228044</v>
      </c>
      <c r="X15" s="5">
        <f>求节点(其他调用!F$4:F$163,其他调用!$B$4:$B$163,INDEX(其他调用!$C$4:$C$163,$U15,1))</f>
        <v>31.693492767200784</v>
      </c>
      <c r="Y15" s="5">
        <f>求节点(其他调用!G$4:G$163,其他调用!$B$4:$B$163,INDEX(其他调用!$C$4:$C$163,$U15,1))</f>
        <v>30.697343626543411</v>
      </c>
      <c r="Z15" s="8">
        <v>6</v>
      </c>
    </row>
    <row r="16" spans="2:26" x14ac:dyDescent="0.15">
      <c r="B16" s="8">
        <v>13</v>
      </c>
      <c r="C16" s="5">
        <v>39</v>
      </c>
      <c r="D16" s="5">
        <f>求节点(其他调用!D$4:D$163,其他调用!$B$4:$B$163,INDEX(其他调用!$C$4:$C$163,$C16,1))</f>
        <v>38.142264137848926</v>
      </c>
      <c r="E16" s="5">
        <f>求节点(其他调用!E$4:E$163,其他调用!$B$4:$B$163,INDEX(其他调用!$C$4:$C$163,$C16,1))</f>
        <v>36.642907295186205</v>
      </c>
      <c r="F16" s="5">
        <f>求节点(其他调用!F$4:F$163,其他调用!$B$4:$B$163,INDEX(其他调用!$C$4:$C$163,$C16,1))</f>
        <v>34.341611061692923</v>
      </c>
      <c r="G16" s="5">
        <f>求节点(其他调用!G$4:G$163,其他调用!$B$4:$B$163,INDEX(其他调用!$C$4:$C$163,$C16,1))</f>
        <v>33.139872705959931</v>
      </c>
      <c r="H16" s="8">
        <v>6</v>
      </c>
      <c r="J16" s="8">
        <v>39</v>
      </c>
      <c r="K16" s="8">
        <v>38.323848632857</v>
      </c>
      <c r="L16" s="8">
        <v>37.156822833247148</v>
      </c>
      <c r="M16" s="8">
        <v>35.102881886901677</v>
      </c>
      <c r="N16" s="8">
        <v>33.20834844369103</v>
      </c>
      <c r="O16" s="8">
        <f t="shared" si="1"/>
        <v>0.99526184082533942</v>
      </c>
      <c r="P16" s="8">
        <f t="shared" si="2"/>
        <v>0.9861690128790801</v>
      </c>
      <c r="Q16" s="8">
        <f t="shared" si="3"/>
        <v>0.97831315310060585</v>
      </c>
      <c r="R16" s="8">
        <f t="shared" si="4"/>
        <v>0.99793799628887869</v>
      </c>
      <c r="T16" s="8">
        <v>13</v>
      </c>
      <c r="U16" s="5">
        <v>39</v>
      </c>
      <c r="V16" s="5">
        <f>求节点(其他调用!D$4:D$163,其他调用!$B$4:$B$163,INDEX(其他调用!$C$4:$C$163,$U16,1))</f>
        <v>38.142264137848926</v>
      </c>
      <c r="W16" s="5">
        <f>求节点(其他调用!E$4:E$163,其他调用!$B$4:$B$163,INDEX(其他调用!$C$4:$C$163,$U16,1))</f>
        <v>36.642907295186205</v>
      </c>
      <c r="X16" s="5">
        <f>求节点(其他调用!F$4:F$163,其他调用!$B$4:$B$163,INDEX(其他调用!$C$4:$C$163,$U16,1))</f>
        <v>34.341611061692923</v>
      </c>
      <c r="Y16" s="5">
        <f>求节点(其他调用!G$4:G$163,其他调用!$B$4:$B$163,INDEX(其他调用!$C$4:$C$163,$U16,1))</f>
        <v>33.139872705959931</v>
      </c>
      <c r="Z16" s="8">
        <v>6</v>
      </c>
    </row>
    <row r="17" spans="2:26" x14ac:dyDescent="0.15">
      <c r="B17" s="8">
        <v>14</v>
      </c>
      <c r="C17" s="5">
        <v>42</v>
      </c>
      <c r="D17" s="5">
        <f>求节点(其他调用!D$4:D$163,其他调用!$B$4:$B$163,INDEX(其他调用!$C$4:$C$163,$C17,1))</f>
        <v>41.011014734150677</v>
      </c>
      <c r="E17" s="5">
        <f>求节点(其他调用!E$4:E$163,其他调用!$B$4:$B$163,INDEX(其他调用!$C$4:$C$163,$C17,1))</f>
        <v>39.360375852955542</v>
      </c>
      <c r="F17" s="5">
        <f>求节点(其他调用!F$4:F$163,其他调用!$B$4:$B$163,INDEX(其他调用!$C$4:$C$163,$C17,1))</f>
        <v>36.806305874019117</v>
      </c>
      <c r="G17" s="5">
        <f>求节点(其他调用!G$4:G$163,其他调用!$B$4:$B$163,INDEX(其他调用!$C$4:$C$163,$C17,1))</f>
        <v>35.419119753273336</v>
      </c>
      <c r="H17" s="8">
        <v>6</v>
      </c>
      <c r="J17" s="8">
        <v>42</v>
      </c>
      <c r="K17" s="8">
        <v>41.457280414601577</v>
      </c>
      <c r="L17" s="8">
        <v>40.328492948877411</v>
      </c>
      <c r="M17" s="8">
        <v>38.190999111193968</v>
      </c>
      <c r="N17" s="8">
        <v>36.269651992356074</v>
      </c>
      <c r="O17" s="8">
        <f t="shared" si="1"/>
        <v>0.98923552929695502</v>
      </c>
      <c r="P17" s="8">
        <f t="shared" si="2"/>
        <v>0.97599421587240798</v>
      </c>
      <c r="Q17" s="8">
        <f t="shared" si="3"/>
        <v>0.96374294285563766</v>
      </c>
      <c r="R17" s="8">
        <f t="shared" si="4"/>
        <v>0.97654975461959237</v>
      </c>
      <c r="T17" s="8">
        <v>14</v>
      </c>
      <c r="U17" s="5">
        <v>42</v>
      </c>
      <c r="V17" s="5">
        <f>求节点(其他调用!D$4:D$163,其他调用!$B$4:$B$163,INDEX(其他调用!$C$4:$C$163,$U17,1))</f>
        <v>41.011014734150677</v>
      </c>
      <c r="W17" s="5">
        <f>求节点(其他调用!E$4:E$163,其他调用!$B$4:$B$163,INDEX(其他调用!$C$4:$C$163,$U17,1))</f>
        <v>39.360375852955542</v>
      </c>
      <c r="X17" s="5">
        <f>求节点(其他调用!F$4:F$163,其他调用!$B$4:$B$163,INDEX(其他调用!$C$4:$C$163,$U17,1))</f>
        <v>36.806305874019117</v>
      </c>
      <c r="Y17" s="5">
        <f>求节点(其他调用!G$4:G$163,其他调用!$B$4:$B$163,INDEX(其他调用!$C$4:$C$163,$U17,1))</f>
        <v>35.419119753273336</v>
      </c>
      <c r="Z17" s="8">
        <v>6</v>
      </c>
    </row>
    <row r="18" spans="2:26" x14ac:dyDescent="0.15">
      <c r="B18" s="8">
        <v>15</v>
      </c>
      <c r="C18" s="5">
        <v>45</v>
      </c>
      <c r="D18" s="5">
        <f>求节点(其他调用!D$4:D$163,其他调用!$B$4:$B$163,INDEX(其他调用!$C$4:$C$163,$C18,1))</f>
        <v>44.025655342302272</v>
      </c>
      <c r="E18" s="5">
        <f>求节点(其他调用!E$4:E$163,其他调用!$B$4:$B$163,INDEX(其他调用!$C$4:$C$163,$C18,1))</f>
        <v>42.139777644042496</v>
      </c>
      <c r="F18" s="5">
        <f>求节点(其他调用!F$4:F$163,其他调用!$B$4:$B$163,INDEX(其他调用!$C$4:$C$163,$C18,1))</f>
        <v>38.966484133589248</v>
      </c>
      <c r="G18" s="5">
        <f>求节点(其他调用!G$4:G$163,其他调用!$B$4:$B$163,INDEX(其他调用!$C$4:$C$163,$C18,1))</f>
        <v>37.496918416233719</v>
      </c>
      <c r="H18" s="8">
        <v>6</v>
      </c>
      <c r="J18" s="8">
        <v>45</v>
      </c>
      <c r="K18" s="8">
        <v>44.252124716157205</v>
      </c>
      <c r="L18" s="8">
        <v>43.197979259487397</v>
      </c>
      <c r="M18" s="8">
        <v>40.854369903520954</v>
      </c>
      <c r="N18" s="8">
        <v>38.856422600296476</v>
      </c>
      <c r="O18" s="8">
        <f t="shared" si="1"/>
        <v>0.9948822937812013</v>
      </c>
      <c r="P18" s="8">
        <f t="shared" si="2"/>
        <v>0.97550344637446229</v>
      </c>
      <c r="Q18" s="8">
        <f t="shared" si="3"/>
        <v>0.9537898693728476</v>
      </c>
      <c r="R18" s="8">
        <f t="shared" si="4"/>
        <v>0.9650121114327086</v>
      </c>
      <c r="T18" s="8">
        <v>15</v>
      </c>
      <c r="U18" s="5">
        <v>45</v>
      </c>
      <c r="V18" s="5">
        <f>求节点(其他调用!D$4:D$163,其他调用!$B$4:$B$163,INDEX(其他调用!$C$4:$C$163,$U18,1))</f>
        <v>44.025655342302272</v>
      </c>
      <c r="W18" s="5">
        <f>求节点(其他调用!E$4:E$163,其他调用!$B$4:$B$163,INDEX(其他调用!$C$4:$C$163,$U18,1))</f>
        <v>42.139777644042496</v>
      </c>
      <c r="X18" s="5">
        <f>求节点(其他调用!F$4:F$163,其他调用!$B$4:$B$163,INDEX(其他调用!$C$4:$C$163,$U18,1))</f>
        <v>38.966484133589248</v>
      </c>
      <c r="Y18" s="5">
        <f>求节点(其他调用!G$4:G$163,其他调用!$B$4:$B$163,INDEX(其他调用!$C$4:$C$163,$U18,1))</f>
        <v>37.496918416233719</v>
      </c>
      <c r="Z18" s="8">
        <v>6</v>
      </c>
    </row>
    <row r="19" spans="2:26" x14ac:dyDescent="0.15">
      <c r="B19" s="8">
        <v>16</v>
      </c>
      <c r="C19" s="5">
        <v>48</v>
      </c>
      <c r="D19" s="5">
        <f>求节点(其他调用!D$4:D$163,其他调用!$B$4:$B$163,INDEX(其他调用!$C$4:$C$163,$C19,1))</f>
        <v>46.927182157769252</v>
      </c>
      <c r="E19" s="5">
        <f>求节点(其他调用!E$4:E$163,其他调用!$B$4:$B$163,INDEX(其他调用!$C$4:$C$163,$C19,1))</f>
        <v>45.00366434730347</v>
      </c>
      <c r="F19" s="5">
        <f>求节点(其他调用!F$4:F$163,其他调用!$B$4:$B$163,INDEX(其他调用!$C$4:$C$163,$C19,1))</f>
        <v>41.312198404052296</v>
      </c>
      <c r="G19" s="5">
        <f>求节点(其他调用!G$4:G$163,其他调用!$B$4:$B$163,INDEX(其他调用!$C$4:$C$163,$C19,1))</f>
        <v>39.609584229605339</v>
      </c>
      <c r="H19" s="8">
        <v>6</v>
      </c>
      <c r="J19" s="8">
        <v>48</v>
      </c>
      <c r="K19" s="8">
        <v>46.953928859565508</v>
      </c>
      <c r="L19" s="8">
        <v>45.984635279815741</v>
      </c>
      <c r="M19" s="8">
        <v>43.429194387392471</v>
      </c>
      <c r="N19" s="8">
        <v>41.371117619858573</v>
      </c>
      <c r="O19" s="8">
        <f t="shared" si="1"/>
        <v>0.99943036285895792</v>
      </c>
      <c r="P19" s="8">
        <f t="shared" si="2"/>
        <v>0.97866741952952152</v>
      </c>
      <c r="Q19" s="8">
        <f t="shared" si="3"/>
        <v>0.95125408119578791</v>
      </c>
      <c r="R19" s="8">
        <f t="shared" si="4"/>
        <v>0.95742117951854222</v>
      </c>
      <c r="T19" s="8">
        <v>16</v>
      </c>
      <c r="U19" s="5">
        <v>48</v>
      </c>
      <c r="V19" s="5">
        <f>求节点(其他调用!D$4:D$163,其他调用!$B$4:$B$163,INDEX(其他调用!$C$4:$C$163,$U19,1))</f>
        <v>46.927182157769252</v>
      </c>
      <c r="W19" s="5">
        <f>求节点(其他调用!E$4:E$163,其他调用!$B$4:$B$163,INDEX(其他调用!$C$4:$C$163,$U19,1))</f>
        <v>45.00366434730347</v>
      </c>
      <c r="X19" s="5">
        <f>求节点(其他调用!F$4:F$163,其他调用!$B$4:$B$163,INDEX(其他调用!$C$4:$C$163,$U19,1))</f>
        <v>41.312198404052296</v>
      </c>
      <c r="Y19" s="5">
        <f>求节点(其他调用!G$4:G$163,其他调用!$B$4:$B$163,INDEX(其他调用!$C$4:$C$163,$U19,1))</f>
        <v>39.609584229605339</v>
      </c>
      <c r="Z19" s="8">
        <v>6</v>
      </c>
    </row>
    <row r="20" spans="2:26" x14ac:dyDescent="0.15">
      <c r="B20" s="8">
        <v>17</v>
      </c>
      <c r="C20" s="5">
        <v>51</v>
      </c>
      <c r="D20" s="5">
        <f>求节点(其他调用!D$4:D$163,其他调用!$B$4:$B$163,INDEX(其他调用!$C$4:$C$163,$C20,1))</f>
        <v>50.17601066521982</v>
      </c>
      <c r="E20" s="5">
        <f>求节点(其他调用!E$4:E$163,其他调用!$B$4:$B$163,INDEX(其他调用!$C$4:$C$163,$C20,1))</f>
        <v>48.114727522013901</v>
      </c>
      <c r="F20" s="5">
        <f>求节点(其他调用!F$4:F$163,其他调用!$B$4:$B$163,INDEX(其他调用!$C$4:$C$163,$C20,1))</f>
        <v>44.142666529165915</v>
      </c>
      <c r="G20" s="5">
        <f>求节点(其他调用!G$4:G$163,其他调用!$B$4:$B$163,INDEX(其他调用!$C$4:$C$163,$C20,1))</f>
        <v>42.314284870508764</v>
      </c>
      <c r="H20" s="8">
        <v>6</v>
      </c>
      <c r="J20" s="8">
        <v>51</v>
      </c>
      <c r="K20" s="8">
        <v>49.818389155317533</v>
      </c>
      <c r="L20" s="8">
        <v>48.869849686427102</v>
      </c>
      <c r="M20" s="8">
        <v>46.101070781830948</v>
      </c>
      <c r="N20" s="8">
        <v>44.040509396342614</v>
      </c>
      <c r="O20" s="8">
        <f t="shared" si="1"/>
        <v>1.0071785040818428</v>
      </c>
      <c r="P20" s="8">
        <f t="shared" si="2"/>
        <v>0.98454830188227638</v>
      </c>
      <c r="Q20" s="8">
        <f t="shared" si="3"/>
        <v>0.95751933264342171</v>
      </c>
      <c r="R20" s="8">
        <f t="shared" si="4"/>
        <v>0.96080371118556573</v>
      </c>
      <c r="T20" s="8">
        <v>17</v>
      </c>
      <c r="U20" s="5">
        <v>50</v>
      </c>
      <c r="V20" s="5">
        <f>求节点(其他调用!D$4:D$163,其他调用!$B$4:$B$163,INDEX(其他调用!$C$4:$C$163,$U20,1))</f>
        <v>48.940077825679509</v>
      </c>
      <c r="W20" s="5">
        <f>求节点(其他调用!E$4:E$163,其他调用!$B$4:$B$163,INDEX(其他调用!$C$4:$C$163,$U20,1))</f>
        <v>46.814155459037075</v>
      </c>
      <c r="X20" s="5">
        <f>求节点(其他调用!F$4:F$163,其他调用!$B$4:$B$163,INDEX(其他调用!$C$4:$C$163,$U20,1))</f>
        <v>43.010454059262905</v>
      </c>
      <c r="Y20" s="5">
        <f>求节点(其他调用!G$4:G$163,其他调用!$B$4:$B$163,INDEX(其他调用!$C$4:$C$163,$U20,1))</f>
        <v>41.182344780581573</v>
      </c>
      <c r="Z20" s="8">
        <v>6</v>
      </c>
    </row>
    <row r="21" spans="2:26" x14ac:dyDescent="0.15">
      <c r="B21" s="8">
        <v>18</v>
      </c>
      <c r="C21" s="5">
        <v>54</v>
      </c>
      <c r="D21" s="5">
        <f>求节点(其他调用!D$4:D$163,其他调用!$B$4:$B$163,INDEX(其他调用!$C$4:$C$163,$C21,1))</f>
        <v>53.10459741945877</v>
      </c>
      <c r="E21" s="5">
        <f>求节点(其他调用!E$4:E$163,其他调用!$B$4:$B$163,INDEX(其他调用!$C$4:$C$163,$C21,1))</f>
        <v>50.64776435351115</v>
      </c>
      <c r="F21" s="5">
        <f>求节点(其他调用!F$4:F$163,其他调用!$B$4:$B$163,INDEX(其他调用!$C$4:$C$163,$C21,1))</f>
        <v>47.707840717256921</v>
      </c>
      <c r="G21" s="5">
        <f>求节点(其他调用!G$4:G$163,其他调用!$B$4:$B$163,INDEX(其他调用!$C$4:$C$163,$C21,1))</f>
        <v>45.731279310915319</v>
      </c>
      <c r="H21" s="8">
        <v>6</v>
      </c>
      <c r="J21" s="8">
        <v>54</v>
      </c>
      <c r="K21" s="8">
        <v>52.816879509546958</v>
      </c>
      <c r="L21" s="8">
        <v>51.896073303044062</v>
      </c>
      <c r="M21" s="8">
        <v>49.139712899998798</v>
      </c>
      <c r="N21" s="8">
        <v>47.107973854335398</v>
      </c>
      <c r="O21" s="8">
        <f t="shared" si="1"/>
        <v>1.0054474613529527</v>
      </c>
      <c r="P21" s="8">
        <f t="shared" si="2"/>
        <v>0.97594598454022741</v>
      </c>
      <c r="Q21" s="8">
        <f t="shared" si="3"/>
        <v>0.97086120169941181</v>
      </c>
      <c r="R21" s="8">
        <f t="shared" si="4"/>
        <v>0.97077576404204913</v>
      </c>
      <c r="T21" s="8">
        <v>18</v>
      </c>
      <c r="U21" s="5">
        <v>52</v>
      </c>
      <c r="V21" s="5">
        <f>求节点(其他调用!D$4:D$163,其他调用!$B$4:$B$163,INDEX(其他调用!$C$4:$C$163,$U21,1))</f>
        <v>51.15785544161804</v>
      </c>
      <c r="W21" s="5">
        <f>求节点(其他调用!E$4:E$163,其他调用!$B$4:$B$163,INDEX(其他调用!$C$4:$C$163,$U21,1))</f>
        <v>49.241189917005954</v>
      </c>
      <c r="X21" s="5">
        <f>求节点(其他调用!F$4:F$163,其他调用!$B$4:$B$163,INDEX(其他调用!$C$4:$C$163,$U21,1))</f>
        <v>45.292401630119812</v>
      </c>
      <c r="Y21" s="5">
        <f>求节点(其他调用!G$4:G$163,其他调用!$B$4:$B$163,INDEX(其他调用!$C$4:$C$163,$U21,1))</f>
        <v>43.428776066921237</v>
      </c>
      <c r="Z21" s="8">
        <v>6</v>
      </c>
    </row>
    <row r="22" spans="2:26" x14ac:dyDescent="0.15">
      <c r="B22" s="8">
        <v>19</v>
      </c>
      <c r="C22" s="5">
        <v>57</v>
      </c>
      <c r="D22" s="5">
        <f>求节点(其他调用!D$4:D$163,其他调用!$B$4:$B$163,INDEX(其他调用!$C$4:$C$163,$C22,1))</f>
        <v>56.122203150228408</v>
      </c>
      <c r="E22" s="5">
        <f>求节点(其他调用!E$4:E$163,其他调用!$B$4:$B$163,INDEX(其他调用!$C$4:$C$163,$C22,1))</f>
        <v>52.720756910363008</v>
      </c>
      <c r="F22" s="5">
        <f>求节点(其他调用!F$4:F$163,其他调用!$B$4:$B$163,INDEX(其他调用!$C$4:$C$163,$C22,1))</f>
        <v>50.93185632612898</v>
      </c>
      <c r="G22" s="5">
        <f>求节点(其他调用!G$4:G$163,其他调用!$B$4:$B$163,INDEX(其他调用!$C$4:$C$163,$C22,1))</f>
        <v>49.491771378560095</v>
      </c>
      <c r="H22" s="8">
        <v>6</v>
      </c>
      <c r="J22" s="8">
        <v>57</v>
      </c>
      <c r="K22" s="8">
        <v>55.8736545767077</v>
      </c>
      <c r="L22" s="8">
        <v>54.853787768562235</v>
      </c>
      <c r="M22" s="8">
        <v>52.060210489974608</v>
      </c>
      <c r="N22" s="8">
        <v>50.617848817641651</v>
      </c>
      <c r="O22" s="8">
        <f t="shared" si="1"/>
        <v>1.0044484037316637</v>
      </c>
      <c r="P22" s="8">
        <f t="shared" si="2"/>
        <v>0.96111424670983781</v>
      </c>
      <c r="Q22" s="8">
        <f t="shared" si="3"/>
        <v>0.97832597768572371</v>
      </c>
      <c r="R22" s="8">
        <f t="shared" si="4"/>
        <v>0.97775335251526752</v>
      </c>
      <c r="T22" s="8">
        <v>19</v>
      </c>
      <c r="U22" s="5">
        <v>54</v>
      </c>
      <c r="V22" s="5">
        <f>求节点(其他调用!D$4:D$163,其他调用!$B$4:$B$163,INDEX(其他调用!$C$4:$C$163,$U22,1))</f>
        <v>53.10459741945877</v>
      </c>
      <c r="W22" s="5">
        <f>求节点(其他调用!E$4:E$163,其他调用!$B$4:$B$163,INDEX(其他调用!$C$4:$C$163,$U22,1))</f>
        <v>50.64776435351115</v>
      </c>
      <c r="X22" s="5">
        <f>求节点(其他调用!F$4:F$163,其他调用!$B$4:$B$163,INDEX(其他调用!$C$4:$C$163,$U22,1))</f>
        <v>47.707840717256921</v>
      </c>
      <c r="Y22" s="5">
        <f>求节点(其他调用!G$4:G$163,其他调用!$B$4:$B$163,INDEX(其他调用!$C$4:$C$163,$U22,1))</f>
        <v>45.731279310915319</v>
      </c>
      <c r="Z22" s="8">
        <v>6</v>
      </c>
    </row>
    <row r="23" spans="2:26" x14ac:dyDescent="0.15">
      <c r="B23" s="8">
        <v>20</v>
      </c>
      <c r="C23" s="5">
        <v>60</v>
      </c>
      <c r="D23" s="5">
        <f>求节点(其他调用!D$4:D$163,其他调用!$B$4:$B$163,INDEX(其他调用!$C$4:$C$163,$C23,1))</f>
        <v>59.205358406697492</v>
      </c>
      <c r="E23" s="5">
        <f>求节点(其他调用!E$4:E$163,其他调用!$B$4:$B$163,INDEX(其他调用!$C$4:$C$163,$C23,1))</f>
        <v>56.737858137093006</v>
      </c>
      <c r="F23" s="5">
        <f>求节点(其他调用!F$4:F$163,其他调用!$B$4:$B$163,INDEX(其他调用!$C$4:$C$163,$C23,1))</f>
        <v>53.763092981878088</v>
      </c>
      <c r="G23" s="5">
        <f>求节点(其他调用!G$4:G$163,其他调用!$B$4:$B$163,INDEX(其他调用!$C$4:$C$163,$C23,1))</f>
        <v>52.338371395299703</v>
      </c>
      <c r="H23" s="8">
        <v>6</v>
      </c>
      <c r="J23" s="8">
        <v>60</v>
      </c>
      <c r="K23" s="8">
        <v>58.932779641732374</v>
      </c>
      <c r="L23" s="8">
        <v>57.866906875775605</v>
      </c>
      <c r="M23" s="8">
        <v>55.117927698573716</v>
      </c>
      <c r="N23" s="8">
        <v>53.890067116056983</v>
      </c>
      <c r="O23" s="8">
        <f t="shared" si="1"/>
        <v>1.0046252487430967</v>
      </c>
      <c r="P23" s="8">
        <f t="shared" si="2"/>
        <v>0.98048887007030883</v>
      </c>
      <c r="Q23" s="8">
        <f t="shared" si="3"/>
        <v>0.97541934587771728</v>
      </c>
      <c r="R23" s="8">
        <f t="shared" si="4"/>
        <v>0.97120627596518727</v>
      </c>
      <c r="T23" s="8">
        <v>20</v>
      </c>
      <c r="U23" s="5">
        <v>56</v>
      </c>
      <c r="V23" s="5">
        <f>求节点(其他调用!D$4:D$163,其他调用!$B$4:$B$163,INDEX(其他调用!$C$4:$C$163,$U23,1))</f>
        <v>55.065248360746388</v>
      </c>
      <c r="W23" s="5">
        <f>求节点(其他调用!E$4:E$163,其他调用!$B$4:$B$163,INDEX(其他调用!$C$4:$C$163,$U23,1))</f>
        <v>52.000022206194622</v>
      </c>
      <c r="X23" s="5">
        <f>求节点(其他调用!F$4:F$163,其他调用!$B$4:$B$163,INDEX(其他调用!$C$4:$C$163,$U23,1))</f>
        <v>49.933875095938703</v>
      </c>
      <c r="Y23" s="5">
        <f>求节点(其他调用!G$4:G$163,其他调用!$B$4:$B$163,INDEX(其他调用!$C$4:$C$163,$U23,1))</f>
        <v>48.174598129921307</v>
      </c>
      <c r="Z23" s="8">
        <v>6</v>
      </c>
    </row>
    <row r="24" spans="2:26" x14ac:dyDescent="0.15">
      <c r="B24" s="8">
        <v>21</v>
      </c>
      <c r="C24" s="5">
        <v>63</v>
      </c>
      <c r="D24" s="5">
        <f>求节点(其他调用!D$4:D$163,其他调用!$B$4:$B$163,INDEX(其他调用!$C$4:$C$163,$C24,1))</f>
        <v>61.860622789459953</v>
      </c>
      <c r="E24" s="5">
        <f>求节点(其他调用!E$4:E$163,其他调用!$B$4:$B$163,INDEX(其他调用!$C$4:$C$163,$C24,1))</f>
        <v>60.521685096626115</v>
      </c>
      <c r="F24" s="5">
        <f>求节点(其他调用!F$4:F$163,其他调用!$B$4:$B$163,INDEX(其他调用!$C$4:$C$163,$C24,1))</f>
        <v>57.344123721260431</v>
      </c>
      <c r="G24" s="5">
        <f>求节点(其他调用!G$4:G$163,其他调用!$B$4:$B$163,INDEX(其他调用!$C$4:$C$163,$C24,1))</f>
        <v>55.994542261986723</v>
      </c>
      <c r="H24" s="8">
        <v>6</v>
      </c>
      <c r="J24" s="8">
        <v>63</v>
      </c>
      <c r="K24" s="8">
        <v>61.578980760709776</v>
      </c>
      <c r="L24" s="8">
        <v>60.401963869567155</v>
      </c>
      <c r="M24" s="8">
        <v>58.005772552293685</v>
      </c>
      <c r="N24" s="8">
        <v>56.706554020723466</v>
      </c>
      <c r="O24" s="8">
        <f t="shared" si="1"/>
        <v>1.0045736714910014</v>
      </c>
      <c r="P24" s="8">
        <f t="shared" si="2"/>
        <v>1.0019820750748683</v>
      </c>
      <c r="Q24" s="8">
        <f t="shared" si="3"/>
        <v>0.98859339679621094</v>
      </c>
      <c r="R24" s="8">
        <f t="shared" si="4"/>
        <v>0.98744392476262022</v>
      </c>
      <c r="T24" s="8">
        <v>21</v>
      </c>
      <c r="U24" s="5">
        <v>58</v>
      </c>
      <c r="V24" s="5">
        <f>求节点(其他调用!D$4:D$163,其他调用!$B$4:$B$163,INDEX(其他调用!$C$4:$C$163,$U24,1))</f>
        <v>57.123022645022516</v>
      </c>
      <c r="W24" s="5">
        <f>求节点(其他调用!E$4:E$163,其他调用!$B$4:$B$163,INDEX(其他调用!$C$4:$C$163,$U24,1))</f>
        <v>53.725270472306235</v>
      </c>
      <c r="X24" s="5">
        <f>求节点(其他调用!F$4:F$163,其他调用!$B$4:$B$163,INDEX(其他调用!$C$4:$C$163,$U24,1))</f>
        <v>51.85459145738367</v>
      </c>
      <c r="Y24" s="5">
        <f>求节点(其他调用!G$4:G$163,其他调用!$B$4:$B$163,INDEX(其他调用!$C$4:$C$163,$U24,1))</f>
        <v>50.497389137865042</v>
      </c>
      <c r="Z24" s="8">
        <v>6</v>
      </c>
    </row>
    <row r="25" spans="2:26" x14ac:dyDescent="0.15">
      <c r="B25" s="8">
        <v>22</v>
      </c>
      <c r="C25" s="5">
        <v>66</v>
      </c>
      <c r="D25" s="5">
        <f>求节点(其他调用!D$4:D$163,其他调用!$B$4:$B$163,INDEX(其他调用!$C$4:$C$163,$C25,1))</f>
        <v>64.361886729921849</v>
      </c>
      <c r="E25" s="5">
        <f>求节点(其他调用!E$4:E$163,其他调用!$B$4:$B$163,INDEX(其他调用!$C$4:$C$163,$C25,1))</f>
        <v>62.886620963673955</v>
      </c>
      <c r="F25" s="5">
        <f>求节点(其他调用!F$4:F$163,其他调用!$B$4:$B$163,INDEX(其他调用!$C$4:$C$163,$C25,1))</f>
        <v>60.123711679237957</v>
      </c>
      <c r="G25" s="5">
        <f>求节点(其他调用!G$4:G$163,其他调用!$B$4:$B$163,INDEX(其他调用!$C$4:$C$163,$C25,1))</f>
        <v>59.00871277769766</v>
      </c>
      <c r="H25" s="8">
        <v>6</v>
      </c>
      <c r="J25" s="8">
        <v>66</v>
      </c>
      <c r="K25" s="8">
        <v>64.22102076256094</v>
      </c>
      <c r="L25" s="8">
        <v>63.051620324490912</v>
      </c>
      <c r="M25" s="8">
        <v>60.897035046211663</v>
      </c>
      <c r="N25" s="8">
        <v>59.378505995549702</v>
      </c>
      <c r="O25" s="8">
        <f t="shared" si="1"/>
        <v>1.0021934557515322</v>
      </c>
      <c r="P25" s="8">
        <f t="shared" si="2"/>
        <v>0.9973831067311546</v>
      </c>
      <c r="Q25" s="8">
        <f t="shared" si="3"/>
        <v>0.98730113270068287</v>
      </c>
      <c r="R25" s="8">
        <f t="shared" si="4"/>
        <v>0.99377227143640567</v>
      </c>
      <c r="T25" s="8">
        <v>22</v>
      </c>
      <c r="U25" s="5">
        <v>60</v>
      </c>
      <c r="V25" s="5">
        <f>求节点(其他调用!D$4:D$163,其他调用!$B$4:$B$163,INDEX(其他调用!$C$4:$C$163,$U25,1))</f>
        <v>59.205358406697492</v>
      </c>
      <c r="W25" s="5">
        <f>求节点(其他调用!E$4:E$163,其他调用!$B$4:$B$163,INDEX(其他调用!$C$4:$C$163,$U25,1))</f>
        <v>56.737858137093006</v>
      </c>
      <c r="X25" s="5">
        <f>求节点(其他调用!F$4:F$163,其他调用!$B$4:$B$163,INDEX(其他调用!$C$4:$C$163,$U25,1))</f>
        <v>53.763092981878088</v>
      </c>
      <c r="Y25" s="5">
        <f>求节点(其他调用!G$4:G$163,其他调用!$B$4:$B$163,INDEX(其他调用!$C$4:$C$163,$U25,1))</f>
        <v>52.338371395299703</v>
      </c>
      <c r="Z25" s="8">
        <v>6</v>
      </c>
    </row>
    <row r="26" spans="2:26" x14ac:dyDescent="0.15">
      <c r="B26" s="8">
        <v>23</v>
      </c>
      <c r="C26" s="5">
        <v>69</v>
      </c>
      <c r="D26" s="5">
        <f>求节点(其他调用!D$4:D$163,其他调用!$B$4:$B$163,INDEX(其他调用!$C$4:$C$163,$C26,1))</f>
        <v>66.772631853290434</v>
      </c>
      <c r="E26" s="5">
        <f>求节点(其他调用!E$4:E$163,其他调用!$B$4:$B$163,INDEX(其他调用!$C$4:$C$163,$C26,1))</f>
        <v>65.039789270281958</v>
      </c>
      <c r="F26" s="5">
        <f>求节点(其他调用!F$4:F$163,其他调用!$B$4:$B$163,INDEX(其他调用!$C$4:$C$163,$C26,1))</f>
        <v>62.240560410994611</v>
      </c>
      <c r="G26" s="5">
        <f>求节点(其他调用!G$4:G$163,其他调用!$B$4:$B$163,INDEX(其他调用!$C$4:$C$163,$C26,1))</f>
        <v>60.95040937320038</v>
      </c>
      <c r="H26" s="8">
        <v>6</v>
      </c>
      <c r="J26" s="8">
        <v>69</v>
      </c>
      <c r="K26" s="8">
        <v>66.997926304417206</v>
      </c>
      <c r="L26" s="8">
        <v>65.990727812986805</v>
      </c>
      <c r="M26" s="8">
        <v>64.030175766869874</v>
      </c>
      <c r="N26" s="8">
        <v>62.094555922185975</v>
      </c>
      <c r="O26" s="8">
        <f t="shared" si="1"/>
        <v>0.99663729217374419</v>
      </c>
      <c r="P26" s="8">
        <f t="shared" si="2"/>
        <v>0.98558981580867333</v>
      </c>
      <c r="Q26" s="8">
        <f t="shared" si="3"/>
        <v>0.97205043818103598</v>
      </c>
      <c r="R26" s="8">
        <f t="shared" si="4"/>
        <v>0.98157412462343097</v>
      </c>
      <c r="T26" s="8">
        <v>23</v>
      </c>
      <c r="U26" s="5">
        <v>62</v>
      </c>
      <c r="V26" s="5">
        <f>求节点(其他调用!D$4:D$163,其他调用!$B$4:$B$163,INDEX(其他调用!$C$4:$C$163,$U26,1))</f>
        <v>61.011523815740517</v>
      </c>
      <c r="W26" s="5">
        <f>求节点(其他调用!E$4:E$163,其他调用!$B$4:$B$163,INDEX(其他调用!$C$4:$C$163,$U26,1))</f>
        <v>59.702962737918739</v>
      </c>
      <c r="X26" s="5">
        <f>求节点(其他调用!F$4:F$163,其他调用!$B$4:$B$163,INDEX(其他调用!$C$4:$C$163,$U26,1))</f>
        <v>56.144223672413617</v>
      </c>
      <c r="Y26" s="5">
        <f>求节点(其他调用!G$4:G$163,其他调用!$B$4:$B$163,INDEX(其他调用!$C$4:$C$163,$U26,1))</f>
        <v>54.757890404490944</v>
      </c>
      <c r="Z26" s="8">
        <v>6</v>
      </c>
    </row>
    <row r="27" spans="2:26" x14ac:dyDescent="0.15">
      <c r="B27" s="8">
        <v>24</v>
      </c>
      <c r="C27" s="5">
        <v>72</v>
      </c>
      <c r="D27" s="5">
        <f>求节点(其他调用!D$4:D$163,其他调用!$B$4:$B$163,INDEX(其他调用!$C$4:$C$163,$C27,1))</f>
        <v>69.440609632737917</v>
      </c>
      <c r="E27" s="5">
        <f>求节点(其他调用!E$4:E$163,其他调用!$B$4:$B$163,INDEX(其他调用!$C$4:$C$163,$C27,1))</f>
        <v>67.445554373072483</v>
      </c>
      <c r="F27" s="5">
        <f>求节点(其他调用!F$4:F$163,其他调用!$B$4:$B$163,INDEX(其他调用!$C$4:$C$163,$C27,1))</f>
        <v>64.565962793836292</v>
      </c>
      <c r="G27" s="5">
        <f>求节点(其他调用!G$4:G$163,其他调用!$B$4:$B$163,INDEX(其他调用!$C$4:$C$163,$C27,1))</f>
        <v>63.36294273402045</v>
      </c>
      <c r="H27" s="8">
        <v>6</v>
      </c>
      <c r="J27" s="8">
        <v>72</v>
      </c>
      <c r="K27" s="8">
        <v>70.207678977379516</v>
      </c>
      <c r="L27" s="8">
        <v>69.539384305975901</v>
      </c>
      <c r="M27" s="8">
        <v>67.166243249060173</v>
      </c>
      <c r="N27" s="8">
        <v>64.980152685132651</v>
      </c>
      <c r="O27" s="8">
        <f t="shared" si="1"/>
        <v>0.98907428139180131</v>
      </c>
      <c r="P27" s="8">
        <f t="shared" si="2"/>
        <v>0.96989001335285785</v>
      </c>
      <c r="Q27" s="8">
        <f t="shared" si="3"/>
        <v>0.96128590301557071</v>
      </c>
      <c r="R27" s="8">
        <f t="shared" si="4"/>
        <v>0.97511224759737725</v>
      </c>
      <c r="T27" s="8">
        <v>24</v>
      </c>
      <c r="U27" s="5">
        <v>64</v>
      </c>
      <c r="V27" s="5">
        <f>求节点(其他调用!D$4:D$163,其他调用!$B$4:$B$163,INDEX(其他调用!$C$4:$C$163,$U27,1))</f>
        <v>62.71656302702327</v>
      </c>
      <c r="W27" s="5">
        <f>求节点(其他调用!E$4:E$163,其他调用!$B$4:$B$163,INDEX(其他调用!$C$4:$C$163,$U27,1))</f>
        <v>61.331425546138448</v>
      </c>
      <c r="X27" s="5">
        <f>求节点(其他调用!F$4:F$163,其他调用!$B$4:$B$163,INDEX(其他调用!$C$4:$C$163,$U27,1))</f>
        <v>58.54304942808664</v>
      </c>
      <c r="Y27" s="5">
        <f>求节点(其他调用!G$4:G$163,其他调用!$B$4:$B$163,INDEX(其他调用!$C$4:$C$163,$U27,1))</f>
        <v>57.140912055849533</v>
      </c>
      <c r="Z27" s="8">
        <v>6</v>
      </c>
    </row>
    <row r="28" spans="2:26" x14ac:dyDescent="0.15">
      <c r="B28" s="8">
        <v>25</v>
      </c>
      <c r="C28" s="5">
        <v>75</v>
      </c>
      <c r="D28" s="5">
        <f>求节点(其他调用!D$4:D$163,其他调用!$B$4:$B$163,INDEX(其他调用!$C$4:$C$163,$C28,1))</f>
        <v>72.551287870200269</v>
      </c>
      <c r="E28" s="5">
        <f>求节点(其他调用!E$4:E$163,其他调用!$B$4:$B$163,INDEX(其他调用!$C$4:$C$163,$C28,1))</f>
        <v>70.146468785313871</v>
      </c>
      <c r="F28" s="5">
        <f>求节点(其他调用!F$4:F$163,其他调用!$B$4:$B$163,INDEX(其他调用!$C$4:$C$163,$C28,1))</f>
        <v>67.229111128152894</v>
      </c>
      <c r="G28" s="5">
        <f>求节点(其他调用!G$4:G$163,其他调用!$B$4:$B$163,INDEX(其他调用!$C$4:$C$163,$C28,1))</f>
        <v>66.084076643123851</v>
      </c>
      <c r="H28" s="8">
        <v>6</v>
      </c>
      <c r="J28" s="8">
        <v>75</v>
      </c>
      <c r="K28" s="8">
        <v>72.991291504070674</v>
      </c>
      <c r="L28" s="8">
        <v>72.784097056164399</v>
      </c>
      <c r="M28" s="8">
        <v>70.070213284036186</v>
      </c>
      <c r="N28" s="8">
        <v>68.055111703542636</v>
      </c>
      <c r="O28" s="8">
        <f t="shared" si="1"/>
        <v>0.99397183383382293</v>
      </c>
      <c r="P28" s="8">
        <f t="shared" si="2"/>
        <v>0.96376092611528608</v>
      </c>
      <c r="Q28" s="8">
        <f t="shared" si="3"/>
        <v>0.95945349638987654</v>
      </c>
      <c r="R28" s="8">
        <f t="shared" si="4"/>
        <v>0.97103766328376795</v>
      </c>
      <c r="T28" s="8">
        <v>25</v>
      </c>
      <c r="U28" s="5">
        <v>66</v>
      </c>
      <c r="V28" s="5">
        <f>求节点(其他调用!D$4:D$163,其他调用!$B$4:$B$163,INDEX(其他调用!$C$4:$C$163,$U28,1))</f>
        <v>64.361886729921849</v>
      </c>
      <c r="W28" s="5">
        <f>求节点(其他调用!E$4:E$163,其他调用!$B$4:$B$163,INDEX(其他调用!$C$4:$C$163,$U28,1))</f>
        <v>62.886620963673955</v>
      </c>
      <c r="X28" s="5">
        <f>求节点(其他调用!F$4:F$163,其他调用!$B$4:$B$163,INDEX(其他调用!$C$4:$C$163,$U28,1))</f>
        <v>60.123711679237957</v>
      </c>
      <c r="Y28" s="5">
        <f>求节点(其他调用!G$4:G$163,其他调用!$B$4:$B$163,INDEX(其他调用!$C$4:$C$163,$U28,1))</f>
        <v>59.00871277769766</v>
      </c>
      <c r="Z28" s="8">
        <v>6</v>
      </c>
    </row>
    <row r="29" spans="2:26" x14ac:dyDescent="0.15">
      <c r="B29" s="8">
        <v>26</v>
      </c>
      <c r="C29" s="5">
        <v>78</v>
      </c>
      <c r="D29" s="5">
        <f>求节点(其他调用!D$4:D$163,其他调用!$B$4:$B$163,INDEX(其他调用!$C$4:$C$163,$C29,1))</f>
        <v>75.603800187926879</v>
      </c>
      <c r="E29" s="5">
        <f>求节点(其他调用!E$4:E$163,其他调用!$B$4:$B$163,INDEX(其他调用!$C$4:$C$163,$C29,1))</f>
        <v>73.405577469188358</v>
      </c>
      <c r="F29" s="5">
        <f>求节点(其他调用!F$4:F$163,其他调用!$B$4:$B$163,INDEX(其他调用!$C$4:$C$163,$C29,1))</f>
        <v>69.877865220905022</v>
      </c>
      <c r="G29" s="5">
        <f>求节点(其他调用!G$4:G$163,其他调用!$B$4:$B$163,INDEX(其他调用!$C$4:$C$163,$C29,1))</f>
        <v>68.722086327728192</v>
      </c>
      <c r="H29" s="8">
        <v>6</v>
      </c>
      <c r="J29" s="8">
        <v>78</v>
      </c>
      <c r="K29" s="8">
        <v>75.55313203876662</v>
      </c>
      <c r="L29" s="8">
        <v>75.911583729346177</v>
      </c>
      <c r="M29" s="8">
        <v>72.728815405554954</v>
      </c>
      <c r="N29" s="8">
        <v>71.103378483891277</v>
      </c>
      <c r="O29" s="8">
        <f t="shared" si="1"/>
        <v>1.000670629367612</v>
      </c>
      <c r="P29" s="8">
        <f t="shared" si="2"/>
        <v>0.966987827982977</v>
      </c>
      <c r="Q29" s="8">
        <f t="shared" si="3"/>
        <v>0.96080026645900551</v>
      </c>
      <c r="R29" s="8">
        <f t="shared" si="4"/>
        <v>0.96650943728781358</v>
      </c>
      <c r="T29" s="8">
        <v>26</v>
      </c>
      <c r="U29" s="5">
        <v>68</v>
      </c>
      <c r="V29" s="5">
        <f>求节点(其他调用!D$4:D$163,其他调用!$B$4:$B$163,INDEX(其他调用!$C$4:$C$163,$U29,1))</f>
        <v>65.965755277543337</v>
      </c>
      <c r="W29" s="5">
        <f>求节点(其他调用!E$4:E$163,其他调用!$B$4:$B$163,INDEX(其他调用!$C$4:$C$163,$U29,1))</f>
        <v>64.319039745800765</v>
      </c>
      <c r="X29" s="5">
        <f>求节点(其他调用!F$4:F$163,其他调用!$B$4:$B$163,INDEX(其他调用!$C$4:$C$163,$U29,1))</f>
        <v>61.531852978118927</v>
      </c>
      <c r="Y29" s="5">
        <f>求节点(其他调用!G$4:G$163,其他调用!$B$4:$B$163,INDEX(其他调用!$C$4:$C$163,$U29,1))</f>
        <v>60.206377523158096</v>
      </c>
      <c r="Z29" s="8">
        <v>6</v>
      </c>
    </row>
    <row r="30" spans="2:26" x14ac:dyDescent="0.15">
      <c r="B30" s="8">
        <v>27</v>
      </c>
      <c r="C30" s="5">
        <v>81</v>
      </c>
      <c r="D30" s="5">
        <f>求节点(其他调用!D$4:D$163,其他调用!$B$4:$B$163,INDEX(其他调用!$C$4:$C$163,$C30,1))</f>
        <v>78.206030820276141</v>
      </c>
      <c r="E30" s="5">
        <f>求节点(其他调用!E$4:E$163,其他调用!$B$4:$B$163,INDEX(其他调用!$C$4:$C$163,$C30,1))</f>
        <v>75.937589384648476</v>
      </c>
      <c r="F30" s="5">
        <f>求节点(其他调用!F$4:F$163,其他调用!$B$4:$B$163,INDEX(其他调用!$C$4:$C$163,$C30,1))</f>
        <v>72.356875978489199</v>
      </c>
      <c r="G30" s="5">
        <f>求节点(其他调用!G$4:G$163,其他调用!$B$4:$B$163,INDEX(其他调用!$C$4:$C$163,$C30,1))</f>
        <v>71.038773752306952</v>
      </c>
      <c r="H30" s="8">
        <v>6</v>
      </c>
      <c r="J30" s="8">
        <v>81</v>
      </c>
      <c r="K30" s="8">
        <v>75.116873686967239</v>
      </c>
      <c r="L30" s="8">
        <v>75.416008979515539</v>
      </c>
      <c r="M30" s="8">
        <v>72.304800670180967</v>
      </c>
      <c r="N30" s="8">
        <v>70.662673336470775</v>
      </c>
      <c r="O30" s="8">
        <f t="shared" si="1"/>
        <v>1.0411246765431463</v>
      </c>
      <c r="P30" s="8">
        <f t="shared" si="2"/>
        <v>1.0069160435853164</v>
      </c>
      <c r="Q30" s="8">
        <f t="shared" si="3"/>
        <v>1.0007202192361442</v>
      </c>
      <c r="R30" s="8">
        <f t="shared" si="4"/>
        <v>1.005322476465691</v>
      </c>
      <c r="T30" s="8">
        <v>27</v>
      </c>
      <c r="U30" s="5">
        <v>70</v>
      </c>
      <c r="V30" s="5">
        <f>求节点(其他调用!D$4:D$163,其他调用!$B$4:$B$163,INDEX(其他调用!$C$4:$C$163,$U30,1))</f>
        <v>67.618261614571551</v>
      </c>
      <c r="W30" s="5">
        <f>求节点(其他调用!E$4:E$163,其他调用!$B$4:$B$163,INDEX(其他调用!$C$4:$C$163,$U30,1))</f>
        <v>65.788157984789066</v>
      </c>
      <c r="X30" s="5">
        <f>求节点(其他调用!F$4:F$163,其他调用!$B$4:$B$163,INDEX(其他调用!$C$4:$C$163,$U30,1))</f>
        <v>62.982442133422246</v>
      </c>
      <c r="Y30" s="5">
        <f>求节点(其他调用!G$4:G$163,其他调用!$B$4:$B$163,INDEX(其他调用!$C$4:$C$163,$U30,1))</f>
        <v>61.705226088547974</v>
      </c>
      <c r="Z30" s="8">
        <v>6</v>
      </c>
    </row>
    <row r="31" spans="2:26" x14ac:dyDescent="0.15">
      <c r="B31" s="8">
        <v>28</v>
      </c>
      <c r="C31" s="5">
        <v>84</v>
      </c>
      <c r="D31" s="5">
        <f>求节点(其他调用!D$4:D$163,其他调用!$B$4:$B$163,INDEX(其他调用!$C$4:$C$163,$C31,1))</f>
        <v>80.770825020579196</v>
      </c>
      <c r="E31" s="5">
        <f>求节点(其他调用!E$4:E$163,其他调用!$B$4:$B$163,INDEX(其他调用!$C$4:$C$163,$C31,1))</f>
        <v>78.446808845444806</v>
      </c>
      <c r="F31" s="5">
        <f>求节点(其他调用!F$4:F$163,其他调用!$B$4:$B$163,INDEX(其他调用!$C$4:$C$163,$C31,1))</f>
        <v>74.624309926393636</v>
      </c>
      <c r="G31" s="5">
        <f>求节点(其他调用!G$4:G$163,其他调用!$B$4:$B$163,INDEX(其他调用!$C$4:$C$163,$C31,1))</f>
        <v>73.339870572309351</v>
      </c>
      <c r="H31" s="8">
        <v>6</v>
      </c>
      <c r="J31" s="8">
        <v>84</v>
      </c>
      <c r="K31" s="8">
        <v>77.053348108949066</v>
      </c>
      <c r="L31" s="8">
        <v>77.540003351495159</v>
      </c>
      <c r="M31" s="8">
        <v>74.148237400565719</v>
      </c>
      <c r="N31" s="8">
        <v>72.464269695596272</v>
      </c>
      <c r="O31" s="8">
        <f t="shared" si="1"/>
        <v>1.0482454948793896</v>
      </c>
      <c r="P31" s="8">
        <f t="shared" si="2"/>
        <v>1.0116946795815707</v>
      </c>
      <c r="Q31" s="8">
        <f t="shared" si="3"/>
        <v>1.0064205508116946</v>
      </c>
      <c r="R31" s="8">
        <f t="shared" si="4"/>
        <v>1.0120832084610976</v>
      </c>
      <c r="T31" s="8">
        <v>28</v>
      </c>
      <c r="U31" s="5">
        <v>71</v>
      </c>
      <c r="V31" s="5">
        <f>求节点(其他调用!D$4:D$163,其他调用!$B$4:$B$163,INDEX(其他调用!$C$4:$C$163,$U31,1))</f>
        <v>68.521636542047204</v>
      </c>
      <c r="W31" s="5">
        <f>求节点(其他调用!E$4:E$163,其他调用!$B$4:$B$163,INDEX(其他调用!$C$4:$C$163,$U31,1))</f>
        <v>66.596770050479492</v>
      </c>
      <c r="X31" s="5">
        <f>求节点(其他调用!F$4:F$163,其他调用!$B$4:$B$163,INDEX(其他调用!$C$4:$C$163,$U31,1))</f>
        <v>63.75031014590013</v>
      </c>
      <c r="Y31" s="5">
        <f>求节点(其他调用!G$4:G$163,其他调用!$B$4:$B$163,INDEX(其他调用!$C$4:$C$163,$U31,1))</f>
        <v>62.516159694134146</v>
      </c>
      <c r="Z31" s="8">
        <v>6</v>
      </c>
    </row>
    <row r="32" spans="2:26" x14ac:dyDescent="0.15">
      <c r="B32" s="8">
        <v>29</v>
      </c>
      <c r="C32" s="5">
        <v>87</v>
      </c>
      <c r="D32" s="5">
        <f>求节点(其他调用!D$4:D$163,其他调用!$B$4:$B$163,INDEX(其他调用!$C$4:$C$163,$C32,1))</f>
        <v>83.62936923344175</v>
      </c>
      <c r="E32" s="5">
        <f>求节点(其他调用!E$4:E$163,其他调用!$B$4:$B$163,INDEX(其他调用!$C$4:$C$163,$C32,1))</f>
        <v>81.343219854278885</v>
      </c>
      <c r="F32" s="5">
        <f>求节点(其他调用!F$4:F$163,其他调用!$B$4:$B$163,INDEX(其他调用!$C$4:$C$163,$C32,1))</f>
        <v>77.074958005884056</v>
      </c>
      <c r="G32" s="5">
        <f>求节点(其他调用!G$4:G$163,其他调用!$B$4:$B$163,INDEX(其他调用!$C$4:$C$163,$C32,1))</f>
        <v>75.587238423516851</v>
      </c>
      <c r="H32" s="8">
        <v>6</v>
      </c>
      <c r="J32" s="8">
        <v>87</v>
      </c>
      <c r="K32" s="8">
        <v>82.46236138863047</v>
      </c>
      <c r="L32" s="8">
        <v>84.118942009421005</v>
      </c>
      <c r="M32" s="8">
        <v>75.993592184660827</v>
      </c>
      <c r="N32" s="8">
        <v>74.202416265898364</v>
      </c>
      <c r="O32" s="8">
        <f t="shared" si="1"/>
        <v>1.0141520061414611</v>
      </c>
      <c r="P32" s="8">
        <f t="shared" si="2"/>
        <v>0.96700241243130169</v>
      </c>
      <c r="Q32" s="8">
        <f t="shared" si="3"/>
        <v>1.0142296974012699</v>
      </c>
      <c r="R32" s="8">
        <f t="shared" si="4"/>
        <v>1.0186627636579393</v>
      </c>
      <c r="T32" s="8">
        <v>29</v>
      </c>
      <c r="U32" s="5">
        <v>72</v>
      </c>
      <c r="V32" s="5">
        <f>求节点(其他调用!D$4:D$163,其他调用!$B$4:$B$163,INDEX(其他调用!$C$4:$C$163,$U32,1))</f>
        <v>69.440609632737917</v>
      </c>
      <c r="W32" s="5">
        <f>求节点(其他调用!E$4:E$163,其他调用!$B$4:$B$163,INDEX(其他调用!$C$4:$C$163,$U32,1))</f>
        <v>67.445554373072483</v>
      </c>
      <c r="X32" s="5">
        <f>求节点(其他调用!F$4:F$163,其他调用!$B$4:$B$163,INDEX(其他调用!$C$4:$C$163,$U32,1))</f>
        <v>64.565962793836292</v>
      </c>
      <c r="Y32" s="5">
        <f>求节点(其他调用!G$4:G$163,其他调用!$B$4:$B$163,INDEX(其他调用!$C$4:$C$163,$U32,1))</f>
        <v>63.36294273402045</v>
      </c>
      <c r="Z32" s="8">
        <v>6</v>
      </c>
    </row>
    <row r="33" spans="2:26" x14ac:dyDescent="0.15">
      <c r="B33" s="8">
        <v>30</v>
      </c>
      <c r="C33" s="5">
        <v>90</v>
      </c>
      <c r="D33" s="5">
        <f>求节点(其他调用!D$4:D$163,其他调用!$B$4:$B$163,INDEX(其他调用!$C$4:$C$163,$C33,1))</f>
        <v>86.038352960430615</v>
      </c>
      <c r="E33" s="5">
        <f>求节点(其他调用!E$4:E$163,其他调用!$B$4:$B$163,INDEX(其他调用!$C$4:$C$163,$C33,1))</f>
        <v>83.71979518782048</v>
      </c>
      <c r="F33" s="5">
        <f>求节点(其他调用!F$4:F$163,其他调用!$B$4:$B$163,INDEX(其他调用!$C$4:$C$163,$C33,1))</f>
        <v>79.141696519273708</v>
      </c>
      <c r="G33" s="5">
        <f>求节点(其他调用!G$4:G$163,其他调用!$B$4:$B$163,INDEX(其他调用!$C$4:$C$163,$C33,1))</f>
        <v>77.425251341180228</v>
      </c>
      <c r="H33" s="8">
        <v>6</v>
      </c>
      <c r="J33" s="8">
        <v>90</v>
      </c>
      <c r="K33" s="8">
        <v>85.570242894889503</v>
      </c>
      <c r="L33" s="8">
        <v>87.843120840920818</v>
      </c>
      <c r="M33" s="8">
        <v>77.925277689681366</v>
      </c>
      <c r="N33" s="8">
        <v>75.989313678088877</v>
      </c>
      <c r="O33" s="8">
        <f t="shared" si="1"/>
        <v>1.0054704772325598</v>
      </c>
      <c r="P33" s="8">
        <f t="shared" si="2"/>
        <v>0.9530603465174301</v>
      </c>
      <c r="Q33" s="8">
        <f t="shared" si="3"/>
        <v>1.0156100673062269</v>
      </c>
      <c r="R33" s="8">
        <f t="shared" si="4"/>
        <v>1.0188965736573745</v>
      </c>
      <c r="T33" s="8">
        <v>30</v>
      </c>
      <c r="U33" s="5">
        <v>73</v>
      </c>
      <c r="V33" s="5">
        <f>求节点(其他调用!D$4:D$163,其他调用!$B$4:$B$163,INDEX(其他调用!$C$4:$C$163,$U33,1))</f>
        <v>70.420205522337909</v>
      </c>
      <c r="W33" s="5">
        <f>求节点(其他调用!E$4:E$163,其他调用!$B$4:$B$163,INDEX(其他调用!$C$4:$C$163,$U33,1))</f>
        <v>68.314987618632912</v>
      </c>
      <c r="X33" s="5">
        <f>求节点(其他调用!F$4:F$163,其他调用!$B$4:$B$163,INDEX(其他调用!$C$4:$C$163,$U33,1))</f>
        <v>65.435345291480985</v>
      </c>
      <c r="Y33" s="5">
        <f>求节点(其他调用!G$4:G$163,其他调用!$B$4:$B$163,INDEX(其他调用!$C$4:$C$163,$U33,1))</f>
        <v>64.247157072576243</v>
      </c>
      <c r="Z33" s="8">
        <v>6</v>
      </c>
    </row>
    <row r="34" spans="2:26" x14ac:dyDescent="0.15">
      <c r="B34" s="8">
        <v>31</v>
      </c>
      <c r="C34" s="5">
        <v>93</v>
      </c>
      <c r="D34" s="5">
        <f>求节点(其他调用!D$4:D$163,其他调用!$B$4:$B$163,INDEX(其他调用!$C$4:$C$163,$C34,1))</f>
        <v>88.927784790417363</v>
      </c>
      <c r="E34" s="5">
        <f>求节点(其他调用!E$4:E$163,其他调用!$B$4:$B$163,INDEX(其他调用!$C$4:$C$163,$C34,1))</f>
        <v>86.275765726124874</v>
      </c>
      <c r="F34" s="5">
        <f>求节点(其他调用!F$4:F$163,其他调用!$B$4:$B$163,INDEX(其他调用!$C$4:$C$163,$C34,1))</f>
        <v>81.245922578251111</v>
      </c>
      <c r="G34" s="5">
        <f>求节点(其他调用!G$4:G$163,其他调用!$B$4:$B$163,INDEX(其他调用!$C$4:$C$163,$C34,1))</f>
        <v>79.590620276283289</v>
      </c>
      <c r="H34" s="8">
        <v>6</v>
      </c>
      <c r="J34" s="8">
        <v>93</v>
      </c>
      <c r="K34" s="8">
        <v>87.243464221789893</v>
      </c>
      <c r="L34" s="8">
        <v>89.078804609661702</v>
      </c>
      <c r="M34" s="8">
        <v>82.263790202779944</v>
      </c>
      <c r="N34" s="8">
        <v>76.611704172949203</v>
      </c>
      <c r="O34" s="8">
        <f t="shared" si="1"/>
        <v>1.0193059799224111</v>
      </c>
      <c r="P34" s="8">
        <f t="shared" si="2"/>
        <v>0.9685330433449395</v>
      </c>
      <c r="Q34" s="8">
        <f t="shared" si="3"/>
        <v>0.98762678425076456</v>
      </c>
      <c r="R34" s="8">
        <f t="shared" si="4"/>
        <v>1.0388833029560243</v>
      </c>
      <c r="T34" s="8">
        <v>31</v>
      </c>
      <c r="U34" s="5">
        <v>74</v>
      </c>
      <c r="V34" s="5">
        <f>求节点(其他调用!D$4:D$163,其他调用!$B$4:$B$163,INDEX(其他调用!$C$4:$C$163,$U34,1))</f>
        <v>71.478880069259006</v>
      </c>
      <c r="W34" s="5">
        <f>求节点(其他调用!E$4:E$163,其他调用!$B$4:$B$163,INDEX(其他调用!$C$4:$C$163,$U34,1))</f>
        <v>69.194080472668205</v>
      </c>
      <c r="X34" s="5">
        <f>求节点(其他调用!F$4:F$163,其他调用!$B$4:$B$163,INDEX(其他调用!$C$4:$C$163,$U34,1))</f>
        <v>66.333777698538483</v>
      </c>
      <c r="Y34" s="5">
        <f>求节点(其他调用!G$4:G$163,其他调用!$B$4:$B$163,INDEX(其他调用!$C$4:$C$163,$U34,1))</f>
        <v>65.162289095932351</v>
      </c>
      <c r="Z34" s="8">
        <v>6</v>
      </c>
    </row>
    <row r="35" spans="2:26" x14ac:dyDescent="0.15">
      <c r="B35" s="8">
        <v>32</v>
      </c>
      <c r="C35" s="5">
        <v>96</v>
      </c>
      <c r="D35" s="5">
        <f>求节点(其他调用!D$4:D$163,其他调用!$B$4:$B$163,INDEX(其他调用!$C$4:$C$163,$C35,1))</f>
        <v>91.672812846011965</v>
      </c>
      <c r="E35" s="5">
        <f>求节点(其他调用!E$4:E$163,其他调用!$B$4:$B$163,INDEX(其他调用!$C$4:$C$163,$C35,1))</f>
        <v>88.70448692011675</v>
      </c>
      <c r="F35" s="5">
        <f>求节点(其他调用!F$4:F$163,其他调用!$B$4:$B$163,INDEX(其他调用!$C$4:$C$163,$C35,1))</f>
        <v>83.342406179560157</v>
      </c>
      <c r="G35" s="5">
        <f>求节点(其他调用!G$4:G$163,其他调用!$B$4:$B$163,INDEX(其他调用!$C$4:$C$163,$C35,1))</f>
        <v>81.54008445601815</v>
      </c>
      <c r="H35" s="8">
        <v>6</v>
      </c>
      <c r="J35" s="8">
        <v>96</v>
      </c>
      <c r="K35" s="8">
        <v>89.155516044512268</v>
      </c>
      <c r="L35" s="8">
        <v>89.892653095536986</v>
      </c>
      <c r="M35" s="8">
        <v>83.612105703687462</v>
      </c>
      <c r="N35" s="8">
        <v>77.088639950184572</v>
      </c>
      <c r="O35" s="8">
        <f t="shared" si="1"/>
        <v>1.0282348968766317</v>
      </c>
      <c r="P35" s="8">
        <f t="shared" si="2"/>
        <v>0.9867823883876532</v>
      </c>
      <c r="Q35" s="8">
        <f t="shared" si="3"/>
        <v>0.99677439622100783</v>
      </c>
      <c r="R35" s="8">
        <f t="shared" si="4"/>
        <v>1.0577444939839404</v>
      </c>
      <c r="T35" s="8">
        <v>32</v>
      </c>
      <c r="U35" s="5">
        <v>75</v>
      </c>
      <c r="V35" s="5">
        <f>求节点(其他调用!D$4:D$163,其他调用!$B$4:$B$163,INDEX(其他调用!$C$4:$C$163,$U35,1))</f>
        <v>72.551287870200269</v>
      </c>
      <c r="W35" s="5">
        <f>求节点(其他调用!E$4:E$163,其他调用!$B$4:$B$163,INDEX(其他调用!$C$4:$C$163,$U35,1))</f>
        <v>70.146468785313871</v>
      </c>
      <c r="X35" s="5">
        <f>求节点(其他调用!F$4:F$163,其他调用!$B$4:$B$163,INDEX(其他调用!$C$4:$C$163,$U35,1))</f>
        <v>67.229111128152894</v>
      </c>
      <c r="Y35" s="5">
        <f>求节点(其他调用!G$4:G$163,其他调用!$B$4:$B$163,INDEX(其他调用!$C$4:$C$163,$U35,1))</f>
        <v>66.084076643123851</v>
      </c>
      <c r="Z35" s="8">
        <v>6</v>
      </c>
    </row>
    <row r="36" spans="2:26" x14ac:dyDescent="0.15">
      <c r="B36" s="8">
        <v>33</v>
      </c>
      <c r="C36" s="5">
        <v>99</v>
      </c>
      <c r="D36" s="5">
        <f>求节点(其他调用!D$4:D$163,其他调用!$B$4:$B$163,INDEX(其他调用!$C$4:$C$163,$C36,1))</f>
        <v>94.679031394309504</v>
      </c>
      <c r="E36" s="5">
        <f>求节点(其他调用!E$4:E$163,其他调用!$B$4:$B$163,INDEX(其他调用!$C$4:$C$163,$C36,1))</f>
        <v>91.372787090009808</v>
      </c>
      <c r="F36" s="5">
        <f>求节点(其他调用!F$4:F$163,其他调用!$B$4:$B$163,INDEX(其他调用!$C$4:$C$163,$C36,1))</f>
        <v>86.153102206933823</v>
      </c>
      <c r="G36" s="5">
        <f>求节点(其他调用!G$4:G$163,其他调用!$B$4:$B$163,INDEX(其他调用!$C$4:$C$163,$C36,1))</f>
        <v>84.175263525571935</v>
      </c>
      <c r="H36" s="8">
        <v>6</v>
      </c>
      <c r="J36" s="8">
        <v>99</v>
      </c>
      <c r="K36" s="8">
        <v>90.544543725577469</v>
      </c>
      <c r="L36" s="8">
        <v>90.413162614633791</v>
      </c>
      <c r="M36" s="8">
        <v>84.506258650541426</v>
      </c>
      <c r="N36" s="8">
        <v>81.320663701136709</v>
      </c>
      <c r="O36" s="8">
        <f t="shared" si="1"/>
        <v>1.0456624717361529</v>
      </c>
      <c r="P36" s="8">
        <f t="shared" si="2"/>
        <v>1.0106137695842607</v>
      </c>
      <c r="Q36" s="8">
        <f t="shared" si="3"/>
        <v>1.0194878294541778</v>
      </c>
      <c r="R36" s="8">
        <f t="shared" si="4"/>
        <v>1.03510300696667</v>
      </c>
      <c r="T36" s="8">
        <v>33</v>
      </c>
      <c r="U36" s="5">
        <v>76</v>
      </c>
      <c r="V36" s="5">
        <f>求节点(其他调用!D$4:D$163,其他调用!$B$4:$B$163,INDEX(其他调用!$C$4:$C$163,$U36,1))</f>
        <v>73.661134724662148</v>
      </c>
      <c r="W36" s="5">
        <f>求节点(其他调用!E$4:E$163,其他调用!$B$4:$B$163,INDEX(其他调用!$C$4:$C$163,$U36,1))</f>
        <v>71.305365686885779</v>
      </c>
      <c r="X36" s="5">
        <f>求节点(其他调用!F$4:F$163,其他调用!$B$4:$B$163,INDEX(其他调用!$C$4:$C$163,$U36,1))</f>
        <v>68.134912356102149</v>
      </c>
      <c r="Y36" s="5">
        <f>求节点(其他调用!G$4:G$163,其他调用!$B$4:$B$163,INDEX(其他调用!$C$4:$C$163,$U36,1))</f>
        <v>67.022410949353286</v>
      </c>
      <c r="Z36" s="8">
        <v>6</v>
      </c>
    </row>
    <row r="37" spans="2:26" x14ac:dyDescent="0.15">
      <c r="B37" s="8">
        <v>34</v>
      </c>
      <c r="C37" s="5">
        <v>102</v>
      </c>
      <c r="D37" s="5">
        <f>求节点(其他调用!D$4:D$163,其他调用!$B$4:$B$163,INDEX(其他调用!$C$4:$C$163,$C37,1))</f>
        <v>97.465865579785472</v>
      </c>
      <c r="E37" s="5">
        <f>求节点(其他调用!E$4:E$163,其他调用!$B$4:$B$163,INDEX(其他调用!$C$4:$C$163,$C37,1))</f>
        <v>94.009367528122809</v>
      </c>
      <c r="F37" s="5">
        <f>求节点(其他调用!F$4:F$163,其他调用!$B$4:$B$163,INDEX(其他调用!$C$4:$C$163,$C37,1))</f>
        <v>89.141783644113488</v>
      </c>
      <c r="G37" s="5">
        <f>求节点(其他调用!G$4:G$163,其他调用!$B$4:$B$163,INDEX(其他调用!$C$4:$C$163,$C37,1))</f>
        <v>87.273195101386762</v>
      </c>
      <c r="H37" s="8">
        <v>6</v>
      </c>
      <c r="T37" s="8">
        <v>34</v>
      </c>
      <c r="U37" s="5">
        <v>77</v>
      </c>
      <c r="V37" s="5">
        <f>求节点(其他调用!D$4:D$163,其他调用!$B$4:$B$163,INDEX(其他调用!$C$4:$C$163,$U37,1))</f>
        <v>74.72994422870724</v>
      </c>
      <c r="W37" s="5">
        <f>求节点(其他调用!E$4:E$163,其他调用!$B$4:$B$163,INDEX(其他调用!$C$4:$C$163,$U37,1))</f>
        <v>72.458135443627299</v>
      </c>
      <c r="X37" s="5">
        <f>求节点(其他调用!F$4:F$163,其他调用!$B$4:$B$163,INDEX(其他调用!$C$4:$C$163,$U37,1))</f>
        <v>69.062910669405767</v>
      </c>
      <c r="Y37" s="5">
        <f>求节点(其他调用!G$4:G$163,其他调用!$B$4:$B$163,INDEX(其他调用!$C$4:$C$163,$U37,1))</f>
        <v>67.945386625024625</v>
      </c>
      <c r="Z37" s="8">
        <v>6</v>
      </c>
    </row>
    <row r="38" spans="2:26" x14ac:dyDescent="0.15">
      <c r="B38" s="8">
        <v>35</v>
      </c>
      <c r="C38" s="5">
        <v>105</v>
      </c>
      <c r="D38" s="5">
        <f>求节点(其他调用!D$4:D$163,其他调用!$B$4:$B$163,INDEX(其他调用!$C$4:$C$163,$C38,1))</f>
        <v>100.91893418037404</v>
      </c>
      <c r="E38" s="5">
        <f>求节点(其他调用!E$4:E$163,其他调用!$B$4:$B$163,INDEX(其他调用!$C$4:$C$163,$C38,1))</f>
        <v>96.738615095340649</v>
      </c>
      <c r="F38" s="5">
        <f>求节点(其他调用!F$4:F$163,其他调用!$B$4:$B$163,INDEX(其他调用!$C$4:$C$163,$C38,1))</f>
        <v>92.54513723172272</v>
      </c>
      <c r="G38" s="5">
        <f>求节点(其他调用!G$4:G$163,其他调用!$B$4:$B$163,INDEX(其他调用!$C$4:$C$163,$C38,1))</f>
        <v>90.54018874100781</v>
      </c>
      <c r="H38" s="8">
        <v>6</v>
      </c>
      <c r="T38" s="8">
        <v>35</v>
      </c>
      <c r="U38" s="5">
        <v>78</v>
      </c>
      <c r="V38" s="5">
        <f>求节点(其他调用!D$4:D$163,其他调用!$B$4:$B$163,INDEX(其他调用!$C$4:$C$163,$U38,1))</f>
        <v>75.603800187926879</v>
      </c>
      <c r="W38" s="5">
        <f>求节点(其他调用!E$4:E$163,其他调用!$B$4:$B$163,INDEX(其他调用!$C$4:$C$163,$U38,1))</f>
        <v>73.405577469188358</v>
      </c>
      <c r="X38" s="5">
        <f>求节点(其他调用!F$4:F$163,其他调用!$B$4:$B$163,INDEX(其他调用!$C$4:$C$163,$U38,1))</f>
        <v>69.877865220905022</v>
      </c>
      <c r="Y38" s="5">
        <f>求节点(其他调用!G$4:G$163,其他调用!$B$4:$B$163,INDEX(其他调用!$C$4:$C$163,$U38,1))</f>
        <v>68.722086327728192</v>
      </c>
      <c r="Z38" s="8">
        <v>6</v>
      </c>
    </row>
    <row r="39" spans="2:26" x14ac:dyDescent="0.15">
      <c r="B39" s="8">
        <v>36</v>
      </c>
      <c r="C39" s="5">
        <v>108</v>
      </c>
      <c r="D39" s="5">
        <f>求节点(其他调用!D$4:D$163,其他调用!$B$4:$B$163,INDEX(其他调用!$C$4:$C$163,$C39,1))</f>
        <v>103.89217009964835</v>
      </c>
      <c r="E39" s="5">
        <f>求节点(其他调用!E$4:E$163,其他调用!$B$4:$B$163,INDEX(其他调用!$C$4:$C$163,$C39,1))</f>
        <v>99.578871424921473</v>
      </c>
      <c r="F39" s="5">
        <f>求节点(其他调用!F$4:F$163,其他调用!$B$4:$B$163,INDEX(其他调用!$C$4:$C$163,$C39,1))</f>
        <v>96.201011854262731</v>
      </c>
      <c r="G39" s="5">
        <f>求节点(其他调用!G$4:G$163,其他调用!$B$4:$B$163,INDEX(其他调用!$C$4:$C$163,$C39,1))</f>
        <v>94.584911989495296</v>
      </c>
      <c r="H39" s="8">
        <v>6</v>
      </c>
      <c r="T39" s="8">
        <v>36</v>
      </c>
      <c r="U39" s="5">
        <v>79</v>
      </c>
      <c r="V39" s="5">
        <f>求节点(其他调用!D$4:D$163,其他调用!$B$4:$B$163,INDEX(其他调用!$C$4:$C$163,$U39,1))</f>
        <v>76.443397695430406</v>
      </c>
      <c r="W39" s="5">
        <f>求节点(其他调用!E$4:E$163,其他调用!$B$4:$B$163,INDEX(其他调用!$C$4:$C$163,$U39,1))</f>
        <v>74.30057498444873</v>
      </c>
      <c r="X39" s="5">
        <f>求节点(其他调用!F$4:F$163,其他调用!$B$4:$B$163,INDEX(其他调用!$C$4:$C$163,$U39,1))</f>
        <v>70.737230671806159</v>
      </c>
      <c r="Y39" s="5">
        <f>求节点(其他调用!G$4:G$163,其他调用!$B$4:$B$163,INDEX(其他调用!$C$4:$C$163,$U39,1))</f>
        <v>69.472801420989498</v>
      </c>
      <c r="Z39" s="8">
        <v>6</v>
      </c>
    </row>
    <row r="40" spans="2:26" x14ac:dyDescent="0.15">
      <c r="B40" s="8">
        <v>37</v>
      </c>
      <c r="C40" s="5">
        <v>111</v>
      </c>
      <c r="D40" s="5">
        <f>求节点(其他调用!D$4:D$163,其他调用!$B$4:$B$163,INDEX(其他调用!$C$4:$C$163,$C40,1))</f>
        <v>106.9541386301392</v>
      </c>
      <c r="E40" s="5">
        <f>求节点(其他调用!E$4:E$163,其他调用!$B$4:$B$163,INDEX(其他调用!$C$4:$C$163,$C40,1))</f>
        <v>103.39268509715636</v>
      </c>
      <c r="F40" s="5">
        <f>求节点(其他调用!F$4:F$163,其他调用!$B$4:$B$163,INDEX(其他调用!$C$4:$C$163,$C40,1))</f>
        <v>100.13981735422898</v>
      </c>
      <c r="G40" s="5">
        <f>求节点(其他调用!G$4:G$163,其他调用!$B$4:$B$163,INDEX(其他调用!$C$4:$C$163,$C40,1))</f>
        <v>99.180691443212723</v>
      </c>
      <c r="H40" s="8">
        <v>6</v>
      </c>
      <c r="T40" s="8">
        <v>37</v>
      </c>
      <c r="U40" s="5">
        <v>80</v>
      </c>
      <c r="V40" s="5">
        <f>求节点(其他调用!D$4:D$163,其他调用!$B$4:$B$163,INDEX(其他调用!$C$4:$C$163,$U40,1))</f>
        <v>77.320821937062078</v>
      </c>
      <c r="W40" s="5">
        <f>求节点(其他调用!E$4:E$163,其他调用!$B$4:$B$163,INDEX(其他调用!$C$4:$C$163,$U40,1))</f>
        <v>75.164865311162927</v>
      </c>
      <c r="X40" s="5">
        <f>求节点(其他调用!F$4:F$163,其他调用!$B$4:$B$163,INDEX(其他调用!$C$4:$C$163,$U40,1))</f>
        <v>71.599869421616418</v>
      </c>
      <c r="Y40" s="5">
        <f>求节点(其他调用!G$4:G$163,其他调用!$B$4:$B$163,INDEX(其他调用!$C$4:$C$163,$U40,1))</f>
        <v>70.249990307132705</v>
      </c>
      <c r="Z40" s="8">
        <v>6</v>
      </c>
    </row>
    <row r="41" spans="2:26" x14ac:dyDescent="0.15">
      <c r="B41" s="8">
        <v>38</v>
      </c>
      <c r="C41" s="5">
        <v>114</v>
      </c>
      <c r="D41" s="5">
        <f>求节点(其他调用!D$4:D$163,其他调用!$B$4:$B$163,INDEX(其他调用!$C$4:$C$163,$C41,1))</f>
        <v>109.61651685535122</v>
      </c>
      <c r="E41" s="5">
        <f>求节点(其他调用!E$4:E$163,其他调用!$B$4:$B$163,INDEX(其他调用!$C$4:$C$163,$C41,1))</f>
        <v>106.67518132743962</v>
      </c>
      <c r="F41" s="5">
        <f>求节点(其他调用!F$4:F$163,其他调用!$B$4:$B$163,INDEX(其他调用!$C$4:$C$163,$C41,1))</f>
        <v>104.22958749795568</v>
      </c>
      <c r="G41" s="5">
        <f>求节点(其他调用!G$4:G$163,其他调用!$B$4:$B$163,INDEX(其他调用!$C$4:$C$163,$C41,1))</f>
        <v>103.16266814161757</v>
      </c>
      <c r="H41" s="8">
        <v>6</v>
      </c>
      <c r="T41" s="8">
        <v>38</v>
      </c>
      <c r="U41" s="5">
        <v>81</v>
      </c>
      <c r="V41" s="5">
        <f>求节点(其他调用!D$4:D$163,其他调用!$B$4:$B$163,INDEX(其他调用!$C$4:$C$163,$U41,1))</f>
        <v>78.206030820276141</v>
      </c>
      <c r="W41" s="5">
        <f>求节点(其他调用!E$4:E$163,其他调用!$B$4:$B$163,INDEX(其他调用!$C$4:$C$163,$U41,1))</f>
        <v>75.937589384648476</v>
      </c>
      <c r="X41" s="5">
        <f>求节点(其他调用!F$4:F$163,其他调用!$B$4:$B$163,INDEX(其他调用!$C$4:$C$163,$U41,1))</f>
        <v>72.356875978489199</v>
      </c>
      <c r="Y41" s="5">
        <f>求节点(其他调用!G$4:G$163,其他调用!$B$4:$B$163,INDEX(其他调用!$C$4:$C$163,$U41,1))</f>
        <v>71.038773752306952</v>
      </c>
      <c r="Z41" s="8">
        <v>6</v>
      </c>
    </row>
    <row r="42" spans="2:26" x14ac:dyDescent="0.15">
      <c r="B42" s="8">
        <v>39</v>
      </c>
      <c r="C42" s="5">
        <v>117</v>
      </c>
      <c r="D42" s="5">
        <f>求节点(其他调用!D$4:D$163,其他调用!$B$4:$B$163,INDEX(其他调用!$C$4:$C$163,$C42,1))</f>
        <v>113.18176914047146</v>
      </c>
      <c r="E42" s="5">
        <f>求节点(其他调用!E$4:E$163,其他调用!$B$4:$B$163,INDEX(其他调用!$C$4:$C$163,$C42,1))</f>
        <v>110.30108908332825</v>
      </c>
      <c r="F42" s="5">
        <f>求节点(其他调用!F$4:F$163,其他调用!$B$4:$B$163,INDEX(其他调用!$C$4:$C$163,$C42,1))</f>
        <v>108.33808148656112</v>
      </c>
      <c r="G42" s="5">
        <f>求节点(其他调用!G$4:G$163,其他调用!$B$4:$B$163,INDEX(其他调用!$C$4:$C$163,$C42,1))</f>
        <v>106.95764458293246</v>
      </c>
      <c r="H42" s="8">
        <v>6</v>
      </c>
      <c r="T42" s="8">
        <v>39</v>
      </c>
      <c r="U42" s="5">
        <v>82</v>
      </c>
      <c r="V42" s="5">
        <f>求节点(其他调用!D$4:D$163,其他调用!$B$4:$B$163,INDEX(其他调用!$C$4:$C$163,$U42,1))</f>
        <v>79.136793756040873</v>
      </c>
      <c r="W42" s="5">
        <f>求节点(其他调用!E$4:E$163,其他调用!$B$4:$B$163,INDEX(其他调用!$C$4:$C$163,$U42,1))</f>
        <v>76.767072673645998</v>
      </c>
      <c r="X42" s="5">
        <f>求节点(其他调用!F$4:F$163,其他调用!$B$4:$B$163,INDEX(其他调用!$C$4:$C$163,$U42,1))</f>
        <v>73.140268706134194</v>
      </c>
      <c r="Y42" s="5">
        <f>求节点(其他调用!G$4:G$163,其他调用!$B$4:$B$163,INDEX(其他调用!$C$4:$C$163,$U42,1))</f>
        <v>71.872484163351416</v>
      </c>
      <c r="Z42" s="8">
        <v>6</v>
      </c>
    </row>
    <row r="43" spans="2:26" x14ac:dyDescent="0.15">
      <c r="B43" s="8">
        <v>40</v>
      </c>
      <c r="C43" s="5">
        <v>120</v>
      </c>
      <c r="D43" s="5">
        <f>求节点(其他调用!D$4:D$163,其他调用!$B$4:$B$163,INDEX(其他调用!$C$4:$C$163,$C43,1))</f>
        <v>116.55797408712036</v>
      </c>
      <c r="E43" s="5">
        <f>求节点(其他调用!E$4:E$163,其他调用!$B$4:$B$163,INDEX(其他调用!$C$4:$C$163,$C43,1))</f>
        <v>114.00355681841862</v>
      </c>
      <c r="F43" s="5">
        <f>求节点(其他调用!F$4:F$163,其他调用!$B$4:$B$163,INDEX(其他调用!$C$4:$C$163,$C43,1))</f>
        <v>112.3296047979488</v>
      </c>
      <c r="G43" s="5">
        <f>求节点(其他调用!G$4:G$163,其他调用!$B$4:$B$163,INDEX(其他调用!$C$4:$C$163,$C43,1))</f>
        <v>110.7524893251942</v>
      </c>
      <c r="H43" s="8">
        <v>6</v>
      </c>
      <c r="T43" s="8">
        <v>40</v>
      </c>
      <c r="U43" s="5">
        <v>83</v>
      </c>
      <c r="V43" s="5">
        <f>求节点(其他调用!D$4:D$163,其他调用!$B$4:$B$163,INDEX(其他调用!$C$4:$C$163,$U43,1))</f>
        <v>80.013097899486269</v>
      </c>
      <c r="W43" s="5">
        <f>求节点(其他调用!E$4:E$163,其他调用!$B$4:$B$163,INDEX(其他调用!$C$4:$C$163,$U43,1))</f>
        <v>77.603678084556648</v>
      </c>
      <c r="X43" s="5">
        <f>求节点(其他调用!F$4:F$163,其他调用!$B$4:$B$163,INDEX(其他调用!$C$4:$C$163,$U43,1))</f>
        <v>73.891878627162185</v>
      </c>
      <c r="Y43" s="5">
        <f>求节点(其他调用!G$4:G$163,其他调用!$B$4:$B$163,INDEX(其他调用!$C$4:$C$163,$U43,1))</f>
        <v>72.62595862462156</v>
      </c>
      <c r="Z43" s="8">
        <v>6</v>
      </c>
    </row>
    <row r="44" spans="2:26" x14ac:dyDescent="0.15">
      <c r="B44" s="8">
        <v>41</v>
      </c>
      <c r="C44" s="5">
        <v>123</v>
      </c>
      <c r="D44" s="5">
        <f>求节点(其他调用!D$4:D$163,其他调用!$B$4:$B$163,INDEX(其他调用!$C$4:$C$163,$C44,1))</f>
        <v>119.44490210328395</v>
      </c>
      <c r="E44" s="5">
        <f>求节点(其他调用!E$4:E$163,其他调用!$B$4:$B$163,INDEX(其他调用!$C$4:$C$163,$C44,1))</f>
        <v>117.06417487262283</v>
      </c>
      <c r="F44" s="5">
        <f>求节点(其他调用!F$4:F$163,其他调用!$B$4:$B$163,INDEX(其他调用!$C$4:$C$163,$C44,1))</f>
        <v>115.45535718171455</v>
      </c>
      <c r="G44" s="5">
        <f>求节点(其他调用!G$4:G$163,其他调用!$B$4:$B$163,INDEX(其他调用!$C$4:$C$163,$C44,1))</f>
        <v>113.74443912781554</v>
      </c>
      <c r="H44" s="8">
        <v>6</v>
      </c>
      <c r="T44" s="8">
        <v>41</v>
      </c>
      <c r="U44" s="5">
        <v>84</v>
      </c>
      <c r="V44" s="5">
        <f>求节点(其他调用!D$4:D$163,其他调用!$B$4:$B$163,INDEX(其他调用!$C$4:$C$163,$U44,1))</f>
        <v>80.770825020579196</v>
      </c>
      <c r="W44" s="5">
        <f>求节点(其他调用!E$4:E$163,其他调用!$B$4:$B$163,INDEX(其他调用!$C$4:$C$163,$U44,1))</f>
        <v>78.446808845444806</v>
      </c>
      <c r="X44" s="5">
        <f>求节点(其他调用!F$4:F$163,其他调用!$B$4:$B$163,INDEX(其他调用!$C$4:$C$163,$U44,1))</f>
        <v>74.624309926393636</v>
      </c>
      <c r="Y44" s="5">
        <f>求节点(其他调用!G$4:G$163,其他调用!$B$4:$B$163,INDEX(其他调用!$C$4:$C$163,$U44,1))</f>
        <v>73.339870572309351</v>
      </c>
      <c r="Z44" s="8">
        <v>6</v>
      </c>
    </row>
    <row r="45" spans="2:26" x14ac:dyDescent="0.15">
      <c r="B45" s="8">
        <v>42</v>
      </c>
      <c r="C45" s="5">
        <v>126</v>
      </c>
      <c r="D45" s="5">
        <f>求节点(其他调用!D$4:D$163,其他调用!$B$4:$B$163,INDEX(其他调用!$C$4:$C$163,$C45,1))</f>
        <v>122.40279573201563</v>
      </c>
      <c r="E45" s="5">
        <f>求节点(其他调用!E$4:E$163,其他调用!$B$4:$B$163,INDEX(其他调用!$C$4:$C$163,$C45,1))</f>
        <v>120.10818742250657</v>
      </c>
      <c r="F45" s="5">
        <f>求节点(其他调用!F$4:F$163,其他调用!$B$4:$B$163,INDEX(其他调用!$C$4:$C$163,$C45,1))</f>
        <v>118.43059024874958</v>
      </c>
      <c r="G45" s="5">
        <f>求节点(其他调用!G$4:G$163,其他调用!$B$4:$B$163,INDEX(其他调用!$C$4:$C$163,$C45,1))</f>
        <v>116.57631766497333</v>
      </c>
      <c r="H45" s="8">
        <v>6</v>
      </c>
      <c r="T45" s="8">
        <v>42</v>
      </c>
      <c r="U45" s="5">
        <v>85</v>
      </c>
      <c r="V45" s="5">
        <f>求节点(其他调用!D$4:D$163,其他调用!$B$4:$B$163,INDEX(其他调用!$C$4:$C$163,$U45,1))</f>
        <v>81.599913594166793</v>
      </c>
      <c r="W45" s="5">
        <f>求节点(其他调用!E$4:E$163,其他调用!$B$4:$B$163,INDEX(其他调用!$C$4:$C$163,$U45,1))</f>
        <v>79.32077198051681</v>
      </c>
      <c r="X45" s="5">
        <f>求节点(其他调用!F$4:F$163,其他调用!$B$4:$B$163,INDEX(其他调用!$C$4:$C$163,$U45,1))</f>
        <v>75.372965591510393</v>
      </c>
      <c r="Y45" s="5">
        <f>求节点(其他调用!G$4:G$163,其他调用!$B$4:$B$163,INDEX(其他调用!$C$4:$C$163,$U45,1))</f>
        <v>74.05486427279439</v>
      </c>
      <c r="Z45" s="8">
        <v>6</v>
      </c>
    </row>
    <row r="46" spans="2:26" x14ac:dyDescent="0.15">
      <c r="B46" s="8">
        <v>43</v>
      </c>
      <c r="C46" s="5">
        <v>129</v>
      </c>
      <c r="D46" s="5">
        <f>求节点(其他调用!D$4:D$163,其他调用!$B$4:$B$163,INDEX(其他调用!$C$4:$C$163,$C46,1))</f>
        <v>125.39008702035792</v>
      </c>
      <c r="E46" s="5">
        <f>求节点(其他调用!E$4:E$163,其他调用!$B$4:$B$163,INDEX(其他调用!$C$4:$C$163,$C46,1))</f>
        <v>123.2234297240427</v>
      </c>
      <c r="F46" s="5">
        <f>求节点(其他调用!F$4:F$163,其他调用!$B$4:$B$163,INDEX(其他调用!$C$4:$C$163,$C46,1))</f>
        <v>121.44194219170525</v>
      </c>
      <c r="G46" s="5">
        <f>求节点(其他调用!G$4:G$163,其他调用!$B$4:$B$163,INDEX(其他调用!$C$4:$C$163,$C46,1))</f>
        <v>119.49767840514546</v>
      </c>
      <c r="H46" s="8">
        <v>6</v>
      </c>
      <c r="T46" s="8">
        <v>43</v>
      </c>
      <c r="U46" s="5">
        <v>86</v>
      </c>
      <c r="V46" s="5">
        <f>求节点(其他调用!D$4:D$163,其他调用!$B$4:$B$163,INDEX(其他调用!$C$4:$C$163,$U46,1))</f>
        <v>82.586201442302183</v>
      </c>
      <c r="W46" s="5">
        <f>求节点(其他调用!E$4:E$163,其他调用!$B$4:$B$163,INDEX(其他调用!$C$4:$C$163,$U46,1))</f>
        <v>80.308822912262741</v>
      </c>
      <c r="X46" s="5">
        <f>求节点(其他调用!F$4:F$163,其他调用!$B$4:$B$163,INDEX(其他调用!$C$4:$C$163,$U46,1))</f>
        <v>76.206423976903778</v>
      </c>
      <c r="Y46" s="5">
        <f>求节点(其他调用!G$4:G$163,其他调用!$B$4:$B$163,INDEX(其他调用!$C$4:$C$163,$U46,1))</f>
        <v>74.833773552490854</v>
      </c>
      <c r="Z46" s="8">
        <v>6</v>
      </c>
    </row>
    <row r="47" spans="2:26" x14ac:dyDescent="0.15">
      <c r="B47" s="8">
        <v>44</v>
      </c>
      <c r="C47" s="5">
        <v>132</v>
      </c>
      <c r="D47" s="5">
        <f>求节点(其他调用!D$4:D$163,其他调用!$B$4:$B$163,INDEX(其他调用!$C$4:$C$163,$C47,1))</f>
        <v>128.44454268280265</v>
      </c>
      <c r="E47" s="5">
        <f>求节点(其他调用!E$4:E$163,其他调用!$B$4:$B$163,INDEX(其他调用!$C$4:$C$163,$C47,1))</f>
        <v>126.32326156168494</v>
      </c>
      <c r="F47" s="5">
        <f>求节点(其他调用!F$4:F$163,其他调用!$B$4:$B$163,INDEX(其他调用!$C$4:$C$163,$C47,1))</f>
        <v>124.37493524674548</v>
      </c>
      <c r="G47" s="5">
        <f>求节点(其他调用!G$4:G$163,其他调用!$B$4:$B$163,INDEX(其他调用!$C$4:$C$163,$C47,1))</f>
        <v>122.28858813216901</v>
      </c>
      <c r="H47" s="8">
        <v>6</v>
      </c>
      <c r="T47" s="8">
        <v>44</v>
      </c>
      <c r="U47" s="5">
        <v>87</v>
      </c>
      <c r="V47" s="5">
        <f>求节点(其他调用!D$4:D$163,其他调用!$B$4:$B$163,INDEX(其他调用!$C$4:$C$163,$U47,1))</f>
        <v>83.62936923344175</v>
      </c>
      <c r="W47" s="5">
        <f>求节点(其他调用!E$4:E$163,其他调用!$B$4:$B$163,INDEX(其他调用!$C$4:$C$163,$U47,1))</f>
        <v>81.343219854278885</v>
      </c>
      <c r="X47" s="5">
        <f>求节点(其他调用!F$4:F$163,其他调用!$B$4:$B$163,INDEX(其他调用!$C$4:$C$163,$U47,1))</f>
        <v>77.074958005884056</v>
      </c>
      <c r="Y47" s="5">
        <f>求节点(其他调用!G$4:G$163,其他调用!$B$4:$B$163,INDEX(其他调用!$C$4:$C$163,$U47,1))</f>
        <v>75.587238423516851</v>
      </c>
      <c r="Z47" s="8">
        <v>6</v>
      </c>
    </row>
    <row r="48" spans="2:26" x14ac:dyDescent="0.15">
      <c r="B48" s="8">
        <v>45</v>
      </c>
      <c r="C48" s="5">
        <v>135</v>
      </c>
      <c r="D48" s="5">
        <f>求节点(其他调用!D$4:D$163,其他调用!$B$4:$B$163,INDEX(其他调用!$C$4:$C$163,$C48,1))</f>
        <v>131.43182101677451</v>
      </c>
      <c r="E48" s="5">
        <f>求节点(其他调用!E$4:E$163,其他调用!$B$4:$B$163,INDEX(其他调用!$C$4:$C$163,$C48,1))</f>
        <v>129.15328420215315</v>
      </c>
      <c r="F48" s="5">
        <f>求节点(其他调用!F$4:F$163,其他调用!$B$4:$B$163,INDEX(其他调用!$C$4:$C$163,$C48,1))</f>
        <v>127.14845536110072</v>
      </c>
      <c r="G48" s="5">
        <f>求节点(其他调用!G$4:G$163,其他调用!$B$4:$B$163,INDEX(其他调用!$C$4:$C$163,$C48,1))</f>
        <v>124.96212830187176</v>
      </c>
      <c r="H48" s="8">
        <v>6</v>
      </c>
      <c r="T48" s="8">
        <v>45</v>
      </c>
      <c r="U48" s="5">
        <v>88</v>
      </c>
      <c r="V48" s="5">
        <f>求节点(其他调用!D$4:D$163,其他调用!$B$4:$B$163,INDEX(其他调用!$C$4:$C$163,$U48,1))</f>
        <v>84.470062392415244</v>
      </c>
      <c r="W48" s="5">
        <f>求节点(其他调用!E$4:E$163,其他调用!$B$4:$B$163,INDEX(其他调用!$C$4:$C$163,$U48,1))</f>
        <v>82.17811120737511</v>
      </c>
      <c r="X48" s="5">
        <f>求节点(其他调用!F$4:F$163,其他调用!$B$4:$B$163,INDEX(其他调用!$C$4:$C$163,$U48,1))</f>
        <v>77.763913202945147</v>
      </c>
      <c r="Y48" s="5">
        <f>求节点(其他调用!G$4:G$163,其他调用!$B$4:$B$163,INDEX(其他调用!$C$4:$C$163,$U48,1))</f>
        <v>76.20476294477703</v>
      </c>
      <c r="Z48" s="8">
        <v>6</v>
      </c>
    </row>
    <row r="49" spans="2:26" x14ac:dyDescent="0.15">
      <c r="B49" s="8">
        <v>46</v>
      </c>
      <c r="C49" s="5">
        <v>138</v>
      </c>
      <c r="D49" s="5">
        <f>求节点(其他调用!D$4:D$163,其他调用!$B$4:$B$163,INDEX(其他调用!$C$4:$C$163,$C49,1))</f>
        <v>134.35920156447216</v>
      </c>
      <c r="E49" s="5">
        <f>求节点(其他调用!E$4:E$163,其他调用!$B$4:$B$163,INDEX(其他调用!$C$4:$C$163,$C49,1))</f>
        <v>131.70437113312411</v>
      </c>
      <c r="F49" s="5">
        <f>求节点(其他调用!F$4:F$163,其他调用!$B$4:$B$163,INDEX(其他调用!$C$4:$C$163,$C49,1))</f>
        <v>129.60402561189383</v>
      </c>
      <c r="G49" s="5">
        <f>求节点(其他调用!G$4:G$163,其他调用!$B$4:$B$163,INDEX(其他调用!$C$4:$C$163,$C49,1))</f>
        <v>127.32720096264062</v>
      </c>
      <c r="H49" s="8">
        <v>6</v>
      </c>
      <c r="T49" s="8">
        <v>46</v>
      </c>
      <c r="U49" s="5">
        <v>89</v>
      </c>
      <c r="V49" s="5">
        <f>求节点(其他调用!D$4:D$163,其他调用!$B$4:$B$163,INDEX(其他调用!$C$4:$C$163,$U49,1))</f>
        <v>85.260328102781799</v>
      </c>
      <c r="W49" s="5">
        <f>求节点(其他调用!E$4:E$163,其他调用!$B$4:$B$163,INDEX(其他调用!$C$4:$C$163,$U49,1))</f>
        <v>82.953133421858794</v>
      </c>
      <c r="X49" s="5">
        <f>求节点(其他调用!F$4:F$163,其他调用!$B$4:$B$163,INDEX(其他调用!$C$4:$C$163,$U49,1))</f>
        <v>78.439012093143091</v>
      </c>
      <c r="Y49" s="5">
        <f>求节点(其他调用!G$4:G$163,其他调用!$B$4:$B$163,INDEX(其他调用!$C$4:$C$163,$U49,1))</f>
        <v>76.80114308992124</v>
      </c>
      <c r="Z49" s="8">
        <v>6</v>
      </c>
    </row>
    <row r="50" spans="2:26" x14ac:dyDescent="0.15">
      <c r="B50" s="8">
        <v>47</v>
      </c>
      <c r="C50" s="5">
        <v>141</v>
      </c>
      <c r="D50" s="5">
        <f>求节点(其他调用!D$4:D$163,其他调用!$B$4:$B$163,INDEX(其他调用!$C$4:$C$163,$C50,1))</f>
        <v>137.51381037691212</v>
      </c>
      <c r="E50" s="5">
        <f>求节点(其他调用!E$4:E$163,其他调用!$B$4:$B$163,INDEX(其他调用!$C$4:$C$163,$C50,1))</f>
        <v>134.47822109007785</v>
      </c>
      <c r="F50" s="5">
        <f>求节点(其他调用!F$4:F$163,其他调用!$B$4:$B$163,INDEX(其他调用!$C$4:$C$163,$C50,1))</f>
        <v>132.07392743942233</v>
      </c>
      <c r="G50" s="5">
        <f>求节点(其他调用!G$4:G$163,其他调用!$B$4:$B$163,INDEX(其他调用!$C$4:$C$163,$C50,1))</f>
        <v>129.65028753874466</v>
      </c>
      <c r="H50" s="8">
        <v>6</v>
      </c>
      <c r="T50" s="8">
        <v>47</v>
      </c>
      <c r="U50" s="5">
        <v>90</v>
      </c>
      <c r="V50" s="5">
        <f>求节点(其他调用!D$4:D$163,其他调用!$B$4:$B$163,INDEX(其他调用!$C$4:$C$163,$U50,1))</f>
        <v>86.038352960430615</v>
      </c>
      <c r="W50" s="5">
        <f>求节点(其他调用!E$4:E$163,其他调用!$B$4:$B$163,INDEX(其他调用!$C$4:$C$163,$U50,1))</f>
        <v>83.71979518782048</v>
      </c>
      <c r="X50" s="5">
        <f>求节点(其他调用!F$4:F$163,其他调用!$B$4:$B$163,INDEX(其他调用!$C$4:$C$163,$U50,1))</f>
        <v>79.141696519273708</v>
      </c>
      <c r="Y50" s="5">
        <f>求节点(其他调用!G$4:G$163,其他调用!$B$4:$B$163,INDEX(其他调用!$C$4:$C$163,$U50,1))</f>
        <v>77.425251341180228</v>
      </c>
      <c r="Z50" s="8">
        <v>6</v>
      </c>
    </row>
    <row r="51" spans="2:26" x14ac:dyDescent="0.15">
      <c r="B51" s="8">
        <v>48</v>
      </c>
      <c r="C51" s="5">
        <v>144</v>
      </c>
      <c r="D51" s="5">
        <f>求节点(其他调用!D$4:D$163,其他调用!$B$4:$B$163,INDEX(其他调用!$C$4:$C$163,$C51,1))</f>
        <v>140.46726197130886</v>
      </c>
      <c r="E51" s="5">
        <f>求节点(其他调用!E$4:E$163,其他调用!$B$4:$B$163,INDEX(其他调用!$C$4:$C$163,$C51,1))</f>
        <v>137.36907746690912</v>
      </c>
      <c r="F51" s="5">
        <f>求节点(其他调用!F$4:F$163,其他调用!$B$4:$B$163,INDEX(其他调用!$C$4:$C$163,$C51,1))</f>
        <v>134.84069197030891</v>
      </c>
      <c r="G51" s="5">
        <f>求节点(其他调用!G$4:G$163,其他调用!$B$4:$B$163,INDEX(其他调用!$C$4:$C$163,$C51,1))</f>
        <v>132.25025188679561</v>
      </c>
      <c r="H51" s="8">
        <v>6</v>
      </c>
      <c r="T51" s="8">
        <v>48</v>
      </c>
      <c r="U51" s="5">
        <v>90.5</v>
      </c>
      <c r="V51" s="5">
        <f>求节点(其他调用!D$4:D$163,其他调用!$B$4:$B$163,INDEX(其他调用!$C$4:$C$163,$U51,1))</f>
        <v>86.038352960430615</v>
      </c>
      <c r="W51" s="5">
        <f>求节点(其他调用!E$4:E$163,其他调用!$B$4:$B$163,INDEX(其他调用!$C$4:$C$163,$U51,1))</f>
        <v>83.71979518782048</v>
      </c>
      <c r="X51" s="5">
        <f>求节点(其他调用!F$4:F$163,其他调用!$B$4:$B$163,INDEX(其他调用!$C$4:$C$163,$U51,1))</f>
        <v>79.141696519273708</v>
      </c>
      <c r="Y51" s="5">
        <f>求节点(其他调用!G$4:G$163,其他调用!$B$4:$B$163,INDEX(其他调用!$C$4:$C$163,$U51,1))</f>
        <v>77.425251341180228</v>
      </c>
      <c r="Z51" s="8">
        <v>6</v>
      </c>
    </row>
    <row r="52" spans="2:26" x14ac:dyDescent="0.15">
      <c r="B52" s="8">
        <v>49</v>
      </c>
      <c r="C52" s="5">
        <v>147</v>
      </c>
      <c r="D52" s="5">
        <f>求节点(其他调用!D$4:D$163,其他调用!$B$4:$B$163,INDEX(其他调用!$C$4:$C$163,$C52,1))</f>
        <v>143.36236041426028</v>
      </c>
      <c r="E52" s="5">
        <f>求节点(其他调用!E$4:E$163,其他调用!$B$4:$B$163,INDEX(其他调用!$C$4:$C$163,$C52,1))</f>
        <v>140.3403880410155</v>
      </c>
      <c r="F52" s="5">
        <f>求节点(其他调用!F$4:F$163,其他调用!$B$4:$B$163,INDEX(其他调用!$C$4:$C$163,$C52,1))</f>
        <v>137.68215825717667</v>
      </c>
      <c r="G52" s="5">
        <f>求节点(其他调用!G$4:G$163,其他调用!$B$4:$B$163,INDEX(其他调用!$C$4:$C$163,$C52,1))</f>
        <v>135.05058046985306</v>
      </c>
      <c r="H52" s="8">
        <v>6</v>
      </c>
      <c r="T52" s="8">
        <v>49</v>
      </c>
      <c r="U52" s="5">
        <v>91</v>
      </c>
      <c r="V52" s="5">
        <f>求节点(其他调用!D$4:D$163,其他调用!$B$4:$B$163,INDEX(其他调用!$C$4:$C$163,$U52,1))</f>
        <v>86.923932983598618</v>
      </c>
      <c r="W52" s="5">
        <f>求节点(其他调用!E$4:E$163,其他调用!$B$4:$B$163,INDEX(其他调用!$C$4:$C$163,$U52,1))</f>
        <v>84.549025004474487</v>
      </c>
      <c r="X52" s="5">
        <f>求节点(其他调用!F$4:F$163,其他调用!$B$4:$B$163,INDEX(其他调用!$C$4:$C$163,$U52,1))</f>
        <v>79.919189206897627</v>
      </c>
      <c r="Y52" s="5">
        <f>求节点(其他调用!G$4:G$163,其他调用!$B$4:$B$163,INDEX(其他调用!$C$4:$C$163,$U52,1))</f>
        <v>78.129696471106286</v>
      </c>
      <c r="Z52" s="8">
        <v>6</v>
      </c>
    </row>
    <row r="53" spans="2:26" x14ac:dyDescent="0.15">
      <c r="B53" s="8">
        <v>50</v>
      </c>
      <c r="C53" s="5">
        <v>150</v>
      </c>
      <c r="D53" s="5">
        <f>求节点(其他调用!D$4:D$163,其他调用!$B$4:$B$163,INDEX(其他调用!$C$4:$C$163,$C53,1))</f>
        <v>146.29363241059752</v>
      </c>
      <c r="E53" s="5">
        <f>求节点(其他调用!E$4:E$163,其他调用!$B$4:$B$163,INDEX(其他调用!$C$4:$C$163,$C53,1))</f>
        <v>143.22559051690689</v>
      </c>
      <c r="F53" s="5">
        <f>求节点(其他调用!F$4:F$163,其他调用!$B$4:$B$163,INDEX(其他调用!$C$4:$C$163,$C53,1))</f>
        <v>140.70061978068478</v>
      </c>
      <c r="G53" s="5">
        <f>求节点(其他调用!G$4:G$163,其他调用!$B$4:$B$163,INDEX(其他调用!$C$4:$C$163,$C53,1))</f>
        <v>138.36886862427824</v>
      </c>
      <c r="H53" s="8">
        <v>6</v>
      </c>
      <c r="T53" s="8">
        <v>50</v>
      </c>
      <c r="U53" s="5">
        <v>91.5</v>
      </c>
      <c r="V53" s="5">
        <f>求节点(其他调用!D$4:D$163,其他调用!$B$4:$B$163,INDEX(其他调用!$C$4:$C$163,$U53,1))</f>
        <v>86.923932983598618</v>
      </c>
      <c r="W53" s="5">
        <f>求节点(其他调用!E$4:E$163,其他调用!$B$4:$B$163,INDEX(其他调用!$C$4:$C$163,$U53,1))</f>
        <v>84.549025004474487</v>
      </c>
      <c r="X53" s="5">
        <f>求节点(其他调用!F$4:F$163,其他调用!$B$4:$B$163,INDEX(其他调用!$C$4:$C$163,$U53,1))</f>
        <v>79.919189206897627</v>
      </c>
      <c r="Y53" s="5">
        <f>求节点(其他调用!G$4:G$163,其他调用!$B$4:$B$163,INDEX(其他调用!$C$4:$C$163,$U53,1))</f>
        <v>78.129696471106286</v>
      </c>
      <c r="Z53" s="8">
        <v>6</v>
      </c>
    </row>
    <row r="54" spans="2:26" x14ac:dyDescent="0.15">
      <c r="B54" s="8">
        <v>51</v>
      </c>
      <c r="C54" s="5">
        <v>153</v>
      </c>
      <c r="D54" s="5">
        <f>求节点(其他调用!D$4:D$163,其他调用!$B$4:$B$163,INDEX(其他调用!$C$4:$C$163,$C54,1))</f>
        <v>149.22724439493442</v>
      </c>
      <c r="E54" s="5">
        <f>求节点(其他调用!E$4:E$163,其他调用!$B$4:$B$163,INDEX(其他调用!$C$4:$C$163,$C54,1))</f>
        <v>146.18094645470723</v>
      </c>
      <c r="F54" s="5">
        <f>求节点(其他调用!F$4:F$163,其他调用!$B$4:$B$163,INDEX(其他调用!$C$4:$C$163,$C54,1))</f>
        <v>143.69564459576247</v>
      </c>
      <c r="G54" s="5">
        <f>求节点(其他调用!G$4:G$163,其他调用!$B$4:$B$163,INDEX(其他调用!$C$4:$C$163,$C54,1))</f>
        <v>141.61624630282981</v>
      </c>
      <c r="H54" s="8">
        <v>6</v>
      </c>
      <c r="T54" s="8">
        <v>51</v>
      </c>
      <c r="U54" s="5">
        <v>92</v>
      </c>
      <c r="V54" s="5">
        <f>求节点(其他调用!D$4:D$163,其他调用!$B$4:$B$163,INDEX(其他调用!$C$4:$C$163,$U54,1))</f>
        <v>87.949847012563211</v>
      </c>
      <c r="W54" s="5">
        <f>求节点(其他调用!E$4:E$163,其他调用!$B$4:$B$163,INDEX(其他调用!$C$4:$C$163,$U54,1))</f>
        <v>85.444906975781478</v>
      </c>
      <c r="X54" s="5">
        <f>求节点(其他调用!F$4:F$163,其他调用!$B$4:$B$163,INDEX(其他调用!$C$4:$C$163,$U54,1))</f>
        <v>80.599010551446526</v>
      </c>
      <c r="Y54" s="5">
        <f>求节点(其他调用!G$4:G$163,其他调用!$B$4:$B$163,INDEX(其他调用!$C$4:$C$163,$U54,1))</f>
        <v>78.889751572376028</v>
      </c>
      <c r="Z54" s="8">
        <v>6</v>
      </c>
    </row>
    <row r="55" spans="2:26" x14ac:dyDescent="0.15">
      <c r="B55" s="8">
        <v>52</v>
      </c>
      <c r="C55" s="5">
        <v>156</v>
      </c>
      <c r="D55" s="5">
        <f>求节点(其他调用!D$4:D$163,其他调用!$B$4:$B$163,INDEX(其他调用!$C$4:$C$163,$C55,1))</f>
        <v>151.87386680858575</v>
      </c>
      <c r="E55" s="5">
        <f>求节点(其他调用!E$4:E$163,其他调用!$B$4:$B$163,INDEX(其他调用!$C$4:$C$163,$C55,1))</f>
        <v>148.70542536375274</v>
      </c>
      <c r="F55" s="5">
        <f>求节点(其他调用!F$4:F$163,其他调用!$B$4:$B$163,INDEX(其他调用!$C$4:$C$163,$C55,1))</f>
        <v>146.41614684728927</v>
      </c>
      <c r="G55" s="5">
        <f>求节点(其他调用!G$4:G$163,其他调用!$B$4:$B$163,INDEX(其他调用!$C$4:$C$163,$C55,1))</f>
        <v>144.48550825462956</v>
      </c>
      <c r="H55" s="8">
        <v>6</v>
      </c>
      <c r="T55" s="8">
        <v>52</v>
      </c>
      <c r="U55" s="5">
        <v>92.5</v>
      </c>
      <c r="V55" s="5">
        <f>求节点(其他调用!D$4:D$163,其他调用!$B$4:$B$163,INDEX(其他调用!$C$4:$C$163,$U55,1))</f>
        <v>87.949847012563211</v>
      </c>
      <c r="W55" s="5">
        <f>求节点(其他调用!E$4:E$163,其他调用!$B$4:$B$163,INDEX(其他调用!$C$4:$C$163,$U55,1))</f>
        <v>85.444906975781478</v>
      </c>
      <c r="X55" s="5">
        <f>求节点(其他调用!F$4:F$163,其他调用!$B$4:$B$163,INDEX(其他调用!$C$4:$C$163,$U55,1))</f>
        <v>80.599010551446526</v>
      </c>
      <c r="Y55" s="5">
        <f>求节点(其他调用!G$4:G$163,其他调用!$B$4:$B$163,INDEX(其他调用!$C$4:$C$163,$U55,1))</f>
        <v>78.889751572376028</v>
      </c>
      <c r="Z55" s="8">
        <v>6</v>
      </c>
    </row>
    <row r="56" spans="2:26" x14ac:dyDescent="0.15">
      <c r="B56" s="8">
        <v>53</v>
      </c>
      <c r="C56" s="5">
        <v>159</v>
      </c>
      <c r="D56" s="5">
        <f>求节点(其他调用!D$4:D$163,其他调用!$B$4:$B$163,INDEX(其他调用!$C$4:$C$163,$C56,1))</f>
        <v>152.63727744274277</v>
      </c>
      <c r="E56" s="5">
        <f>求节点(其他调用!E$4:E$163,其他调用!$B$4:$B$163,INDEX(其他调用!$C$4:$C$163,$C56,1))</f>
        <v>149.42224420744043</v>
      </c>
      <c r="F56" s="5">
        <f>求节点(其他调用!F$4:F$163,其他调用!$B$4:$B$163,INDEX(其他调用!$C$4:$C$163,$C56,1))</f>
        <v>147.18971508748848</v>
      </c>
      <c r="G56" s="5">
        <f>求节点(其他调用!G$4:G$163,其他调用!$B$4:$B$163,INDEX(其他调用!$C$4:$C$163,$C56,1))</f>
        <v>145.35380447598564</v>
      </c>
      <c r="H56" s="8">
        <v>6</v>
      </c>
      <c r="T56" s="8">
        <v>53</v>
      </c>
      <c r="U56" s="5">
        <v>93</v>
      </c>
      <c r="V56" s="5">
        <f>求节点(其他调用!D$4:D$163,其他调用!$B$4:$B$163,INDEX(其他调用!$C$4:$C$163,$U56,1))</f>
        <v>88.927784790417363</v>
      </c>
      <c r="W56" s="5">
        <f>求节点(其他调用!E$4:E$163,其他调用!$B$4:$B$163,INDEX(其他调用!$C$4:$C$163,$U56,1))</f>
        <v>86.275765726124874</v>
      </c>
      <c r="X56" s="5">
        <f>求节点(其他调用!F$4:F$163,其他调用!$B$4:$B$163,INDEX(其他调用!$C$4:$C$163,$U56,1))</f>
        <v>81.245922578251111</v>
      </c>
      <c r="Y56" s="5">
        <f>求节点(其他调用!G$4:G$163,其他调用!$B$4:$B$163,INDEX(其他调用!$C$4:$C$163,$U56,1))</f>
        <v>79.590620276283289</v>
      </c>
      <c r="Z56" s="8">
        <v>6</v>
      </c>
    </row>
    <row r="57" spans="2:26" x14ac:dyDescent="0.15">
      <c r="C57" s="5"/>
      <c r="D57" s="5"/>
      <c r="E57" s="5"/>
      <c r="F57" s="5"/>
      <c r="G57" s="5"/>
      <c r="T57" s="8">
        <v>54</v>
      </c>
      <c r="U57" s="5">
        <v>93.5</v>
      </c>
      <c r="V57" s="5">
        <f>求节点(其他调用!D$4:D$163,其他调用!$B$4:$B$163,INDEX(其他调用!$C$4:$C$163,$U57,1))</f>
        <v>88.927784790417363</v>
      </c>
      <c r="W57" s="5">
        <f>求节点(其他调用!E$4:E$163,其他调用!$B$4:$B$163,INDEX(其他调用!$C$4:$C$163,$U57,1))</f>
        <v>86.275765726124874</v>
      </c>
      <c r="X57" s="5">
        <f>求节点(其他调用!F$4:F$163,其他调用!$B$4:$B$163,INDEX(其他调用!$C$4:$C$163,$U57,1))</f>
        <v>81.245922578251111</v>
      </c>
      <c r="Y57" s="5">
        <f>求节点(其他调用!G$4:G$163,其他调用!$B$4:$B$163,INDEX(其他调用!$C$4:$C$163,$U57,1))</f>
        <v>79.590620276283289</v>
      </c>
      <c r="Z57" s="8">
        <v>6</v>
      </c>
    </row>
    <row r="58" spans="2:26" x14ac:dyDescent="0.15">
      <c r="C58" s="5"/>
      <c r="D58" s="5"/>
      <c r="E58" s="5"/>
      <c r="F58" s="5"/>
      <c r="G58" s="5"/>
      <c r="T58" s="8">
        <v>55</v>
      </c>
      <c r="U58" s="5">
        <v>94</v>
      </c>
      <c r="V58" s="5">
        <f>求节点(其他调用!D$4:D$163,其他调用!$B$4:$B$163,INDEX(其他调用!$C$4:$C$163,$U58,1))</f>
        <v>89.895986658415694</v>
      </c>
      <c r="W58" s="5">
        <f>求节点(其他调用!E$4:E$163,其他调用!$B$4:$B$163,INDEX(其他调用!$C$4:$C$163,$U58,1))</f>
        <v>87.067385077804047</v>
      </c>
      <c r="X58" s="5">
        <f>求节点(其他调用!F$4:F$163,其他调用!$B$4:$B$163,INDEX(其他调用!$C$4:$C$163,$U58,1))</f>
        <v>81.889414460466156</v>
      </c>
      <c r="Y58" s="5">
        <f>求节点(其他调用!G$4:G$163,其他调用!$B$4:$B$163,INDEX(其他调用!$C$4:$C$163,$U58,1))</f>
        <v>80.248733920725002</v>
      </c>
      <c r="Z58" s="8">
        <v>6</v>
      </c>
    </row>
    <row r="59" spans="2:26" x14ac:dyDescent="0.15">
      <c r="C59" s="5"/>
      <c r="D59" s="5"/>
      <c r="E59" s="5"/>
      <c r="F59" s="5"/>
      <c r="G59" s="5"/>
      <c r="T59" s="8">
        <v>56</v>
      </c>
      <c r="U59" s="5">
        <v>94.5</v>
      </c>
      <c r="V59" s="5">
        <f>求节点(其他调用!D$4:D$163,其他调用!$B$4:$B$163,INDEX(其他调用!$C$4:$C$163,$U59,1))</f>
        <v>89.895986658415694</v>
      </c>
      <c r="W59" s="5">
        <f>求节点(其他调用!E$4:E$163,其他调用!$B$4:$B$163,INDEX(其他调用!$C$4:$C$163,$U59,1))</f>
        <v>87.067385077804047</v>
      </c>
      <c r="X59" s="5">
        <f>求节点(其他调用!F$4:F$163,其他调用!$B$4:$B$163,INDEX(其他调用!$C$4:$C$163,$U59,1))</f>
        <v>81.889414460466156</v>
      </c>
      <c r="Y59" s="5">
        <f>求节点(其他调用!G$4:G$163,其他调用!$B$4:$B$163,INDEX(其他调用!$C$4:$C$163,$U59,1))</f>
        <v>80.248733920725002</v>
      </c>
      <c r="Z59" s="8">
        <v>6</v>
      </c>
    </row>
    <row r="60" spans="2:26" x14ac:dyDescent="0.15">
      <c r="T60" s="8">
        <v>57</v>
      </c>
      <c r="U60" s="5">
        <v>95</v>
      </c>
      <c r="V60" s="5">
        <f>求节点(其他调用!D$4:D$163,其他调用!$B$4:$B$163,INDEX(其他调用!$C$4:$C$163,$U60,1))</f>
        <v>90.74751572184924</v>
      </c>
      <c r="W60" s="5">
        <f>求节点(其他调用!E$4:E$163,其他调用!$B$4:$B$163,INDEX(其他调用!$C$4:$C$163,$U60,1))</f>
        <v>87.860465812970062</v>
      </c>
      <c r="X60" s="5">
        <f>求节点(其他调用!F$4:F$163,其他调用!$B$4:$B$163,INDEX(其他调用!$C$4:$C$163,$U60,1))</f>
        <v>82.582528445091057</v>
      </c>
      <c r="Y60" s="5">
        <f>求节点(其他调用!G$4:G$163,其他调用!$B$4:$B$163,INDEX(其他调用!$C$4:$C$163,$U60,1))</f>
        <v>80.875888467088288</v>
      </c>
      <c r="Z60" s="8">
        <v>6</v>
      </c>
    </row>
    <row r="61" spans="2:26" x14ac:dyDescent="0.15">
      <c r="T61" s="8">
        <v>58</v>
      </c>
      <c r="U61" s="5">
        <v>95.5</v>
      </c>
      <c r="V61" s="5">
        <f>求节点(其他调用!D$4:D$163,其他调用!$B$4:$B$163,INDEX(其他调用!$C$4:$C$163,$U61,1))</f>
        <v>90.74751572184924</v>
      </c>
      <c r="W61" s="5">
        <f>求节点(其他调用!E$4:E$163,其他调用!$B$4:$B$163,INDEX(其他调用!$C$4:$C$163,$U61,1))</f>
        <v>87.860465812970062</v>
      </c>
      <c r="X61" s="5">
        <f>求节点(其他调用!F$4:F$163,其他调用!$B$4:$B$163,INDEX(其他调用!$C$4:$C$163,$U61,1))</f>
        <v>82.582528445091057</v>
      </c>
      <c r="Y61" s="5">
        <f>求节点(其他调用!G$4:G$163,其他调用!$B$4:$B$163,INDEX(其他调用!$C$4:$C$163,$U61,1))</f>
        <v>80.875888467088288</v>
      </c>
      <c r="Z61" s="8">
        <v>6</v>
      </c>
    </row>
    <row r="62" spans="2:26" x14ac:dyDescent="0.15">
      <c r="T62" s="8">
        <v>59</v>
      </c>
      <c r="U62" s="5">
        <v>96</v>
      </c>
      <c r="V62" s="5">
        <f>求节点(其他调用!D$4:D$163,其他调用!$B$4:$B$163,INDEX(其他调用!$C$4:$C$163,$U62,1))</f>
        <v>91.672812846011965</v>
      </c>
      <c r="W62" s="5">
        <f>求节点(其他调用!E$4:E$163,其他调用!$B$4:$B$163,INDEX(其他调用!$C$4:$C$163,$U62,1))</f>
        <v>88.70448692011675</v>
      </c>
      <c r="X62" s="5">
        <f>求节点(其他调用!F$4:F$163,其他调用!$B$4:$B$163,INDEX(其他调用!$C$4:$C$163,$U62,1))</f>
        <v>83.342406179560157</v>
      </c>
      <c r="Y62" s="5">
        <f>求节点(其他调用!G$4:G$163,其他调用!$B$4:$B$163,INDEX(其他调用!$C$4:$C$163,$U62,1))</f>
        <v>81.54008445601815</v>
      </c>
      <c r="Z62" s="8">
        <v>6</v>
      </c>
    </row>
    <row r="63" spans="2:26" x14ac:dyDescent="0.15">
      <c r="T63" s="8">
        <v>60</v>
      </c>
      <c r="U63" s="5">
        <v>96.5</v>
      </c>
      <c r="V63" s="5">
        <f>求节点(其他调用!D$4:D$163,其他调用!$B$4:$B$163,INDEX(其他调用!$C$4:$C$163,$U63,1))</f>
        <v>91.672812846011965</v>
      </c>
      <c r="W63" s="5">
        <f>求节点(其他调用!E$4:E$163,其他调用!$B$4:$B$163,INDEX(其他调用!$C$4:$C$163,$U63,1))</f>
        <v>88.70448692011675</v>
      </c>
      <c r="X63" s="5">
        <f>求节点(其他调用!F$4:F$163,其他调用!$B$4:$B$163,INDEX(其他调用!$C$4:$C$163,$U63,1))</f>
        <v>83.342406179560157</v>
      </c>
      <c r="Y63" s="5">
        <f>求节点(其他调用!G$4:G$163,其他调用!$B$4:$B$163,INDEX(其他调用!$C$4:$C$163,$U63,1))</f>
        <v>81.54008445601815</v>
      </c>
      <c r="Z63" s="8">
        <v>6</v>
      </c>
    </row>
    <row r="64" spans="2:26" x14ac:dyDescent="0.15">
      <c r="T64" s="8">
        <v>61</v>
      </c>
      <c r="U64" s="5">
        <v>97</v>
      </c>
      <c r="V64" s="5">
        <f>求节点(其他调用!D$4:D$163,其他调用!$B$4:$B$163,INDEX(其他调用!$C$4:$C$163,$U64,1))</f>
        <v>92.778446829981704</v>
      </c>
      <c r="W64" s="5">
        <f>求节点(其他调用!E$4:E$163,其他调用!$B$4:$B$163,INDEX(其他调用!$C$4:$C$163,$U64,1))</f>
        <v>89.64002171717911</v>
      </c>
      <c r="X64" s="5">
        <f>求节点(其他调用!F$4:F$163,其他调用!$B$4:$B$163,INDEX(其他调用!$C$4:$C$163,$U64,1))</f>
        <v>84.26842541312628</v>
      </c>
      <c r="Y64" s="5">
        <f>求节点(其他调用!G$4:G$163,其他调用!$B$4:$B$163,INDEX(其他调用!$C$4:$C$163,$U64,1))</f>
        <v>82.393908950588866</v>
      </c>
      <c r="Z64" s="8">
        <v>6</v>
      </c>
    </row>
    <row r="65" spans="20:26" x14ac:dyDescent="0.15">
      <c r="T65" s="8">
        <v>62</v>
      </c>
      <c r="U65" s="5">
        <v>97.5</v>
      </c>
      <c r="V65" s="5">
        <f>求节点(其他调用!D$4:D$163,其他调用!$B$4:$B$163,INDEX(其他调用!$C$4:$C$163,$U65,1))</f>
        <v>92.778446829981704</v>
      </c>
      <c r="W65" s="5">
        <f>求节点(其他调用!E$4:E$163,其他调用!$B$4:$B$163,INDEX(其他调用!$C$4:$C$163,$U65,1))</f>
        <v>89.64002171717911</v>
      </c>
      <c r="X65" s="5">
        <f>求节点(其他调用!F$4:F$163,其他调用!$B$4:$B$163,INDEX(其他调用!$C$4:$C$163,$U65,1))</f>
        <v>84.26842541312628</v>
      </c>
      <c r="Y65" s="5">
        <f>求节点(其他调用!G$4:G$163,其他调用!$B$4:$B$163,INDEX(其他调用!$C$4:$C$163,$U65,1))</f>
        <v>82.393908950588866</v>
      </c>
      <c r="Z65" s="8">
        <v>6</v>
      </c>
    </row>
    <row r="66" spans="20:26" x14ac:dyDescent="0.15">
      <c r="T66" s="8">
        <v>63</v>
      </c>
      <c r="U66" s="5">
        <v>98</v>
      </c>
      <c r="V66" s="5">
        <f>求节点(其他调用!D$4:D$163,其他调用!$B$4:$B$163,INDEX(其他调用!$C$4:$C$163,$U66,1))</f>
        <v>93.780653926699415</v>
      </c>
      <c r="W66" s="5">
        <f>求节点(其他调用!E$4:E$163,其他调用!$B$4:$B$163,INDEX(其他调用!$C$4:$C$163,$U66,1))</f>
        <v>90.524602733848297</v>
      </c>
      <c r="X66" s="5">
        <f>求节点(其他调用!F$4:F$163,其他调用!$B$4:$B$163,INDEX(其他调用!$C$4:$C$163,$U66,1))</f>
        <v>85.231556461234675</v>
      </c>
      <c r="Y66" s="5">
        <f>求节点(其他调用!G$4:G$163,其他调用!$B$4:$B$163,INDEX(其他调用!$C$4:$C$163,$U66,1))</f>
        <v>83.303057373261709</v>
      </c>
      <c r="Z66" s="8">
        <v>6</v>
      </c>
    </row>
    <row r="67" spans="20:26" x14ac:dyDescent="0.15">
      <c r="T67" s="8">
        <v>64</v>
      </c>
      <c r="U67" s="5">
        <v>98.5</v>
      </c>
      <c r="V67" s="5">
        <f>求节点(其他调用!D$4:D$163,其他调用!$B$4:$B$163,INDEX(其他调用!$C$4:$C$163,$U67,1))</f>
        <v>93.780653926699415</v>
      </c>
      <c r="W67" s="5">
        <f>求节点(其他调用!E$4:E$163,其他调用!$B$4:$B$163,INDEX(其他调用!$C$4:$C$163,$U67,1))</f>
        <v>90.524602733848297</v>
      </c>
      <c r="X67" s="5">
        <f>求节点(其他调用!F$4:F$163,其他调用!$B$4:$B$163,INDEX(其他调用!$C$4:$C$163,$U67,1))</f>
        <v>85.231556461234675</v>
      </c>
      <c r="Y67" s="5">
        <f>求节点(其他调用!G$4:G$163,其他调用!$B$4:$B$163,INDEX(其他调用!$C$4:$C$163,$U67,1))</f>
        <v>83.303057373261709</v>
      </c>
      <c r="Z67" s="8">
        <v>6</v>
      </c>
    </row>
    <row r="68" spans="20:26" x14ac:dyDescent="0.15">
      <c r="T68" s="8">
        <v>65</v>
      </c>
      <c r="U68" s="5">
        <v>99</v>
      </c>
      <c r="V68" s="5">
        <f>求节点(其他调用!D$4:D$163,其他调用!$B$4:$B$163,INDEX(其他调用!$C$4:$C$163,$U68,1))</f>
        <v>94.679031394309504</v>
      </c>
      <c r="W68" s="5">
        <f>求节点(其他调用!E$4:E$163,其他调用!$B$4:$B$163,INDEX(其他调用!$C$4:$C$163,$U68,1))</f>
        <v>91.372787090009808</v>
      </c>
      <c r="X68" s="5">
        <f>求节点(其他调用!F$4:F$163,其他调用!$B$4:$B$163,INDEX(其他调用!$C$4:$C$163,$U68,1))</f>
        <v>86.153102206933823</v>
      </c>
      <c r="Y68" s="5">
        <f>求节点(其他调用!G$4:G$163,其他调用!$B$4:$B$163,INDEX(其他调用!$C$4:$C$163,$U68,1))</f>
        <v>84.175263525571935</v>
      </c>
      <c r="Z68" s="8">
        <v>6</v>
      </c>
    </row>
    <row r="69" spans="20:26" x14ac:dyDescent="0.15">
      <c r="T69" s="8">
        <v>66</v>
      </c>
      <c r="U69" s="5">
        <v>99.5</v>
      </c>
      <c r="V69" s="5">
        <f>求节点(其他调用!D$4:D$163,其他调用!$B$4:$B$163,INDEX(其他调用!$C$4:$C$163,$U69,1))</f>
        <v>94.679031394309504</v>
      </c>
      <c r="W69" s="5">
        <f>求节点(其他调用!E$4:E$163,其他调用!$B$4:$B$163,INDEX(其他调用!$C$4:$C$163,$U69,1))</f>
        <v>91.372787090009808</v>
      </c>
      <c r="X69" s="5">
        <f>求节点(其他调用!F$4:F$163,其他调用!$B$4:$B$163,INDEX(其他调用!$C$4:$C$163,$U69,1))</f>
        <v>86.153102206933823</v>
      </c>
      <c r="Y69" s="5">
        <f>求节点(其他调用!G$4:G$163,其他调用!$B$4:$B$163,INDEX(其他调用!$C$4:$C$163,$U69,1))</f>
        <v>84.175263525571935</v>
      </c>
      <c r="Z69" s="8">
        <v>6</v>
      </c>
    </row>
    <row r="70" spans="20:26" x14ac:dyDescent="0.15">
      <c r="T70" s="8">
        <v>67</v>
      </c>
      <c r="U70" s="5">
        <v>100</v>
      </c>
      <c r="V70" s="5">
        <f>求节点(其他调用!D$4:D$163,其他调用!$B$4:$B$163,INDEX(其他调用!$C$4:$C$163,$U70,1))</f>
        <v>95.48701190351899</v>
      </c>
      <c r="W70" s="5">
        <f>求节点(其他调用!E$4:E$163,其他调用!$B$4:$B$163,INDEX(其他调用!$C$4:$C$163,$U70,1))</f>
        <v>92.219684252613575</v>
      </c>
      <c r="X70" s="5">
        <f>求节点(其他调用!F$4:F$163,其他调用!$B$4:$B$163,INDEX(其他调用!$C$4:$C$163,$U70,1))</f>
        <v>87.091024268689523</v>
      </c>
      <c r="Y70" s="5">
        <f>求节点(其他调用!G$4:G$163,其他调用!$B$4:$B$163,INDEX(其他调用!$C$4:$C$163,$U70,1))</f>
        <v>85.071066682771459</v>
      </c>
      <c r="Z70" s="8">
        <v>6</v>
      </c>
    </row>
    <row r="71" spans="20:26" x14ac:dyDescent="0.15">
      <c r="T71" s="8">
        <v>68</v>
      </c>
      <c r="U71" s="5">
        <v>100.5</v>
      </c>
      <c r="V71" s="5">
        <f>求节点(其他调用!D$4:D$163,其他调用!$B$4:$B$163,INDEX(其他调用!$C$4:$C$163,$U71,1))</f>
        <v>95.48701190351899</v>
      </c>
      <c r="W71" s="5">
        <f>求节点(其他调用!E$4:E$163,其他调用!$B$4:$B$163,INDEX(其他调用!$C$4:$C$163,$U71,1))</f>
        <v>92.219684252613575</v>
      </c>
      <c r="X71" s="5">
        <f>求节点(其他调用!F$4:F$163,其他调用!$B$4:$B$163,INDEX(其他调用!$C$4:$C$163,$U71,1))</f>
        <v>87.091024268689523</v>
      </c>
      <c r="Y71" s="5">
        <f>求节点(其他调用!G$4:G$163,其他调用!$B$4:$B$163,INDEX(其他调用!$C$4:$C$163,$U71,1))</f>
        <v>85.071066682771459</v>
      </c>
      <c r="Z71" s="8">
        <v>6</v>
      </c>
    </row>
    <row r="72" spans="20:26" x14ac:dyDescent="0.15">
      <c r="T72" s="8">
        <v>69</v>
      </c>
      <c r="U72" s="5">
        <v>101</v>
      </c>
      <c r="V72" s="5">
        <f>求节点(其他调用!D$4:D$163,其他调用!$B$4:$B$163,INDEX(其他调用!$C$4:$C$163,$U72,1))</f>
        <v>96.449136123963513</v>
      </c>
      <c r="W72" s="5">
        <f>求节点(其他调用!E$4:E$163,其他调用!$B$4:$B$163,INDEX(其他调用!$C$4:$C$163,$U72,1))</f>
        <v>93.171275233771965</v>
      </c>
      <c r="X72" s="5">
        <f>求节点(其他调用!F$4:F$163,其他调用!$B$4:$B$163,INDEX(其他调用!$C$4:$C$163,$U72,1))</f>
        <v>88.175417227743324</v>
      </c>
      <c r="Y72" s="5">
        <f>求节点(其他调用!G$4:G$163,其他调用!$B$4:$B$163,INDEX(其他调用!$C$4:$C$163,$U72,1))</f>
        <v>86.243987441994719</v>
      </c>
      <c r="Z72" s="8">
        <v>6</v>
      </c>
    </row>
    <row r="73" spans="20:26" x14ac:dyDescent="0.15">
      <c r="T73" s="8">
        <v>70</v>
      </c>
      <c r="U73" s="5">
        <v>101.5</v>
      </c>
      <c r="V73" s="5">
        <f>求节点(其他调用!D$4:D$163,其他调用!$B$4:$B$163,INDEX(其他调用!$C$4:$C$163,$U73,1))</f>
        <v>96.449136123963513</v>
      </c>
      <c r="W73" s="5">
        <f>求节点(其他调用!E$4:E$163,其他调用!$B$4:$B$163,INDEX(其他调用!$C$4:$C$163,$U73,1))</f>
        <v>93.171275233771965</v>
      </c>
      <c r="X73" s="5">
        <f>求节点(其他调用!F$4:F$163,其他调用!$B$4:$B$163,INDEX(其他调用!$C$4:$C$163,$U73,1))</f>
        <v>88.175417227743324</v>
      </c>
      <c r="Y73" s="5">
        <f>求节点(其他调用!G$4:G$163,其他调用!$B$4:$B$163,INDEX(其他调用!$C$4:$C$163,$U73,1))</f>
        <v>86.243987441994719</v>
      </c>
      <c r="Z73" s="8">
        <v>6</v>
      </c>
    </row>
    <row r="74" spans="20:26" x14ac:dyDescent="0.15">
      <c r="T74" s="8">
        <v>71</v>
      </c>
      <c r="U74" s="5">
        <v>102</v>
      </c>
      <c r="V74" s="5">
        <f>求节点(其他调用!D$4:D$163,其他调用!$B$4:$B$163,INDEX(其他调用!$C$4:$C$163,$U74,1))</f>
        <v>97.465865579785472</v>
      </c>
      <c r="W74" s="5">
        <f>求节点(其他调用!E$4:E$163,其他调用!$B$4:$B$163,INDEX(其他调用!$C$4:$C$163,$U74,1))</f>
        <v>94.009367528122809</v>
      </c>
      <c r="X74" s="5">
        <f>求节点(其他调用!F$4:F$163,其他调用!$B$4:$B$163,INDEX(其他调用!$C$4:$C$163,$U74,1))</f>
        <v>89.141783644113488</v>
      </c>
      <c r="Y74" s="5">
        <f>求节点(其他调用!G$4:G$163,其他调用!$B$4:$B$163,INDEX(其他调用!$C$4:$C$163,$U74,1))</f>
        <v>87.273195101386762</v>
      </c>
      <c r="Z74" s="8">
        <v>6</v>
      </c>
    </row>
    <row r="75" spans="20:26" x14ac:dyDescent="0.15">
      <c r="T75" s="8">
        <v>72</v>
      </c>
      <c r="U75" s="5">
        <v>102.5</v>
      </c>
      <c r="V75" s="5">
        <f>求节点(其他调用!D$4:D$163,其他调用!$B$4:$B$163,INDEX(其他调用!$C$4:$C$163,$U75,1))</f>
        <v>97.465865579785472</v>
      </c>
      <c r="W75" s="5">
        <f>求节点(其他调用!E$4:E$163,其他调用!$B$4:$B$163,INDEX(其他调用!$C$4:$C$163,$U75,1))</f>
        <v>94.009367528122809</v>
      </c>
      <c r="X75" s="5">
        <f>求节点(其他调用!F$4:F$163,其他调用!$B$4:$B$163,INDEX(其他调用!$C$4:$C$163,$U75,1))</f>
        <v>89.141783644113488</v>
      </c>
      <c r="Y75" s="5">
        <f>求节点(其他调用!G$4:G$163,其他调用!$B$4:$B$163,INDEX(其他调用!$C$4:$C$163,$U75,1))</f>
        <v>87.273195101386762</v>
      </c>
      <c r="Z75" s="8">
        <v>6</v>
      </c>
    </row>
    <row r="76" spans="20:26" x14ac:dyDescent="0.15">
      <c r="T76" s="8">
        <v>73</v>
      </c>
      <c r="U76" s="5">
        <v>103</v>
      </c>
      <c r="V76" s="5">
        <f>求节点(其他调用!D$4:D$163,其他调用!$B$4:$B$163,INDEX(其他调用!$C$4:$C$163,$U76,1))</f>
        <v>98.674480821959577</v>
      </c>
      <c r="W76" s="5">
        <f>求节点(其他调用!E$4:E$163,其他调用!$B$4:$B$163,INDEX(其他调用!$C$4:$C$163,$U76,1))</f>
        <v>94.907415027309796</v>
      </c>
      <c r="X76" s="5">
        <f>求节点(其他调用!F$4:F$163,其他调用!$B$4:$B$163,INDEX(其他调用!$C$4:$C$163,$U76,1))</f>
        <v>90.189224604556969</v>
      </c>
      <c r="Y76" s="5">
        <f>求节点(其他调用!G$4:G$163,其他调用!$B$4:$B$163,INDEX(其他调用!$C$4:$C$163,$U76,1))</f>
        <v>88.347562347642864</v>
      </c>
      <c r="Z76" s="8">
        <v>6</v>
      </c>
    </row>
    <row r="77" spans="20:26" x14ac:dyDescent="0.15">
      <c r="T77" s="8">
        <v>74</v>
      </c>
      <c r="U77" s="5">
        <v>103.5</v>
      </c>
      <c r="V77" s="5">
        <f>求节点(其他调用!D$4:D$163,其他调用!$B$4:$B$163,INDEX(其他调用!$C$4:$C$163,$U77,1))</f>
        <v>98.674480821959577</v>
      </c>
      <c r="W77" s="5">
        <f>求节点(其他调用!E$4:E$163,其他调用!$B$4:$B$163,INDEX(其他调用!$C$4:$C$163,$U77,1))</f>
        <v>94.907415027309796</v>
      </c>
      <c r="X77" s="5">
        <f>求节点(其他调用!F$4:F$163,其他调用!$B$4:$B$163,INDEX(其他调用!$C$4:$C$163,$U77,1))</f>
        <v>90.189224604556969</v>
      </c>
      <c r="Y77" s="5">
        <f>求节点(其他调用!G$4:G$163,其他调用!$B$4:$B$163,INDEX(其他调用!$C$4:$C$163,$U77,1))</f>
        <v>88.347562347642864</v>
      </c>
      <c r="Z77" s="8">
        <v>6</v>
      </c>
    </row>
    <row r="78" spans="20:26" x14ac:dyDescent="0.15">
      <c r="T78" s="8">
        <v>75</v>
      </c>
      <c r="U78" s="5">
        <v>104</v>
      </c>
      <c r="V78" s="5">
        <f>求节点(其他调用!D$4:D$163,其他调用!$B$4:$B$163,INDEX(其他调用!$C$4:$C$163,$U78,1))</f>
        <v>99.9677822763378</v>
      </c>
      <c r="W78" s="5">
        <f>求节点(其他调用!E$4:E$163,其他调用!$B$4:$B$163,INDEX(其他调用!$C$4:$C$163,$U78,1))</f>
        <v>95.846813367141763</v>
      </c>
      <c r="X78" s="5">
        <f>求节点(其他调用!F$4:F$163,其他调用!$B$4:$B$163,INDEX(其他调用!$C$4:$C$163,$U78,1))</f>
        <v>91.455110869004386</v>
      </c>
      <c r="Y78" s="5">
        <f>求节点(其他调用!G$4:G$163,其他调用!$B$4:$B$163,INDEX(其他调用!$C$4:$C$163,$U78,1))</f>
        <v>89.433597705017277</v>
      </c>
      <c r="Z78" s="8">
        <v>6</v>
      </c>
    </row>
    <row r="79" spans="20:26" x14ac:dyDescent="0.15">
      <c r="T79" s="8">
        <v>76</v>
      </c>
      <c r="U79" s="5">
        <v>104.5</v>
      </c>
      <c r="V79" s="5">
        <f>求节点(其他调用!D$4:D$163,其他调用!$B$4:$B$163,INDEX(其他调用!$C$4:$C$163,$U79,1))</f>
        <v>99.9677822763378</v>
      </c>
      <c r="W79" s="5">
        <f>求节点(其他调用!E$4:E$163,其他调用!$B$4:$B$163,INDEX(其他调用!$C$4:$C$163,$U79,1))</f>
        <v>95.846813367141763</v>
      </c>
      <c r="X79" s="5">
        <f>求节点(其他调用!F$4:F$163,其他调用!$B$4:$B$163,INDEX(其他调用!$C$4:$C$163,$U79,1))</f>
        <v>91.455110869004386</v>
      </c>
      <c r="Y79" s="5">
        <f>求节点(其他调用!G$4:G$163,其他调用!$B$4:$B$163,INDEX(其他调用!$C$4:$C$163,$U79,1))</f>
        <v>89.433597705017277</v>
      </c>
      <c r="Z79" s="8">
        <v>6</v>
      </c>
    </row>
    <row r="80" spans="20:26" x14ac:dyDescent="0.15">
      <c r="T80" s="8">
        <v>77</v>
      </c>
      <c r="U80" s="5">
        <v>105</v>
      </c>
      <c r="V80" s="5">
        <f>求节点(其他调用!D$4:D$163,其他调用!$B$4:$B$163,INDEX(其他调用!$C$4:$C$163,$U80,1))</f>
        <v>100.91893418037404</v>
      </c>
      <c r="W80" s="5">
        <f>求节点(其他调用!E$4:E$163,其他调用!$B$4:$B$163,INDEX(其他调用!$C$4:$C$163,$U80,1))</f>
        <v>96.738615095340649</v>
      </c>
      <c r="X80" s="5">
        <f>求节点(其他调用!F$4:F$163,其他调用!$B$4:$B$163,INDEX(其他调用!$C$4:$C$163,$U80,1))</f>
        <v>92.54513723172272</v>
      </c>
      <c r="Y80" s="5">
        <f>求节点(其他调用!G$4:G$163,其他调用!$B$4:$B$163,INDEX(其他调用!$C$4:$C$163,$U80,1))</f>
        <v>90.54018874100781</v>
      </c>
      <c r="Z80" s="8">
        <v>6</v>
      </c>
    </row>
    <row r="81" spans="20:26" x14ac:dyDescent="0.15">
      <c r="T81" s="8">
        <v>78</v>
      </c>
      <c r="U81" s="5">
        <v>105.5</v>
      </c>
      <c r="V81" s="5">
        <f>求节点(其他调用!D$4:D$163,其他调用!$B$4:$B$163,INDEX(其他调用!$C$4:$C$163,$U81,1))</f>
        <v>100.91893418037404</v>
      </c>
      <c r="W81" s="5">
        <f>求节点(其他调用!E$4:E$163,其他调用!$B$4:$B$163,INDEX(其他调用!$C$4:$C$163,$U81,1))</f>
        <v>96.738615095340649</v>
      </c>
      <c r="X81" s="5">
        <f>求节点(其他调用!F$4:F$163,其他调用!$B$4:$B$163,INDEX(其他调用!$C$4:$C$163,$U81,1))</f>
        <v>92.54513723172272</v>
      </c>
      <c r="Y81" s="5">
        <f>求节点(其他调用!G$4:G$163,其他调用!$B$4:$B$163,INDEX(其他调用!$C$4:$C$163,$U81,1))</f>
        <v>90.54018874100781</v>
      </c>
      <c r="Z81" s="8">
        <v>6</v>
      </c>
    </row>
    <row r="82" spans="20:26" x14ac:dyDescent="0.15">
      <c r="T82" s="8">
        <v>79</v>
      </c>
      <c r="U82" s="5">
        <v>106</v>
      </c>
      <c r="V82" s="5">
        <f>求节点(其他调用!D$4:D$163,其他调用!$B$4:$B$163,INDEX(其他调用!$C$4:$C$163,$U82,1))</f>
        <v>101.88990170759035</v>
      </c>
      <c r="W82" s="5">
        <f>求节点(其他调用!E$4:E$163,其他调用!$B$4:$B$163,INDEX(其他调用!$C$4:$C$163,$U82,1))</f>
        <v>97.675147504667521</v>
      </c>
      <c r="X82" s="5">
        <f>求节点(其他调用!F$4:F$163,其他调用!$B$4:$B$163,INDEX(其他调用!$C$4:$C$163,$U82,1))</f>
        <v>93.625375386449747</v>
      </c>
      <c r="Y82" s="5">
        <f>求节点(其他调用!G$4:G$163,其他调用!$B$4:$B$163,INDEX(其他调用!$C$4:$C$163,$U82,1))</f>
        <v>91.834563620174251</v>
      </c>
      <c r="Z82" s="8">
        <v>6</v>
      </c>
    </row>
    <row r="83" spans="20:26" x14ac:dyDescent="0.15">
      <c r="T83" s="8">
        <v>80</v>
      </c>
      <c r="U83" s="5">
        <v>106.5</v>
      </c>
      <c r="V83" s="5">
        <f>求节点(其他调用!D$4:D$163,其他调用!$B$4:$B$163,INDEX(其他调用!$C$4:$C$163,$U83,1))</f>
        <v>101.88990170759035</v>
      </c>
      <c r="W83" s="5">
        <f>求节点(其他调用!E$4:E$163,其他调用!$B$4:$B$163,INDEX(其他调用!$C$4:$C$163,$U83,1))</f>
        <v>97.675147504667521</v>
      </c>
      <c r="X83" s="5">
        <f>求节点(其他调用!F$4:F$163,其他调用!$B$4:$B$163,INDEX(其他调用!$C$4:$C$163,$U83,1))</f>
        <v>93.625375386449747</v>
      </c>
      <c r="Y83" s="5">
        <f>求节点(其他调用!G$4:G$163,其他调用!$B$4:$B$163,INDEX(其他调用!$C$4:$C$163,$U83,1))</f>
        <v>91.834563620174251</v>
      </c>
      <c r="Z83" s="8">
        <v>6</v>
      </c>
    </row>
    <row r="84" spans="20:26" x14ac:dyDescent="0.15">
      <c r="T84" s="8">
        <v>81</v>
      </c>
      <c r="U84" s="5">
        <v>107</v>
      </c>
      <c r="V84" s="5">
        <f>求节点(其他调用!D$4:D$163,其他调用!$B$4:$B$163,INDEX(其他调用!$C$4:$C$163,$U84,1))</f>
        <v>102.87198001708803</v>
      </c>
      <c r="W84" s="5">
        <f>求节点(其他调用!E$4:E$163,其他调用!$B$4:$B$163,INDEX(其他调用!$C$4:$C$163,$U84,1))</f>
        <v>98.630136611328226</v>
      </c>
      <c r="X84" s="5">
        <f>求节点(其他调用!F$4:F$163,其他调用!$B$4:$B$163,INDEX(其他调用!$C$4:$C$163,$U84,1))</f>
        <v>94.839476632825665</v>
      </c>
      <c r="Y84" s="5">
        <f>求节点(其他调用!G$4:G$163,其他调用!$B$4:$B$163,INDEX(其他调用!$C$4:$C$163,$U84,1))</f>
        <v>93.146822573230139</v>
      </c>
      <c r="Z84" s="8">
        <v>6</v>
      </c>
    </row>
    <row r="85" spans="20:26" x14ac:dyDescent="0.15">
      <c r="T85" s="8">
        <v>82</v>
      </c>
      <c r="U85" s="5">
        <v>107.5</v>
      </c>
      <c r="V85" s="5">
        <f>求节点(其他调用!D$4:D$163,其他调用!$B$4:$B$163,INDEX(其他调用!$C$4:$C$163,$U85,1))</f>
        <v>102.87198001708803</v>
      </c>
      <c r="W85" s="5">
        <f>求节点(其他调用!E$4:E$163,其他调用!$B$4:$B$163,INDEX(其他调用!$C$4:$C$163,$U85,1))</f>
        <v>98.630136611328226</v>
      </c>
      <c r="X85" s="5">
        <f>求节点(其他调用!F$4:F$163,其他调用!$B$4:$B$163,INDEX(其他调用!$C$4:$C$163,$U85,1))</f>
        <v>94.839476632825665</v>
      </c>
      <c r="Y85" s="5">
        <f>求节点(其他调用!G$4:G$163,其他调用!$B$4:$B$163,INDEX(其他调用!$C$4:$C$163,$U85,1))</f>
        <v>93.146822573230139</v>
      </c>
      <c r="Z85" s="8">
        <v>6</v>
      </c>
    </row>
    <row r="86" spans="20:26" x14ac:dyDescent="0.15">
      <c r="T86" s="8">
        <v>83</v>
      </c>
      <c r="U86" s="5">
        <v>108</v>
      </c>
      <c r="V86" s="5">
        <f>求节点(其他调用!D$4:D$163,其他调用!$B$4:$B$163,INDEX(其他调用!$C$4:$C$163,$U86,1))</f>
        <v>103.89217009964835</v>
      </c>
      <c r="W86" s="5">
        <f>求节点(其他调用!E$4:E$163,其他调用!$B$4:$B$163,INDEX(其他调用!$C$4:$C$163,$U86,1))</f>
        <v>99.578871424921473</v>
      </c>
      <c r="X86" s="5">
        <f>求节点(其他调用!F$4:F$163,其他调用!$B$4:$B$163,INDEX(其他调用!$C$4:$C$163,$U86,1))</f>
        <v>96.201011854262731</v>
      </c>
      <c r="Y86" s="5">
        <f>求节点(其他调用!G$4:G$163,其他调用!$B$4:$B$163,INDEX(其他调用!$C$4:$C$163,$U86,1))</f>
        <v>94.584911989495296</v>
      </c>
      <c r="Z86" s="8">
        <v>6</v>
      </c>
    </row>
    <row r="87" spans="20:26" x14ac:dyDescent="0.15">
      <c r="T87" s="8">
        <v>84</v>
      </c>
      <c r="U87" s="5">
        <v>108.5</v>
      </c>
      <c r="V87" s="5">
        <f>求节点(其他调用!D$4:D$163,其他调用!$B$4:$B$163,INDEX(其他调用!$C$4:$C$163,$U87,1))</f>
        <v>103.89217009964835</v>
      </c>
      <c r="W87" s="5">
        <f>求节点(其他调用!E$4:E$163,其他调用!$B$4:$B$163,INDEX(其他调用!$C$4:$C$163,$U87,1))</f>
        <v>99.578871424921473</v>
      </c>
      <c r="X87" s="5">
        <f>求节点(其他调用!F$4:F$163,其他调用!$B$4:$B$163,INDEX(其他调用!$C$4:$C$163,$U87,1))</f>
        <v>96.201011854262731</v>
      </c>
      <c r="Y87" s="5">
        <f>求节点(其他调用!G$4:G$163,其他调用!$B$4:$B$163,INDEX(其他调用!$C$4:$C$163,$U87,1))</f>
        <v>94.584911989495296</v>
      </c>
      <c r="Z87" s="8">
        <v>6</v>
      </c>
    </row>
    <row r="88" spans="20:26" x14ac:dyDescent="0.15">
      <c r="T88" s="8">
        <v>85</v>
      </c>
      <c r="U88" s="5">
        <v>109</v>
      </c>
      <c r="V88" s="5">
        <f>求节点(其他调用!D$4:D$163,其他调用!$B$4:$B$163,INDEX(其他调用!$C$4:$C$163,$U88,1))</f>
        <v>104.93924437814054</v>
      </c>
      <c r="W88" s="5">
        <f>求节点(其他调用!E$4:E$163,其他调用!$B$4:$B$163,INDEX(其他调用!$C$4:$C$163,$U88,1))</f>
        <v>100.83868770127035</v>
      </c>
      <c r="X88" s="5">
        <f>求节点(其他调用!F$4:F$163,其他调用!$B$4:$B$163,INDEX(其他调用!$C$4:$C$163,$U88,1))</f>
        <v>97.603180790850146</v>
      </c>
      <c r="Y88" s="5">
        <f>求节点(其他调用!G$4:G$163,其他调用!$B$4:$B$163,INDEX(其他调用!$C$4:$C$163,$U88,1))</f>
        <v>96.291128615268164</v>
      </c>
      <c r="Z88" s="8">
        <v>6</v>
      </c>
    </row>
    <row r="89" spans="20:26" x14ac:dyDescent="0.15">
      <c r="T89" s="8">
        <v>86</v>
      </c>
      <c r="U89" s="5">
        <v>109.5</v>
      </c>
      <c r="V89" s="5">
        <f>求节点(其他调用!D$4:D$163,其他调用!$B$4:$B$163,INDEX(其他调用!$C$4:$C$163,$U89,1))</f>
        <v>104.93924437814054</v>
      </c>
      <c r="W89" s="5">
        <f>求节点(其他调用!E$4:E$163,其他调用!$B$4:$B$163,INDEX(其他调用!$C$4:$C$163,$U89,1))</f>
        <v>100.83868770127035</v>
      </c>
      <c r="X89" s="5">
        <f>求节点(其他调用!F$4:F$163,其他调用!$B$4:$B$163,INDEX(其他调用!$C$4:$C$163,$U89,1))</f>
        <v>97.603180790850146</v>
      </c>
      <c r="Y89" s="5">
        <f>求节点(其他调用!G$4:G$163,其他调用!$B$4:$B$163,INDEX(其他调用!$C$4:$C$163,$U89,1))</f>
        <v>96.291128615268164</v>
      </c>
      <c r="Z89" s="8">
        <v>6</v>
      </c>
    </row>
    <row r="90" spans="20:26" x14ac:dyDescent="0.15">
      <c r="T90" s="8">
        <v>87</v>
      </c>
      <c r="U90" s="5">
        <v>110</v>
      </c>
      <c r="V90" s="5">
        <f>求节点(其他调用!D$4:D$163,其他调用!$B$4:$B$163,INDEX(其他调用!$C$4:$C$163,$U90,1))</f>
        <v>106.08154516655873</v>
      </c>
      <c r="W90" s="5">
        <f>求节点(其他调用!E$4:E$163,其他调用!$B$4:$B$163,INDEX(其他调用!$C$4:$C$163,$U90,1))</f>
        <v>102.31311426548648</v>
      </c>
      <c r="X90" s="5">
        <f>求节点(其他调用!F$4:F$163,其他调用!$B$4:$B$163,INDEX(其他调用!$C$4:$C$163,$U90,1))</f>
        <v>99.024444643028531</v>
      </c>
      <c r="Y90" s="5">
        <f>求节点(其他调用!G$4:G$163,其他调用!$B$4:$B$163,INDEX(其他调用!$C$4:$C$163,$U90,1))</f>
        <v>97.923973915785979</v>
      </c>
      <c r="Z90" s="8">
        <v>6</v>
      </c>
    </row>
    <row r="91" spans="20:26" x14ac:dyDescent="0.15">
      <c r="T91" s="8">
        <v>88</v>
      </c>
      <c r="U91" s="5">
        <v>110.5</v>
      </c>
      <c r="V91" s="5">
        <f>求节点(其他调用!D$4:D$163,其他调用!$B$4:$B$163,INDEX(其他调用!$C$4:$C$163,$U91,1))</f>
        <v>106.08154516655873</v>
      </c>
      <c r="W91" s="5">
        <f>求节点(其他调用!E$4:E$163,其他调用!$B$4:$B$163,INDEX(其他调用!$C$4:$C$163,$U91,1))</f>
        <v>102.31311426548648</v>
      </c>
      <c r="X91" s="5">
        <f>求节点(其他调用!F$4:F$163,其他调用!$B$4:$B$163,INDEX(其他调用!$C$4:$C$163,$U91,1))</f>
        <v>99.024444643028531</v>
      </c>
      <c r="Y91" s="5">
        <f>求节点(其他调用!G$4:G$163,其他调用!$B$4:$B$163,INDEX(其他调用!$C$4:$C$163,$U91,1))</f>
        <v>97.923973915785979</v>
      </c>
      <c r="Z91" s="8">
        <v>6</v>
      </c>
    </row>
    <row r="92" spans="20:26" x14ac:dyDescent="0.15">
      <c r="T92" s="8">
        <v>89</v>
      </c>
      <c r="U92" s="5">
        <v>111</v>
      </c>
      <c r="V92" s="5">
        <f>求节点(其他调用!D$4:D$163,其他调用!$B$4:$B$163,INDEX(其他调用!$C$4:$C$163,$U92,1))</f>
        <v>106.9541386301392</v>
      </c>
      <c r="W92" s="5">
        <f>求节点(其他调用!E$4:E$163,其他调用!$B$4:$B$163,INDEX(其他调用!$C$4:$C$163,$U92,1))</f>
        <v>103.39268509715636</v>
      </c>
      <c r="X92" s="5">
        <f>求节点(其他调用!F$4:F$163,其他调用!$B$4:$B$163,INDEX(其他调用!$C$4:$C$163,$U92,1))</f>
        <v>100.13981735422898</v>
      </c>
      <c r="Y92" s="5">
        <f>求节点(其他调用!G$4:G$163,其他调用!$B$4:$B$163,INDEX(其他调用!$C$4:$C$163,$U92,1))</f>
        <v>99.180691443212723</v>
      </c>
      <c r="Z92" s="8">
        <v>6</v>
      </c>
    </row>
    <row r="93" spans="20:26" x14ac:dyDescent="0.15">
      <c r="T93" s="8">
        <v>90</v>
      </c>
      <c r="U93" s="5">
        <v>111.5</v>
      </c>
      <c r="V93" s="5">
        <f>求节点(其他调用!D$4:D$163,其他调用!$B$4:$B$163,INDEX(其他调用!$C$4:$C$163,$U93,1))</f>
        <v>106.9541386301392</v>
      </c>
      <c r="W93" s="5">
        <f>求节点(其他调用!E$4:E$163,其他调用!$B$4:$B$163,INDEX(其他调用!$C$4:$C$163,$U93,1))</f>
        <v>103.39268509715636</v>
      </c>
      <c r="X93" s="5">
        <f>求节点(其他调用!F$4:F$163,其他调用!$B$4:$B$163,INDEX(其他调用!$C$4:$C$163,$U93,1))</f>
        <v>100.13981735422898</v>
      </c>
      <c r="Y93" s="5">
        <f>求节点(其他调用!G$4:G$163,其他调用!$B$4:$B$163,INDEX(其他调用!$C$4:$C$163,$U93,1))</f>
        <v>99.180691443212723</v>
      </c>
      <c r="Z93" s="8">
        <v>6</v>
      </c>
    </row>
  </sheetData>
  <mergeCells count="2">
    <mergeCell ref="C2:G2"/>
    <mergeCell ref="U2:Y2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DB164"/>
  <sheetViews>
    <sheetView tabSelected="1" workbookViewId="0">
      <selection activeCell="R51" sqref="R51"/>
    </sheetView>
  </sheetViews>
  <sheetFormatPr defaultColWidth="6.625" defaultRowHeight="11.25" x14ac:dyDescent="0.15"/>
  <cols>
    <col min="1" max="1" width="9" style="5" bestFit="1" customWidth="1"/>
    <col min="2" max="3" width="6.75" style="5" bestFit="1" customWidth="1"/>
    <col min="4" max="4" width="8.25" style="5" bestFit="1" customWidth="1"/>
    <col min="5" max="5" width="8.25" style="5" customWidth="1"/>
    <col min="6" max="6" width="9.75" style="5" bestFit="1" customWidth="1"/>
    <col min="7" max="7" width="7.5" style="5" customWidth="1"/>
    <col min="8" max="10" width="6.75" style="5" bestFit="1" customWidth="1"/>
    <col min="11" max="11" width="6.75" style="5" customWidth="1"/>
    <col min="12" max="12" width="6.75" style="5" bestFit="1" customWidth="1"/>
    <col min="13" max="13" width="9" style="5" bestFit="1" customWidth="1"/>
    <col min="14" max="15" width="6.75" style="5" customWidth="1"/>
    <col min="16" max="16" width="7.5" style="5" bestFit="1" customWidth="1"/>
    <col min="17" max="17" width="6.75" style="5" bestFit="1" customWidth="1"/>
    <col min="18" max="18" width="6.625" style="5"/>
    <col min="19" max="23" width="6.75" style="5" bestFit="1" customWidth="1"/>
    <col min="24" max="24" width="6.75" style="5" customWidth="1"/>
    <col min="25" max="26" width="6.625" style="5"/>
    <col min="27" max="32" width="6.75" style="5" bestFit="1" customWidth="1"/>
    <col min="33" max="37" width="8.25" style="5" bestFit="1" customWidth="1"/>
    <col min="38" max="42" width="7.5" style="5" bestFit="1" customWidth="1"/>
    <col min="43" max="72" width="6.75" style="5" bestFit="1" customWidth="1"/>
    <col min="73" max="75" width="6.625" style="5"/>
    <col min="76" max="76" width="6.625" style="10"/>
    <col min="77" max="77" width="6.625" style="5"/>
    <col min="78" max="84" width="6.75" style="5" bestFit="1" customWidth="1"/>
    <col min="85" max="86" width="6.625" style="5" customWidth="1"/>
    <col min="87" max="93" width="6.75" style="5" bestFit="1" customWidth="1"/>
    <col min="94" max="95" width="6.625" style="5"/>
    <col min="96" max="106" width="6.75" style="5" bestFit="1" customWidth="1"/>
    <col min="107" max="16384" width="6.625" style="5"/>
  </cols>
  <sheetData>
    <row r="2" spans="2:106" x14ac:dyDescent="0.15">
      <c r="C2" s="5" t="s">
        <v>30</v>
      </c>
      <c r="Q2" s="7"/>
    </row>
    <row r="3" spans="2:106" x14ac:dyDescent="0.15">
      <c r="C3" s="23" t="s">
        <v>37</v>
      </c>
      <c r="D3" s="23"/>
      <c r="E3" s="23"/>
      <c r="F3" s="23"/>
      <c r="G3" s="23"/>
      <c r="H3" s="23"/>
      <c r="I3" s="23"/>
      <c r="J3" s="23"/>
      <c r="N3" s="23"/>
      <c r="O3" s="23"/>
      <c r="P3" s="23"/>
      <c r="Q3" s="23"/>
      <c r="AA3" s="5" t="s">
        <v>23</v>
      </c>
      <c r="AB3" s="23" t="s">
        <v>20</v>
      </c>
      <c r="AC3" s="23"/>
      <c r="AD3" s="23"/>
      <c r="AE3" s="23"/>
      <c r="AF3" s="23"/>
      <c r="AG3" s="23" t="s">
        <v>19</v>
      </c>
      <c r="AH3" s="23"/>
      <c r="AI3" s="23"/>
      <c r="AJ3" s="23"/>
      <c r="AK3" s="23"/>
      <c r="AL3" s="23" t="s">
        <v>21</v>
      </c>
      <c r="AM3" s="23"/>
      <c r="AN3" s="23"/>
      <c r="AO3" s="23"/>
      <c r="AP3" s="23"/>
      <c r="AQ3" s="23" t="s">
        <v>43</v>
      </c>
      <c r="AR3" s="23"/>
      <c r="AS3" s="23"/>
      <c r="AT3" s="23"/>
      <c r="AU3" s="23"/>
      <c r="AV3" s="23" t="s">
        <v>44</v>
      </c>
      <c r="AW3" s="23"/>
      <c r="AX3" s="23"/>
      <c r="AY3" s="23"/>
      <c r="AZ3" s="23"/>
      <c r="BA3" s="23" t="s">
        <v>22</v>
      </c>
      <c r="BB3" s="23"/>
      <c r="BC3" s="23"/>
      <c r="BD3" s="23"/>
      <c r="BE3" s="23"/>
      <c r="BF3" s="23" t="s">
        <v>27</v>
      </c>
      <c r="BG3" s="23"/>
      <c r="BH3" s="23"/>
      <c r="BI3" s="23"/>
      <c r="BJ3" s="23"/>
      <c r="BK3" s="23" t="s">
        <v>28</v>
      </c>
      <c r="BL3" s="23"/>
      <c r="BM3" s="23"/>
      <c r="BN3" s="23"/>
      <c r="BO3" s="23"/>
      <c r="BP3" s="23" t="s">
        <v>26</v>
      </c>
      <c r="BQ3" s="23"/>
      <c r="BR3" s="23"/>
      <c r="BS3" s="23"/>
      <c r="BT3" s="23"/>
      <c r="CA3" s="23" t="s">
        <v>22</v>
      </c>
      <c r="CB3" s="23"/>
      <c r="CC3" s="23"/>
      <c r="CD3" s="23"/>
      <c r="CE3" s="23"/>
      <c r="CJ3" s="23" t="s">
        <v>32</v>
      </c>
      <c r="CK3" s="23"/>
      <c r="CL3" s="23"/>
      <c r="CM3" s="23"/>
      <c r="CN3" s="23"/>
      <c r="CS3" s="23" t="s">
        <v>47</v>
      </c>
      <c r="CT3" s="23"/>
      <c r="CU3" s="23"/>
      <c r="CV3" s="23"/>
      <c r="CW3" s="23"/>
      <c r="CX3" s="23" t="s">
        <v>33</v>
      </c>
      <c r="CY3" s="23"/>
      <c r="CZ3" s="23"/>
      <c r="DA3" s="23"/>
      <c r="DB3" s="23"/>
    </row>
    <row r="4" spans="2:106" x14ac:dyDescent="0.15">
      <c r="C4" s="23" t="s">
        <v>36</v>
      </c>
      <c r="D4" s="23"/>
      <c r="E4" s="23"/>
      <c r="F4" s="23"/>
      <c r="G4" s="23"/>
      <c r="H4" s="23"/>
      <c r="I4" s="23" t="s">
        <v>24</v>
      </c>
      <c r="J4" s="23"/>
      <c r="K4" s="23"/>
      <c r="L4" s="23"/>
      <c r="M4" s="5" t="s">
        <v>48</v>
      </c>
      <c r="N4" s="23" t="s">
        <v>35</v>
      </c>
      <c r="O4" s="23"/>
      <c r="P4" s="23"/>
      <c r="Q4" s="23"/>
      <c r="T4" s="23" t="s">
        <v>46</v>
      </c>
      <c r="U4" s="23"/>
      <c r="V4" s="23"/>
      <c r="W4" s="23"/>
      <c r="X4" s="23"/>
      <c r="Z4" s="9"/>
      <c r="AA4" s="5" t="s">
        <v>55</v>
      </c>
      <c r="AB4" s="5" t="s">
        <v>8</v>
      </c>
      <c r="AC4" s="5" t="s">
        <v>9</v>
      </c>
      <c r="AD4" s="5" t="s">
        <v>10</v>
      </c>
      <c r="AE4" s="5" t="s">
        <v>11</v>
      </c>
      <c r="AF4" s="5" t="s">
        <v>12</v>
      </c>
      <c r="AG4" s="5" t="s">
        <v>8</v>
      </c>
      <c r="AH4" s="5" t="s">
        <v>9</v>
      </c>
      <c r="AI4" s="5" t="s">
        <v>10</v>
      </c>
      <c r="AJ4" s="5" t="s">
        <v>11</v>
      </c>
      <c r="AK4" s="5" t="s">
        <v>12</v>
      </c>
      <c r="AL4" s="5" t="s">
        <v>8</v>
      </c>
      <c r="AM4" s="5" t="s">
        <v>9</v>
      </c>
      <c r="AN4" s="5" t="s">
        <v>10</v>
      </c>
      <c r="AO4" s="5" t="s">
        <v>11</v>
      </c>
      <c r="AP4" s="5" t="s">
        <v>12</v>
      </c>
      <c r="AQ4" s="5" t="s">
        <v>8</v>
      </c>
      <c r="AR4" s="5" t="s">
        <v>9</v>
      </c>
      <c r="AS4" s="5" t="s">
        <v>10</v>
      </c>
      <c r="AT4" s="5" t="s">
        <v>11</v>
      </c>
      <c r="AU4" s="5" t="s">
        <v>12</v>
      </c>
      <c r="AV4" s="5" t="s">
        <v>8</v>
      </c>
      <c r="AW4" s="5" t="s">
        <v>9</v>
      </c>
      <c r="AX4" s="5" t="s">
        <v>10</v>
      </c>
      <c r="AY4" s="5" t="s">
        <v>11</v>
      </c>
      <c r="AZ4" s="5" t="s">
        <v>12</v>
      </c>
      <c r="BA4" s="5" t="s">
        <v>8</v>
      </c>
      <c r="BB4" s="5" t="s">
        <v>9</v>
      </c>
      <c r="BC4" s="5" t="s">
        <v>10</v>
      </c>
      <c r="BD4" s="5" t="s">
        <v>11</v>
      </c>
      <c r="BE4" s="5" t="s">
        <v>12</v>
      </c>
      <c r="BF4" s="5" t="s">
        <v>8</v>
      </c>
      <c r="BG4" s="5" t="s">
        <v>9</v>
      </c>
      <c r="BH4" s="5" t="s">
        <v>10</v>
      </c>
      <c r="BI4" s="5" t="s">
        <v>11</v>
      </c>
      <c r="BJ4" s="5" t="s">
        <v>12</v>
      </c>
      <c r="BK4" s="5" t="s">
        <v>8</v>
      </c>
      <c r="BL4" s="5" t="s">
        <v>9</v>
      </c>
      <c r="BM4" s="5" t="s">
        <v>10</v>
      </c>
      <c r="BN4" s="5" t="s">
        <v>11</v>
      </c>
      <c r="BO4" s="5" t="s">
        <v>12</v>
      </c>
      <c r="BP4" s="5" t="s">
        <v>8</v>
      </c>
      <c r="BQ4" s="5" t="s">
        <v>9</v>
      </c>
      <c r="BR4" s="5" t="s">
        <v>10</v>
      </c>
      <c r="BS4" s="5" t="s">
        <v>11</v>
      </c>
      <c r="BT4" s="5" t="s">
        <v>12</v>
      </c>
      <c r="BZ4" s="5" t="s">
        <v>55</v>
      </c>
      <c r="CA4" s="5" t="s">
        <v>8</v>
      </c>
      <c r="CB4" s="5" t="s">
        <v>9</v>
      </c>
      <c r="CC4" s="5" t="s">
        <v>10</v>
      </c>
      <c r="CD4" s="5" t="s">
        <v>11</v>
      </c>
      <c r="CE4" s="5" t="s">
        <v>12</v>
      </c>
      <c r="CF4" s="5" t="s">
        <v>31</v>
      </c>
      <c r="CI4" s="5" t="s">
        <v>55</v>
      </c>
      <c r="CJ4" s="5" t="s">
        <v>8</v>
      </c>
      <c r="CK4" s="5" t="s">
        <v>9</v>
      </c>
      <c r="CL4" s="5" t="s">
        <v>10</v>
      </c>
      <c r="CM4" s="5" t="s">
        <v>11</v>
      </c>
      <c r="CN4" s="5" t="s">
        <v>12</v>
      </c>
      <c r="CO4" s="5" t="s">
        <v>31</v>
      </c>
      <c r="CP4" s="5" t="s">
        <v>34</v>
      </c>
      <c r="CR4" s="5" t="s">
        <v>55</v>
      </c>
      <c r="CS4" s="5" t="s">
        <v>8</v>
      </c>
      <c r="CT4" s="5" t="s">
        <v>9</v>
      </c>
      <c r="CU4" s="5" t="s">
        <v>10</v>
      </c>
      <c r="CV4" s="5" t="s">
        <v>11</v>
      </c>
      <c r="CW4" s="5" t="s">
        <v>12</v>
      </c>
      <c r="CX4" s="5" t="s">
        <v>8</v>
      </c>
      <c r="CY4" s="5" t="s">
        <v>9</v>
      </c>
      <c r="CZ4" s="5" t="s">
        <v>10</v>
      </c>
      <c r="DA4" s="5" t="s">
        <v>11</v>
      </c>
      <c r="DB4" s="5" t="s">
        <v>12</v>
      </c>
    </row>
    <row r="5" spans="2:106" x14ac:dyDescent="0.15">
      <c r="B5" s="5" t="s">
        <v>17</v>
      </c>
      <c r="C5" s="5" t="s">
        <v>20</v>
      </c>
      <c r="D5" s="5" t="s">
        <v>19</v>
      </c>
      <c r="E5" s="5" t="s">
        <v>22</v>
      </c>
      <c r="F5" s="5" t="s">
        <v>21</v>
      </c>
      <c r="G5" s="5" t="s">
        <v>25</v>
      </c>
      <c r="H5" s="5" t="s">
        <v>64</v>
      </c>
      <c r="I5" s="5" t="s">
        <v>42</v>
      </c>
      <c r="J5" s="5" t="s">
        <v>21</v>
      </c>
      <c r="K5" s="5" t="s">
        <v>22</v>
      </c>
      <c r="L5" s="5" t="s">
        <v>26</v>
      </c>
      <c r="M5" s="5" t="s">
        <v>74</v>
      </c>
      <c r="N5" s="5" t="s">
        <v>42</v>
      </c>
      <c r="O5" s="5" t="s">
        <v>22</v>
      </c>
      <c r="P5" s="5" t="s">
        <v>21</v>
      </c>
      <c r="Q5" s="5" t="s">
        <v>19</v>
      </c>
      <c r="S5" s="5" t="s">
        <v>17</v>
      </c>
      <c r="T5" s="5" t="s">
        <v>8</v>
      </c>
      <c r="U5" s="5" t="s">
        <v>9</v>
      </c>
      <c r="V5" s="5" t="s">
        <v>10</v>
      </c>
      <c r="W5" s="5" t="s">
        <v>11</v>
      </c>
      <c r="X5" s="5" t="s">
        <v>12</v>
      </c>
      <c r="AA5" s="5">
        <v>1</v>
      </c>
      <c r="AB5" s="5">
        <f>求节点(T$6:T$44,$C$67:$C$105,$AA5)</f>
        <v>0</v>
      </c>
      <c r="AC5" s="5">
        <f>求节点(U$6:U$44,$C$67:$C$105,$AA5)</f>
        <v>0</v>
      </c>
      <c r="AD5" s="5">
        <f>求节点(V$6:V$44,$C$67:$C$105,$AA5)</f>
        <v>0</v>
      </c>
      <c r="AE5" s="5">
        <f>求节点(W$6:W$44,$C$67:$C$105,$AA5)</f>
        <v>0</v>
      </c>
      <c r="AF5" s="5">
        <f>求节点(X$6:X$44,$C$67:$C$105,$AA5)</f>
        <v>0</v>
      </c>
      <c r="AG5" s="5">
        <f>求节点(T$6:T$44,$D$67:$D$105,$AA5)+求节点(T$67:T$105,$Q$67:$Q$105,$AA5)</f>
        <v>800</v>
      </c>
      <c r="AH5" s="5">
        <f>求节点(U$6:U$44,$D$67:$D$105,$AA5)+求节点(U$67:U$105,$Q$67:$Q$105,$AA5)</f>
        <v>818.53848323816896</v>
      </c>
      <c r="AI5" s="5">
        <f>求节点(V$6:V$44,$D$67:$D$105,$AA5)+求节点(V$67:V$105,$Q$67:$Q$105,$AA5)</f>
        <v>848.73875502797955</v>
      </c>
      <c r="AJ5" s="5">
        <f>求节点(W$6:W$44,$D$67:$D$105,$AA5)+求节点(W$67:W$105,$Q$67:$Q$105,$AA5)</f>
        <v>891.25241279766601</v>
      </c>
      <c r="AK5" s="5">
        <f>求节点(X$6:X$44,$D$67:$D$105,$AA5)+求节点(X$67:X$105,$Q$67:$Q$105,$AA5)</f>
        <v>914.70079801274778</v>
      </c>
      <c r="AL5" s="5">
        <f>求节点(T$6:T$44,$F$67:$F$105,$AA5)+求节点(T$67:T$105,$P$67:$P$105,$AA5)</f>
        <v>6800</v>
      </c>
      <c r="AM5" s="5">
        <f>求节点(U$6:U$44,$F$67:$F$105,$AA5)+求节点(U$67:U$105,$P$67:$P$105,$AA5)</f>
        <v>6957.5771075244356</v>
      </c>
      <c r="AN5" s="5">
        <f>求节点(V$6:V$44,$F$67:$F$105,$AA5)+求节点(V$67:V$105,$P$67:$P$105,$AA5)</f>
        <v>7214.2794177378255</v>
      </c>
      <c r="AO5" s="5">
        <f>求节点(W$6:W$44,$F$67:$F$105,$AA5)+求节点(W$67:W$105,$P$67:$P$105,$AA5)</f>
        <v>7575.6455087801605</v>
      </c>
      <c r="AP5" s="5">
        <f>求节点(X$6:X$44,$F$67:$F$105,$AA5)+求节点(X$67:X$105,$P$67:$P$105,$AA5)</f>
        <v>7774.9567831083568</v>
      </c>
      <c r="AQ5" s="5">
        <f>求节点(T$6:T$44,$H$67:$H$105,$AA5)</f>
        <v>600</v>
      </c>
      <c r="AR5" s="5">
        <f>求节点(U$6:U$44,$H$67:$H$105,$AA5)</f>
        <v>613.90386242862678</v>
      </c>
      <c r="AS5" s="5">
        <f>求节点(V$6:V$44,$H$67:$H$105,$AA5)</f>
        <v>636.55406627098478</v>
      </c>
      <c r="AT5" s="5">
        <f>求节点(W$6:W$44,$H$67:$H$105,$AA5)</f>
        <v>668.43930959824957</v>
      </c>
      <c r="AU5" s="5">
        <f>求节点(X$6:X$44,$H$67:$H$105,$AA5)</f>
        <v>686.02559850956095</v>
      </c>
      <c r="AV5" s="5">
        <f>求节点(T$6:T$44,$I$67:$I$105,$AA5)</f>
        <v>4666.6666666666661</v>
      </c>
      <c r="AW5" s="5">
        <f>求节点(U$6:U$44,$I$67:$I$105,$AA5)</f>
        <v>4774.8078188893196</v>
      </c>
      <c r="AX5" s="5">
        <f>求节点(V$6:V$44,$I$67:$I$105,$AA5)</f>
        <v>4950.9760709965467</v>
      </c>
      <c r="AY5" s="5">
        <f>求节点(W$6:W$44,$I$67:$I$105,$AA5)</f>
        <v>5198.9724079863845</v>
      </c>
      <c r="AZ5" s="5">
        <f>求节点(X$6:X$44,$I$67:$I$105,$AA5)</f>
        <v>5335.7546550743609</v>
      </c>
      <c r="BA5" s="5">
        <f>求节点(T$6:T$44,$E$67:$E$105,$AA5)+求节点(T$6:T$44,$K$67:$K$105,$AA5)+求节点(T$67:T$105,$O$67:$O$105,$AA5)</f>
        <v>69.333333333333343</v>
      </c>
      <c r="BB5" s="5">
        <f>求节点(U$6:U$44,$E$67:$E$105,$AA5)+求节点(U$6:U$44,$K$67:$K$105,$AA5)+求节点(U$67:U$105,$O$67:$O$105,$AA5)</f>
        <v>70.940001880641319</v>
      </c>
      <c r="BC5" s="5">
        <f>求节点(V$6:V$44,$E$67:$E$105,$AA5)+求节点(V$6:V$44,$K$67:$K$105,$AA5)+求节点(V$67:V$105,$O$67:$O$105,$AA5)</f>
        <v>73.55735876909155</v>
      </c>
      <c r="BD5" s="5">
        <f>求节点(W$6:W$44,$E$67:$E$105,$AA5)+求节点(W$6:W$44,$K$67:$K$105,$AA5)+求节点(W$67:W$105,$O$67:$O$105,$AA5)</f>
        <v>77.241875775797723</v>
      </c>
      <c r="BE5" s="5">
        <f>求节点(X$6:X$44,$E$67:$E$105,$AA5)+求节点(X$6:X$44,$K$67:$K$105,$AA5)+求节点(X$67:X$105,$O$67:$O$105,$AA5)</f>
        <v>79.274069161104805</v>
      </c>
      <c r="BF5" s="5">
        <f>求节点(T$6:T$44,$G$67:$G$105,$AA5)</f>
        <v>0</v>
      </c>
      <c r="BG5" s="5">
        <f>求节点(U$6:U$44,$G$67:$G$105,$AA5)</f>
        <v>0</v>
      </c>
      <c r="BH5" s="5">
        <f>求节点(V$6:V$44,$G$67:$G$105,$AA5)</f>
        <v>0</v>
      </c>
      <c r="BI5" s="5">
        <f>求节点(W$6:W$44,$G$67:$G$105,$AA5)</f>
        <v>0</v>
      </c>
      <c r="BJ5" s="5">
        <f>求节点(X$6:X$44,$G$67:$G$105,$AA5)</f>
        <v>0</v>
      </c>
      <c r="BK5" s="5">
        <f>求节点(T$6:T$44,$M$67:$M$105,$AA5)</f>
        <v>0.66666666666666674</v>
      </c>
      <c r="BL5" s="5">
        <f>求节点(U$6:U$44,$M$67:$M$105,$AA5)</f>
        <v>0.68211540269847415</v>
      </c>
      <c r="BM5" s="5">
        <f>求节点(V$6:V$44,$M$67:$M$105,$AA5)</f>
        <v>0.70728229585664981</v>
      </c>
      <c r="BN5" s="5">
        <f>求节点(W$6:W$44,$M$67:$M$105,$AA5)</f>
        <v>0.74271034399805491</v>
      </c>
      <c r="BO5" s="5">
        <f>求节点(X$6:X$44,$M$67:$M$105,$AA5)</f>
        <v>0.76225066501062311</v>
      </c>
      <c r="BP5" s="5">
        <f>求节点(T$67:T$105,$L$67:$L$105,$AA5)</f>
        <v>0</v>
      </c>
      <c r="BQ5" s="5">
        <f>求节点(U$67:U$105,$L$67:$L$105,$AA5)</f>
        <v>0</v>
      </c>
      <c r="BR5" s="5">
        <f>求节点(V$67:V$105,$L$67:$L$105,$AA5)</f>
        <v>0</v>
      </c>
      <c r="BS5" s="5">
        <f>求节点(W$67:W$105,$L$67:$L$105,$AA5)</f>
        <v>0</v>
      </c>
      <c r="BT5" s="5">
        <f>求节点(X$67:X$105,$L$67:$L$105,$AA5)</f>
        <v>0</v>
      </c>
      <c r="BZ5" s="5">
        <v>1</v>
      </c>
      <c r="CA5" s="5">
        <f>BA5</f>
        <v>69.333333333333343</v>
      </c>
      <c r="CB5" s="5">
        <f t="shared" ref="CB5:CD5" si="0">BB5</f>
        <v>70.940001880641319</v>
      </c>
      <c r="CC5" s="5">
        <f t="shared" si="0"/>
        <v>73.55735876909155</v>
      </c>
      <c r="CD5" s="5">
        <f t="shared" si="0"/>
        <v>77.241875775797723</v>
      </c>
      <c r="CE5" s="5">
        <f>BE5</f>
        <v>79.274069161104805</v>
      </c>
      <c r="CF5" s="5">
        <f>CA5/节奏总纲!W4</f>
        <v>966.00234798863289</v>
      </c>
      <c r="CI5" s="5">
        <v>1</v>
      </c>
      <c r="CJ5" s="5">
        <f>BK5*240</f>
        <v>160.00000000000003</v>
      </c>
      <c r="CK5" s="5">
        <f t="shared" ref="CK5:CN5" si="1">BL5*240</f>
        <v>163.70769664763378</v>
      </c>
      <c r="CL5" s="5">
        <f t="shared" si="1"/>
        <v>169.74775100559594</v>
      </c>
      <c r="CM5" s="5">
        <f t="shared" si="1"/>
        <v>178.25048255953317</v>
      </c>
      <c r="CN5" s="5">
        <f t="shared" si="1"/>
        <v>182.94015960254956</v>
      </c>
      <c r="CO5" s="5">
        <f>CJ5/节奏总纲!W4</f>
        <v>2229.2361876660761</v>
      </c>
      <c r="CP5" s="5">
        <f t="shared" ref="CP5:CP36" si="2">CO5+CF5</f>
        <v>3195.2385356547093</v>
      </c>
      <c r="CR5" s="5">
        <v>1</v>
      </c>
      <c r="CS5" s="5">
        <f t="shared" ref="CS5:CS36" si="3">BP5</f>
        <v>0</v>
      </c>
      <c r="CT5" s="5">
        <f t="shared" ref="CT5:CT36" si="4">BQ5</f>
        <v>0</v>
      </c>
      <c r="CU5" s="5">
        <f t="shared" ref="CU5:CU36" si="5">BR5</f>
        <v>0</v>
      </c>
      <c r="CV5" s="5">
        <f t="shared" ref="CV5:CV36" si="6">BS5</f>
        <v>0</v>
      </c>
      <c r="CW5" s="5">
        <f t="shared" ref="CW5:CW36" si="7">BT5</f>
        <v>0</v>
      </c>
      <c r="CX5" s="5">
        <f>CS5</f>
        <v>0</v>
      </c>
      <c r="CY5" s="5">
        <f t="shared" ref="CY5:DB5" si="8">CT5</f>
        <v>0</v>
      </c>
      <c r="CZ5" s="5">
        <f t="shared" si="8"/>
        <v>0</v>
      </c>
      <c r="DA5" s="5">
        <f t="shared" si="8"/>
        <v>0</v>
      </c>
      <c r="DB5" s="5">
        <f t="shared" si="8"/>
        <v>0</v>
      </c>
    </row>
    <row r="6" spans="2:106" x14ac:dyDescent="0.15">
      <c r="B6" s="5">
        <v>1</v>
      </c>
      <c r="D6" s="5">
        <f>ROUND(130/INDEX('[1]功能-付费相关'!$BB$6:$BB$165,基本信息!U4,1)/1200,0)*600</f>
        <v>2400</v>
      </c>
      <c r="E6" s="5">
        <v>120</v>
      </c>
      <c r="F6" s="5">
        <f>ROUND(60/INDEX('[1]功能-付费相关'!$AS$6:$AS$165,基本信息!C4,1)/600,0)*600</f>
        <v>20400</v>
      </c>
      <c r="H6" s="5">
        <v>1800</v>
      </c>
      <c r="I6" s="5">
        <f>ROUND(20*4/INDEX('[1]功能-付费相关'!$U$6:$U$165,基本信息!U4,1)/4000,0)*4000/2</f>
        <v>14000</v>
      </c>
      <c r="J6" s="5">
        <f>ROUND(50*2/INDEX('[1]功能-付费相关'!$AS$6:$AS$165,基本信息!U4,1)/2000,0)*2000</f>
        <v>34000</v>
      </c>
      <c r="K6" s="5">
        <v>88</v>
      </c>
      <c r="M6" s="5">
        <v>2</v>
      </c>
      <c r="N6" s="5">
        <v>0</v>
      </c>
      <c r="P6" s="5">
        <v>0</v>
      </c>
      <c r="Q6" s="5">
        <v>0</v>
      </c>
      <c r="S6" s="5">
        <v>1</v>
      </c>
      <c r="T6" s="5">
        <f>基本信息!C4</f>
        <v>3</v>
      </c>
      <c r="U6" s="5">
        <f>基本信息!D4</f>
        <v>2.9320551802347885</v>
      </c>
      <c r="V6" s="5">
        <f>基本信息!E4</f>
        <v>2.8277252402841926</v>
      </c>
      <c r="W6" s="5">
        <f>基本信息!F4</f>
        <v>2.6928398347515645</v>
      </c>
      <c r="X6" s="5">
        <f>基本信息!G4</f>
        <v>2.6238087965093833</v>
      </c>
      <c r="AA6" s="5">
        <v>2</v>
      </c>
      <c r="AB6" s="5">
        <f>求节点(T$6:T$44,$C$67:$C$105,$AA6)</f>
        <v>0</v>
      </c>
      <c r="AC6" s="5">
        <f>求节点(U$6:U$44,$C$67:$C$105,$AA6)</f>
        <v>0</v>
      </c>
      <c r="AD6" s="5">
        <f>求节点(V$6:V$44,$C$67:$C$105,$AA6)</f>
        <v>0</v>
      </c>
      <c r="AE6" s="5">
        <f>求节点(W$6:W$44,$C$67:$C$105,$AA6)</f>
        <v>0</v>
      </c>
      <c r="AF6" s="5">
        <f>求节点(X$6:X$44,$C$67:$C$105,$AA6)</f>
        <v>0</v>
      </c>
      <c r="AG6" s="5">
        <f>求节点(T$6:T$44,$D$67:$D$105,$AA6)+求节点(T$67:T$105,$Q$67:$Q$105,$AA6)</f>
        <v>1600</v>
      </c>
      <c r="AH6" s="5">
        <f>求节点(U$6:U$44,$D$67:$D$105,$AA6)+求节点(U$67:U$105,$Q$67:$Q$105,$AA6)</f>
        <v>1637.0769664763379</v>
      </c>
      <c r="AI6" s="5">
        <f>求节点(V$6:V$44,$D$67:$D$105,$AA6)+求节点(V$67:V$105,$Q$67:$Q$105,$AA6)</f>
        <v>1697.4775100559591</v>
      </c>
      <c r="AJ6" s="5">
        <f>求节点(W$6:W$44,$D$67:$D$105,$AA6)+求节点(W$67:W$105,$Q$67:$Q$105,$AA6)</f>
        <v>1782.504825595332</v>
      </c>
      <c r="AK6" s="5">
        <f>求节点(X$6:X$44,$D$67:$D$105,$AA6)+求节点(X$67:X$105,$Q$67:$Q$105,$AA6)</f>
        <v>1829.4015960254956</v>
      </c>
      <c r="AL6" s="5">
        <f>求节点(T$6:T$44,$F$67:$F$105,$AA6)+求节点(T$67:T$105,$P$67:$P$105,$AA6)</f>
        <v>13600</v>
      </c>
      <c r="AM6" s="5">
        <f>求节点(U$6:U$44,$F$67:$F$105,$AA6)+求节点(U$67:U$105,$P$67:$P$105,$AA6)</f>
        <v>13915.154215048873</v>
      </c>
      <c r="AN6" s="5">
        <f>求节点(V$6:V$44,$F$67:$F$105,$AA6)+求节点(V$67:V$105,$P$67:$P$105,$AA6)</f>
        <v>14428.558835475653</v>
      </c>
      <c r="AO6" s="5">
        <f>求节点(W$6:W$44,$F$67:$F$105,$AA6)+求节点(W$67:W$105,$P$67:$P$105,$AA6)</f>
        <v>15151.291017560321</v>
      </c>
      <c r="AP6" s="5">
        <f>求节点(X$6:X$44,$F$67:$F$105,$AA6)+求节点(X$67:X$105,$P$67:$P$105,$AA6)</f>
        <v>15549.91356621671</v>
      </c>
      <c r="AQ6" s="5">
        <f>求节点(T$6:T$44,$H$67:$H$105,$AA6)</f>
        <v>1200</v>
      </c>
      <c r="AR6" s="5">
        <f>求节点(U$6:U$44,$H$67:$H$105,$AA6)</f>
        <v>1227.8077248572536</v>
      </c>
      <c r="AS6" s="5">
        <f>求节点(V$6:V$44,$H$67:$H$105,$AA6)</f>
        <v>1273.1081325419693</v>
      </c>
      <c r="AT6" s="5">
        <f>求节点(W$6:W$44,$H$67:$H$105,$AA6)</f>
        <v>1336.8786191964989</v>
      </c>
      <c r="AU6" s="5">
        <f>求节点(X$6:X$44,$H$67:$H$105,$AA6)</f>
        <v>1372.0511970191214</v>
      </c>
      <c r="AV6" s="5">
        <f>求节点(T$6:T$44,$I$67:$I$105,$AA6)</f>
        <v>9333.3333333333321</v>
      </c>
      <c r="AW6" s="5">
        <f>求节点(U$6:U$44,$I$67:$I$105,$AA6)</f>
        <v>9549.6156377786392</v>
      </c>
      <c r="AX6" s="5">
        <f>求节点(V$6:V$44,$I$67:$I$105,$AA6)</f>
        <v>9901.9521419930952</v>
      </c>
      <c r="AY6" s="5">
        <f>求节点(W$6:W$44,$I$67:$I$105,$AA6)</f>
        <v>10397.944815972769</v>
      </c>
      <c r="AZ6" s="5">
        <f>求节点(X$6:X$44,$I$67:$I$105,$AA6)</f>
        <v>10671.509310148722</v>
      </c>
      <c r="BA6" s="5">
        <f>求节点(T$6:T$44,$E$67:$E$105,$AA6)+求节点(T$6:T$44,$K$67:$K$105,$AA6)+求节点(T$67:T$105,$O$67:$O$105,$AA6)</f>
        <v>138.66666666666669</v>
      </c>
      <c r="BB6" s="5">
        <f>求节点(U$6:U$44,$E$67:$E$105,$AA6)+求节点(U$6:U$44,$K$67:$K$105,$AA6)+求节点(U$67:U$105,$O$67:$O$105,$AA6)</f>
        <v>141.88000376128261</v>
      </c>
      <c r="BC6" s="5">
        <f>求节点(V$6:V$44,$E$67:$E$105,$AA6)+求节点(V$6:V$44,$K$67:$K$105,$AA6)+求节点(V$67:V$105,$O$67:$O$105,$AA6)</f>
        <v>147.11471753818313</v>
      </c>
      <c r="BD6" s="5">
        <f>求节点(W$6:W$44,$E$67:$E$105,$AA6)+求节点(W$6:W$44,$K$67:$K$105,$AA6)+求节点(W$67:W$105,$O$67:$O$105,$AA6)</f>
        <v>154.48375155159545</v>
      </c>
      <c r="BE6" s="5">
        <f>求节点(X$6:X$44,$E$67:$E$105,$AA6)+求节点(X$6:X$44,$K$67:$K$105,$AA6)+求节点(X$67:X$105,$O$67:$O$105,$AA6)</f>
        <v>158.54813832220961</v>
      </c>
      <c r="BF6" s="5">
        <f>求节点(T$6:T$44,$G$67:$G$105,$AA6)</f>
        <v>0</v>
      </c>
      <c r="BG6" s="5">
        <f>求节点(U$6:U$44,$G$67:$G$105,$AA6)</f>
        <v>0</v>
      </c>
      <c r="BH6" s="5">
        <f>求节点(V$6:V$44,$G$67:$G$105,$AA6)</f>
        <v>0</v>
      </c>
      <c r="BI6" s="5">
        <f>求节点(W$6:W$44,$G$67:$G$105,$AA6)</f>
        <v>0</v>
      </c>
      <c r="BJ6" s="5">
        <f>求节点(X$6:X$44,$G$67:$G$105,$AA6)</f>
        <v>0</v>
      </c>
      <c r="BK6" s="5">
        <f>求节点(T$6:T$44,$M$67:$M$105,$AA6)</f>
        <v>1.3333333333333335</v>
      </c>
      <c r="BL6" s="5">
        <f>求节点(U$6:U$44,$M$67:$M$105,$AA6)</f>
        <v>1.3642308053969483</v>
      </c>
      <c r="BM6" s="5">
        <f>求节点(V$6:V$44,$M$67:$M$105,$AA6)</f>
        <v>1.4145645917132992</v>
      </c>
      <c r="BN6" s="5">
        <f>求节点(W$6:W$44,$M$67:$M$105,$AA6)</f>
        <v>1.4854206879961098</v>
      </c>
      <c r="BO6" s="5">
        <f>求节点(X$6:X$44,$M$67:$M$105,$AA6)</f>
        <v>1.5245013300212462</v>
      </c>
      <c r="BP6" s="5">
        <f>求节点(T$67:T$105,$L$67:$L$105,$AA6)</f>
        <v>0</v>
      </c>
      <c r="BQ6" s="5">
        <f>求节点(U$67:U$105,$L$67:$L$105,$AA6)</f>
        <v>0</v>
      </c>
      <c r="BR6" s="5">
        <f>求节点(V$67:V$105,$L$67:$L$105,$AA6)</f>
        <v>0</v>
      </c>
      <c r="BS6" s="5">
        <f>求节点(W$67:W$105,$L$67:$L$105,$AA6)</f>
        <v>0</v>
      </c>
      <c r="BT6" s="5">
        <f>求节点(X$67:X$105,$L$67:$L$105,$AA6)</f>
        <v>0</v>
      </c>
      <c r="BZ6" s="5">
        <v>2</v>
      </c>
      <c r="CA6" s="5">
        <f t="shared" ref="CA6:CA69" si="9">BA6</f>
        <v>138.66666666666669</v>
      </c>
      <c r="CB6" s="5">
        <f t="shared" ref="CB6:CB69" si="10">BB6</f>
        <v>141.88000376128261</v>
      </c>
      <c r="CC6" s="5">
        <f t="shared" ref="CC6:CC69" si="11">BC6</f>
        <v>147.11471753818313</v>
      </c>
      <c r="CD6" s="5">
        <f t="shared" ref="CD6:CD69" si="12">BD6</f>
        <v>154.48375155159545</v>
      </c>
      <c r="CE6" s="5">
        <f t="shared" ref="CE6:CE69" si="13">BE6</f>
        <v>158.54813832220961</v>
      </c>
      <c r="CF6" s="5">
        <f>(CA6-CA5)/节奏总纲!W5</f>
        <v>901.31206057541237</v>
      </c>
      <c r="CI6" s="5">
        <v>2</v>
      </c>
      <c r="CJ6" s="5">
        <f t="shared" ref="CJ6:CJ69" si="14">BK6*240</f>
        <v>320.00000000000006</v>
      </c>
      <c r="CK6" s="5">
        <f t="shared" ref="CK6:CK69" si="15">BL6*240</f>
        <v>327.41539329526756</v>
      </c>
      <c r="CL6" s="5">
        <f t="shared" ref="CL6:CL69" si="16">BM6*240</f>
        <v>339.49550201119177</v>
      </c>
      <c r="CM6" s="5">
        <f t="shared" ref="CM6:CM69" si="17">BN6*240</f>
        <v>356.50096511906634</v>
      </c>
      <c r="CN6" s="5">
        <f t="shared" ref="CN6:CN69" si="18">BO6*240</f>
        <v>365.88031920509911</v>
      </c>
      <c r="CO6" s="5">
        <f>(CJ6-CJ5)/节奏总纲!W5</f>
        <v>2079.9509090201823</v>
      </c>
      <c r="CP6" s="5">
        <f t="shared" si="2"/>
        <v>2981.2629695955948</v>
      </c>
      <c r="CR6" s="5">
        <v>2</v>
      </c>
      <c r="CS6" s="5">
        <f t="shared" si="3"/>
        <v>0</v>
      </c>
      <c r="CT6" s="5">
        <f t="shared" si="4"/>
        <v>0</v>
      </c>
      <c r="CU6" s="5">
        <f t="shared" si="5"/>
        <v>0</v>
      </c>
      <c r="CV6" s="5">
        <f t="shared" si="6"/>
        <v>0</v>
      </c>
      <c r="CW6" s="5">
        <f t="shared" si="7"/>
        <v>0</v>
      </c>
      <c r="CX6" s="5">
        <f>CS6-CS5</f>
        <v>0</v>
      </c>
      <c r="CY6" s="5">
        <f t="shared" ref="CY6:DB6" si="19">CT6-CT5</f>
        <v>0</v>
      </c>
      <c r="CZ6" s="5">
        <f t="shared" si="19"/>
        <v>0</v>
      </c>
      <c r="DA6" s="5">
        <f t="shared" si="19"/>
        <v>0</v>
      </c>
      <c r="DB6" s="5">
        <f t="shared" si="19"/>
        <v>0</v>
      </c>
    </row>
    <row r="7" spans="2:106" x14ac:dyDescent="0.15">
      <c r="B7" s="5">
        <v>2</v>
      </c>
      <c r="D7" s="5">
        <f>ROUND(130/INDEX('[1]功能-付费相关'!$BB$6:$BB$165,基本信息!U5,1)/1200,0)*600</f>
        <v>4200</v>
      </c>
      <c r="E7" s="5">
        <v>120</v>
      </c>
      <c r="F7" s="5">
        <f>ROUND(60/INDEX('[1]功能-付费相关'!$AS$6:$AS$165,基本信息!C5,1)/600,0)*600</f>
        <v>22200</v>
      </c>
      <c r="H7" s="5">
        <v>4800</v>
      </c>
      <c r="I7" s="5">
        <f>ROUND(20*4/INDEX('[1]功能-付费相关'!$U$6:$U$165,基本信息!U5,1)/4000,0)*4000/2</f>
        <v>26000</v>
      </c>
      <c r="J7" s="5">
        <f>ROUND(50*2/INDEX('[1]功能-付费相关'!$AS$6:$AS$165,基本信息!U5,1)/2000,0)*2000</f>
        <v>36000</v>
      </c>
      <c r="K7" s="5">
        <v>88</v>
      </c>
      <c r="M7" s="5">
        <v>2</v>
      </c>
      <c r="N7" s="5">
        <v>0</v>
      </c>
      <c r="P7" s="5">
        <v>0</v>
      </c>
      <c r="Q7" s="5">
        <v>0</v>
      </c>
      <c r="S7" s="5">
        <v>2</v>
      </c>
      <c r="T7" s="5">
        <f>基本信息!C5</f>
        <v>6</v>
      </c>
      <c r="U7" s="5">
        <f>基本信息!D5</f>
        <v>5.8442334310485347</v>
      </c>
      <c r="V7" s="5">
        <f>基本信息!E5</f>
        <v>5.603307150685791</v>
      </c>
      <c r="W7" s="5">
        <f>基本信息!F5</f>
        <v>5.3054279053332296</v>
      </c>
      <c r="X7" s="5">
        <f>基本信息!G5</f>
        <v>5.1584334490664725</v>
      </c>
      <c r="AA7" s="5">
        <v>3</v>
      </c>
      <c r="AB7" s="5">
        <f>求节点(T$6:T$44,$C$67:$C$105,$AA7)</f>
        <v>0</v>
      </c>
      <c r="AC7" s="5">
        <f>求节点(U$6:U$44,$C$67:$C$105,$AA7)</f>
        <v>0</v>
      </c>
      <c r="AD7" s="5">
        <f>求节点(V$6:V$44,$C$67:$C$105,$AA7)</f>
        <v>0</v>
      </c>
      <c r="AE7" s="5">
        <f>求节点(W$6:W$44,$C$67:$C$105,$AA7)</f>
        <v>0</v>
      </c>
      <c r="AF7" s="5">
        <f>求节点(X$6:X$44,$C$67:$C$105,$AA7)</f>
        <v>0</v>
      </c>
      <c r="AG7" s="5">
        <f>求节点(T$6:T$44,$D$67:$D$105,$AA7)+求节点(T$67:T$105,$Q$67:$Q$105,$AA7)</f>
        <v>2400</v>
      </c>
      <c r="AH7" s="5">
        <f>求节点(U$6:U$44,$D$67:$D$105,$AA7)+求节点(U$67:U$105,$Q$67:$Q$105,$AA7)</f>
        <v>2497.9913379045902</v>
      </c>
      <c r="AI7" s="5">
        <f>求节点(V$6:V$44,$D$67:$D$105,$AA7)+求节点(V$67:V$105,$Q$67:$Q$105,$AA7)</f>
        <v>2660.685511782176</v>
      </c>
      <c r="AJ7" s="5">
        <f>求节点(W$6:W$44,$D$67:$D$105,$AA7)+求节点(W$67:W$105,$Q$67:$Q$105,$AA7)</f>
        <v>2893.7910834738705</v>
      </c>
      <c r="AK7" s="5">
        <f>求节点(X$6:X$44,$D$67:$D$105,$AA7)+求节点(X$67:X$105,$Q$67:$Q$105,$AA7)</f>
        <v>3023.3676663195806</v>
      </c>
      <c r="AL7" s="5">
        <f>求节点(T$6:T$44,$F$67:$F$105,$AA7)+求节点(T$67:T$105,$P$67:$P$105,$AA7)</f>
        <v>20400</v>
      </c>
      <c r="AM7" s="5">
        <f>求节点(U$6:U$44,$F$67:$F$105,$AA7)+求节点(U$67:U$105,$P$67:$P$105,$AA7)</f>
        <v>20917.954214638547</v>
      </c>
      <c r="AN7" s="5">
        <f>求节点(V$6:V$44,$F$67:$F$105,$AA7)+求节点(V$67:V$105,$P$67:$P$105,$AA7)</f>
        <v>21777.909133705787</v>
      </c>
      <c r="AO7" s="5">
        <f>求节点(W$6:W$44,$F$67:$F$105,$AA7)+求节点(W$67:W$105,$P$67:$P$105,$AA7)</f>
        <v>23010.038584076174</v>
      </c>
      <c r="AP7" s="5">
        <f>求节点(X$6:X$44,$F$67:$F$105,$AA7)+求节点(X$67:X$105,$P$67:$P$105,$AA7)</f>
        <v>23694.943379117783</v>
      </c>
      <c r="AQ7" s="5">
        <f>求节点(T$6:T$44,$H$67:$H$105,$AA7)</f>
        <v>1800</v>
      </c>
      <c r="AR7" s="5">
        <f>求节点(U$6:U$44,$H$67:$H$105,$AA7)</f>
        <v>1911.9901004623889</v>
      </c>
      <c r="AS7" s="5">
        <f>求节点(V$6:V$44,$H$67:$H$105,$AA7)</f>
        <v>2097.92629917963</v>
      </c>
      <c r="AT7" s="5">
        <f>求节点(W$6:W$44,$H$67:$H$105,$AA7)</f>
        <v>2364.3326668272803</v>
      </c>
      <c r="AU7" s="5">
        <f>求节点(X$6:X$44,$H$67:$H$105,$AA7)</f>
        <v>2512.4201900795206</v>
      </c>
      <c r="AV7" s="5">
        <f>求节点(T$6:T$44,$I$67:$I$105,$AA7)</f>
        <v>14000</v>
      </c>
      <c r="AW7" s="5">
        <f>求节点(U$6:U$44,$I$67:$I$105,$AA7)</f>
        <v>14606.613044171272</v>
      </c>
      <c r="AX7" s="5">
        <f>求节点(V$6:V$44,$I$67:$I$105,$AA7)</f>
        <v>15613.767453889663</v>
      </c>
      <c r="AY7" s="5">
        <f>求节点(W$6:W$44,$I$67:$I$105,$AA7)</f>
        <v>17056.801945314437</v>
      </c>
      <c r="AZ7" s="5">
        <f>求节点(X$6:X$44,$I$67:$I$105,$AA7)</f>
        <v>17858.942696264072</v>
      </c>
      <c r="BA7" s="5">
        <f>求节点(T$6:T$44,$E$67:$E$105,$AA7)+求节点(T$6:T$44,$K$67:$K$105,$AA7)+求节点(T$67:T$105,$O$67:$O$105,$AA7)</f>
        <v>208</v>
      </c>
      <c r="BB7" s="5">
        <f>求节点(U$6:U$44,$E$67:$E$105,$AA7)+求节点(U$6:U$44,$K$67:$K$105,$AA7)+求节点(U$67:U$105,$O$67:$O$105,$AA7)</f>
        <v>212.85290435337018</v>
      </c>
      <c r="BC7" s="5">
        <f>求节点(V$6:V$44,$E$67:$E$105,$AA7)+求节点(V$6:V$44,$K$67:$K$105,$AA7)+求节点(V$67:V$105,$O$67:$O$105,$AA7)</f>
        <v>220.91013963111729</v>
      </c>
      <c r="BD7" s="5">
        <f>求节点(W$6:W$44,$E$67:$E$105,$AA7)+求节点(W$6:W$44,$K$67:$K$105,$AA7)+求节点(W$67:W$105,$O$67:$O$105,$AA7)</f>
        <v>232.45441556251546</v>
      </c>
      <c r="BE7" s="5">
        <f>求节点(X$6:X$44,$E$67:$E$105,$AA7)+求节点(X$6:X$44,$K$67:$K$105,$AA7)+求节点(X$67:X$105,$O$67:$O$105,$AA7)</f>
        <v>238.87154157011258</v>
      </c>
      <c r="BF7" s="5">
        <f>求节点(T$6:T$44,$G$67:$G$105,$AA7)</f>
        <v>0</v>
      </c>
      <c r="BG7" s="5">
        <f>求节点(U$6:U$44,$G$67:$G$105,$AA7)</f>
        <v>0</v>
      </c>
      <c r="BH7" s="5">
        <f>求节点(V$6:V$44,$G$67:$G$105,$AA7)</f>
        <v>0</v>
      </c>
      <c r="BI7" s="5">
        <f>求节点(W$6:W$44,$G$67:$G$105,$AA7)</f>
        <v>0</v>
      </c>
      <c r="BJ7" s="5">
        <f>求节点(X$6:X$44,$G$67:$G$105,$AA7)</f>
        <v>0</v>
      </c>
      <c r="BK7" s="5">
        <f>求节点(T$6:T$44,$M$67:$M$105,$AA7)</f>
        <v>2</v>
      </c>
      <c r="BL7" s="5">
        <f>求节点(U$6:U$44,$M$67:$M$105,$AA7)</f>
        <v>2.0466625418593285</v>
      </c>
      <c r="BM7" s="5">
        <f>求节点(V$6:V$44,$M$67:$M$105,$AA7)</f>
        <v>2.1241359579915127</v>
      </c>
      <c r="BN7" s="5">
        <f>求节点(W$6:W$44,$M$67:$M$105,$AA7)</f>
        <v>2.2351386111780336</v>
      </c>
      <c r="BO7" s="5">
        <f>求节点(X$6:X$44,$M$67:$M$105,$AA7)</f>
        <v>2.2968417458664669</v>
      </c>
      <c r="BP7" s="5">
        <f>求节点(T$67:T$105,$L$67:$L$105,$AA7)</f>
        <v>0</v>
      </c>
      <c r="BQ7" s="5">
        <f>求节点(U$67:U$105,$L$67:$L$105,$AA7)</f>
        <v>0</v>
      </c>
      <c r="BR7" s="5">
        <f>求节点(V$67:V$105,$L$67:$L$105,$AA7)</f>
        <v>0</v>
      </c>
      <c r="BS7" s="5">
        <f>求节点(W$67:W$105,$L$67:$L$105,$AA7)</f>
        <v>0</v>
      </c>
      <c r="BT7" s="5">
        <f>求节点(X$67:X$105,$L$67:$L$105,$AA7)</f>
        <v>0</v>
      </c>
      <c r="BZ7" s="5">
        <v>3</v>
      </c>
      <c r="CA7" s="5">
        <f t="shared" si="9"/>
        <v>208</v>
      </c>
      <c r="CB7" s="5">
        <f t="shared" si="10"/>
        <v>212.85290435337018</v>
      </c>
      <c r="CC7" s="5">
        <f t="shared" si="11"/>
        <v>220.91013963111729</v>
      </c>
      <c r="CD7" s="5">
        <f t="shared" si="12"/>
        <v>232.45441556251546</v>
      </c>
      <c r="CE7" s="5">
        <f t="shared" si="13"/>
        <v>238.87154157011258</v>
      </c>
      <c r="CF7" s="5">
        <f>(CA7-CA6)/节奏总纲!W6</f>
        <v>840.95388818688286</v>
      </c>
      <c r="CI7" s="5">
        <v>3</v>
      </c>
      <c r="CJ7" s="5">
        <f t="shared" si="14"/>
        <v>480</v>
      </c>
      <c r="CK7" s="5">
        <f t="shared" si="15"/>
        <v>491.19901004623887</v>
      </c>
      <c r="CL7" s="5">
        <f t="shared" si="16"/>
        <v>509.79262991796304</v>
      </c>
      <c r="CM7" s="5">
        <f t="shared" si="17"/>
        <v>536.43326668272812</v>
      </c>
      <c r="CN7" s="5">
        <f t="shared" si="18"/>
        <v>551.24201900795208</v>
      </c>
      <c r="CO7" s="5">
        <f>(CJ7-CJ6)/节奏总纲!W6</f>
        <v>1940.6628188928064</v>
      </c>
      <c r="CP7" s="5">
        <f t="shared" si="2"/>
        <v>2781.6167070796891</v>
      </c>
      <c r="CR7" s="5">
        <v>3</v>
      </c>
      <c r="CS7" s="5">
        <f t="shared" si="3"/>
        <v>0</v>
      </c>
      <c r="CT7" s="5">
        <f t="shared" si="4"/>
        <v>0</v>
      </c>
      <c r="CU7" s="5">
        <f t="shared" si="5"/>
        <v>0</v>
      </c>
      <c r="CV7" s="5">
        <f t="shared" si="6"/>
        <v>0</v>
      </c>
      <c r="CW7" s="5">
        <f t="shared" si="7"/>
        <v>0</v>
      </c>
      <c r="CX7" s="5">
        <f t="shared" ref="CX7:CX70" si="20">CS7-CS6</f>
        <v>0</v>
      </c>
      <c r="CY7" s="5">
        <f t="shared" ref="CY7:CY70" si="21">CT7-CT6</f>
        <v>0</v>
      </c>
      <c r="CZ7" s="5">
        <f t="shared" ref="CZ7:CZ70" si="22">CU7-CU6</f>
        <v>0</v>
      </c>
      <c r="DA7" s="5">
        <f t="shared" ref="DA7:DA70" si="23">CV7-CV6</f>
        <v>0</v>
      </c>
      <c r="DB7" s="5">
        <f t="shared" ref="DB7:DB70" si="24">CW7-CW6</f>
        <v>0</v>
      </c>
    </row>
    <row r="8" spans="2:106" x14ac:dyDescent="0.15">
      <c r="B8" s="5">
        <v>3</v>
      </c>
      <c r="D8" s="5">
        <f>ROUND(130/INDEX('[1]功能-付费相关'!$BB$6:$BB$165,基本信息!U6,1)/1200,0)*600</f>
        <v>6600</v>
      </c>
      <c r="E8" s="5">
        <v>120</v>
      </c>
      <c r="F8" s="5">
        <f>ROUND(60/INDEX('[1]功能-付费相关'!$AS$6:$AS$165,基本信息!C6,1)/600,0)*600</f>
        <v>23400</v>
      </c>
      <c r="H8" s="5">
        <v>9000</v>
      </c>
      <c r="I8" s="5">
        <f>ROUND(20*4/INDEX('[1]功能-付费相关'!$U$6:$U$165,基本信息!U6,1)/4000,0)*4000/2</f>
        <v>30000</v>
      </c>
      <c r="J8" s="5">
        <f>ROUND(50*2/INDEX('[1]功能-付费相关'!$AS$6:$AS$165,基本信息!U6,1)/2000,0)*2000</f>
        <v>40000</v>
      </c>
      <c r="K8" s="5">
        <v>88</v>
      </c>
      <c r="M8" s="5">
        <v>2</v>
      </c>
      <c r="N8" s="5">
        <v>0</v>
      </c>
      <c r="P8" s="5">
        <v>0</v>
      </c>
      <c r="Q8" s="5">
        <v>0</v>
      </c>
      <c r="S8" s="5">
        <v>3</v>
      </c>
      <c r="T8" s="5">
        <f>基本信息!C6</f>
        <v>9</v>
      </c>
      <c r="U8" s="5">
        <f>基本信息!D6</f>
        <v>8.7613519127764228</v>
      </c>
      <c r="V8" s="5">
        <f>基本信息!E6</f>
        <v>8.3841850299239606</v>
      </c>
      <c r="W8" s="5">
        <f>基本信息!F6</f>
        <v>7.921708584853552</v>
      </c>
      <c r="X8" s="5">
        <f>基本信息!G6</f>
        <v>7.6647097918727711</v>
      </c>
      <c r="AA8" s="5">
        <v>4</v>
      </c>
      <c r="AB8" s="5">
        <f>求节点(T$6:T$44,$C$67:$C$105,$AA8)</f>
        <v>0</v>
      </c>
      <c r="AC8" s="5">
        <f>求节点(U$6:U$44,$C$67:$C$105,$AA8)</f>
        <v>0</v>
      </c>
      <c r="AD8" s="5">
        <f>求节点(V$6:V$44,$C$67:$C$105,$AA8)</f>
        <v>0</v>
      </c>
      <c r="AE8" s="5">
        <f>求节点(W$6:W$44,$C$67:$C$105,$AA8)</f>
        <v>0</v>
      </c>
      <c r="AF8" s="5">
        <f>求节点(X$6:X$44,$C$67:$C$105,$AA8)</f>
        <v>0</v>
      </c>
      <c r="AG8" s="5">
        <f>求节点(T$6:T$44,$D$67:$D$105,$AA8)+求节点(T$67:T$105,$Q$67:$Q$105,$AA8)</f>
        <v>3800</v>
      </c>
      <c r="AH8" s="5">
        <f>求节点(U$6:U$44,$D$67:$D$105,$AA8)+求节点(U$67:U$105,$Q$67:$Q$105,$AA8)</f>
        <v>3940.2107483498125</v>
      </c>
      <c r="AI8" s="5">
        <f>求节点(V$6:V$44,$D$67:$D$105,$AA8)+求节点(V$67:V$105,$Q$67:$Q$105,$AA8)</f>
        <v>4173.8817119232499</v>
      </c>
      <c r="AJ8" s="5">
        <f>求节点(W$6:W$44,$D$67:$D$105,$AA8)+求节点(W$67:W$105,$Q$67:$Q$105,$AA8)</f>
        <v>4501.3923916528956</v>
      </c>
      <c r="AK8" s="5">
        <f>求节点(X$6:X$44,$D$67:$D$105,$AA8)+求节点(X$67:X$105,$Q$67:$Q$105,$AA8)</f>
        <v>4680.4177529123917</v>
      </c>
      <c r="AL8" s="5">
        <f>求节点(T$6:T$44,$F$67:$F$105,$AA8)+求节点(T$67:T$105,$P$67:$P$105,$AA8)</f>
        <v>27800</v>
      </c>
      <c r="AM8" s="5">
        <f>求节点(U$6:U$44,$F$67:$F$105,$AA8)+求节点(U$67:U$105,$P$67:$P$105,$AA8)</f>
        <v>28541.113955563294</v>
      </c>
      <c r="AN8" s="5">
        <f>求节点(V$6:V$44,$F$67:$F$105,$AA8)+求节点(V$67:V$105,$P$67:$P$105,$AA8)</f>
        <v>29776.231905880035</v>
      </c>
      <c r="AO8" s="5">
        <f>求节点(W$6:W$44,$F$67:$F$105,$AA8)+求节点(W$67:W$105,$P$67:$P$105,$AA8)</f>
        <v>31507.359784451019</v>
      </c>
      <c r="AP8" s="5">
        <f>求节点(X$6:X$44,$F$67:$F$105,$AA8)+求节点(X$67:X$105,$P$67:$P$105,$AA8)</f>
        <v>32453.636693965498</v>
      </c>
      <c r="AQ8" s="5">
        <f>求节点(T$6:T$44,$H$67:$H$105,$AA8)</f>
        <v>3400</v>
      </c>
      <c r="AR8" s="5">
        <f>求节点(U$6:U$44,$H$67:$H$105,$AA8)</f>
        <v>3560.2408552569286</v>
      </c>
      <c r="AS8" s="5">
        <f>求节点(V$6:V$44,$H$67:$H$105,$AA8)</f>
        <v>3827.2933850551426</v>
      </c>
      <c r="AT8" s="5">
        <f>求节点(W$6:W$44,$H$67:$H$105,$AA8)</f>
        <v>4201.5913047461663</v>
      </c>
      <c r="AU8" s="5">
        <f>求节点(X$6:X$44,$H$67:$H$105,$AA8)</f>
        <v>4406.1917176141633</v>
      </c>
      <c r="AV8" s="5">
        <f>求节点(T$6:T$44,$I$67:$I$105,$AA8)</f>
        <v>22666.666666666664</v>
      </c>
      <c r="AW8" s="5">
        <f>求节点(U$6:U$44,$I$67:$I$105,$AA8)</f>
        <v>23534.637965975031</v>
      </c>
      <c r="AX8" s="5">
        <f>求节点(V$6:V$44,$I$67:$I$105,$AA8)</f>
        <v>24981.172502382022</v>
      </c>
      <c r="AY8" s="5">
        <f>求节点(W$6:W$44,$I$67:$I$105,$AA8)</f>
        <v>27008.619567375066</v>
      </c>
      <c r="AZ8" s="5">
        <f>求节点(X$6:X$44,$I$67:$I$105,$AA8)</f>
        <v>28116.871803743379</v>
      </c>
      <c r="BA8" s="5">
        <f>求节点(T$6:T$44,$E$67:$E$105,$AA8)+求节点(T$6:T$44,$K$67:$K$105,$AA8)+求节点(T$67:T$105,$O$67:$O$105,$AA8)</f>
        <v>277.33333333333331</v>
      </c>
      <c r="BB8" s="5">
        <f>求节点(U$6:U$44,$E$67:$E$105,$AA8)+求节点(U$6:U$44,$K$67:$K$105,$AA8)+求节点(U$67:U$105,$O$67:$O$105,$AA8)</f>
        <v>284.2771037278003</v>
      </c>
      <c r="BC8" s="5">
        <f>求节点(V$6:V$44,$E$67:$E$105,$AA8)+求节点(V$6:V$44,$K$67:$K$105,$AA8)+求节点(V$67:V$105,$O$67:$O$105,$AA8)</f>
        <v>295.84938001905618</v>
      </c>
      <c r="BD8" s="5">
        <f>求节点(W$6:W$44,$E$67:$E$105,$AA8)+求节点(W$6:W$44,$K$67:$K$105,$AA8)+求节点(W$67:W$105,$O$67:$O$105,$AA8)</f>
        <v>312.06895653900051</v>
      </c>
      <c r="BE8" s="5">
        <f>求节点(X$6:X$44,$E$67:$E$105,$AA8)+求节点(X$6:X$44,$K$67:$K$105,$AA8)+求节点(X$67:X$105,$O$67:$O$105,$AA8)</f>
        <v>320.93497442994703</v>
      </c>
      <c r="BF8" s="5">
        <f>求节点(T$6:T$44,$G$67:$G$105,$AA8)</f>
        <v>0</v>
      </c>
      <c r="BG8" s="5">
        <f>求节点(U$6:U$44,$G$67:$G$105,$AA8)</f>
        <v>0</v>
      </c>
      <c r="BH8" s="5">
        <f>求节点(V$6:V$44,$G$67:$G$105,$AA8)</f>
        <v>0</v>
      </c>
      <c r="BI8" s="5">
        <f>求节点(W$6:W$44,$G$67:$G$105,$AA8)</f>
        <v>0</v>
      </c>
      <c r="BJ8" s="5">
        <f>求节点(X$6:X$44,$G$67:$G$105,$AA8)</f>
        <v>0</v>
      </c>
      <c r="BK8" s="5">
        <f>求节点(T$6:T$44,$M$67:$M$105,$AA8)</f>
        <v>2.6666666666666665</v>
      </c>
      <c r="BL8" s="5">
        <f>求节点(U$6:U$44,$M$67:$M$105,$AA8)</f>
        <v>2.7334336896903872</v>
      </c>
      <c r="BM8" s="5">
        <f>求节点(V$6:V$44,$M$67:$M$105,$AA8)</f>
        <v>2.8447055771063097</v>
      </c>
      <c r="BN8" s="5">
        <f>求节点(W$6:W$44,$M$67:$M$105,$AA8)</f>
        <v>3.0006630436442361</v>
      </c>
      <c r="BO8" s="5">
        <f>求节点(X$6:X$44,$M$67:$M$105,$AA8)</f>
        <v>3.0859132156725675</v>
      </c>
      <c r="BP8" s="5">
        <f>求节点(T$67:T$105,$L$67:$L$105,$AA8)</f>
        <v>0</v>
      </c>
      <c r="BQ8" s="5">
        <f>求节点(U$67:U$105,$L$67:$L$105,$AA8)</f>
        <v>0</v>
      </c>
      <c r="BR8" s="5">
        <f>求节点(V$67:V$105,$L$67:$L$105,$AA8)</f>
        <v>0</v>
      </c>
      <c r="BS8" s="5">
        <f>求节点(W$67:W$105,$L$67:$L$105,$AA8)</f>
        <v>0</v>
      </c>
      <c r="BT8" s="5">
        <f>求节点(X$67:X$105,$L$67:$L$105,$AA8)</f>
        <v>0</v>
      </c>
      <c r="BZ8" s="5">
        <v>4</v>
      </c>
      <c r="CA8" s="5">
        <f t="shared" si="9"/>
        <v>277.33333333333331</v>
      </c>
      <c r="CB8" s="5">
        <f t="shared" si="10"/>
        <v>284.2771037278003</v>
      </c>
      <c r="CC8" s="5">
        <f t="shared" si="11"/>
        <v>295.84938001905618</v>
      </c>
      <c r="CD8" s="5">
        <f t="shared" si="12"/>
        <v>312.06895653900051</v>
      </c>
      <c r="CE8" s="5">
        <f t="shared" si="13"/>
        <v>320.93497442994703</v>
      </c>
      <c r="CF8" s="5">
        <f>(CA8-CA7)/节奏总纲!W7</f>
        <v>784.63772203951726</v>
      </c>
      <c r="CI8" s="5">
        <v>4</v>
      </c>
      <c r="CJ8" s="5">
        <f t="shared" si="14"/>
        <v>640</v>
      </c>
      <c r="CK8" s="5">
        <f t="shared" si="15"/>
        <v>656.02408552569295</v>
      </c>
      <c r="CL8" s="5">
        <f t="shared" si="16"/>
        <v>682.72933850551431</v>
      </c>
      <c r="CM8" s="5">
        <f t="shared" si="17"/>
        <v>720.15913047461663</v>
      </c>
      <c r="CN8" s="5">
        <f t="shared" si="18"/>
        <v>740.61917176141617</v>
      </c>
      <c r="CO8" s="5">
        <f>(CJ8-CJ7)/节奏总纲!W7</f>
        <v>1810.7024354758096</v>
      </c>
      <c r="CP8" s="5">
        <f t="shared" si="2"/>
        <v>2595.3401575153266</v>
      </c>
      <c r="CR8" s="5">
        <v>4</v>
      </c>
      <c r="CS8" s="5">
        <f t="shared" si="3"/>
        <v>0</v>
      </c>
      <c r="CT8" s="5">
        <f t="shared" si="4"/>
        <v>0</v>
      </c>
      <c r="CU8" s="5">
        <f t="shared" si="5"/>
        <v>0</v>
      </c>
      <c r="CV8" s="5">
        <f t="shared" si="6"/>
        <v>0</v>
      </c>
      <c r="CW8" s="5">
        <f t="shared" si="7"/>
        <v>0</v>
      </c>
      <c r="CX8" s="5">
        <f t="shared" si="20"/>
        <v>0</v>
      </c>
      <c r="CY8" s="5">
        <f t="shared" si="21"/>
        <v>0</v>
      </c>
      <c r="CZ8" s="5">
        <f t="shared" si="22"/>
        <v>0</v>
      </c>
      <c r="DA8" s="5">
        <f t="shared" si="23"/>
        <v>0</v>
      </c>
      <c r="DB8" s="5">
        <f t="shared" si="24"/>
        <v>0</v>
      </c>
    </row>
    <row r="9" spans="2:106" x14ac:dyDescent="0.15">
      <c r="B9" s="5">
        <v>4</v>
      </c>
      <c r="D9" s="5">
        <f>ROUND(130/INDEX('[1]功能-付费相关'!$BB$6:$BB$165,基本信息!U7,1)/1200,0)*600</f>
        <v>10200</v>
      </c>
      <c r="E9" s="5">
        <v>120</v>
      </c>
      <c r="F9" s="5">
        <f>ROUND(60/INDEX('[1]功能-付费相关'!$AS$6:$AS$165,基本信息!C7,1)/600,0)*600</f>
        <v>25200</v>
      </c>
      <c r="H9" s="5">
        <v>12000</v>
      </c>
      <c r="I9" s="5">
        <f>ROUND(20*4/INDEX('[1]功能-付费相关'!$U$6:$U$165,基本信息!U7,1)/4000,0)*4000/2</f>
        <v>36000</v>
      </c>
      <c r="J9" s="5">
        <f>ROUND(50*2/INDEX('[1]功能-付费相关'!$AS$6:$AS$165,基本信息!U7,1)/2000,0)*2000</f>
        <v>42000</v>
      </c>
      <c r="K9" s="5">
        <v>88</v>
      </c>
      <c r="M9" s="5">
        <v>2</v>
      </c>
      <c r="N9" s="5">
        <v>0</v>
      </c>
      <c r="P9" s="5">
        <v>0</v>
      </c>
      <c r="Q9" s="5">
        <v>0</v>
      </c>
      <c r="S9" s="5">
        <v>4</v>
      </c>
      <c r="T9" s="5">
        <f>基本信息!C7</f>
        <v>12</v>
      </c>
      <c r="U9" s="5">
        <f>基本信息!D7</f>
        <v>11.661397172160591</v>
      </c>
      <c r="V9" s="5">
        <f>基本信息!E7</f>
        <v>11.126542297633446</v>
      </c>
      <c r="W9" s="5">
        <f>基本信息!F7</f>
        <v>10.456936189693174</v>
      </c>
      <c r="X9" s="5">
        <f>基本信息!G7</f>
        <v>10.140477494841452</v>
      </c>
      <c r="AA9" s="5">
        <v>5</v>
      </c>
      <c r="AB9" s="5">
        <f>求节点(T$6:T$44,$C$67:$C$105,$AA9)</f>
        <v>0</v>
      </c>
      <c r="AC9" s="5">
        <f>求节点(U$6:U$44,$C$67:$C$105,$AA9)</f>
        <v>0</v>
      </c>
      <c r="AD9" s="5">
        <f>求节点(V$6:V$44,$C$67:$C$105,$AA9)</f>
        <v>0</v>
      </c>
      <c r="AE9" s="5">
        <f>求节点(W$6:W$44,$C$67:$C$105,$AA9)</f>
        <v>0</v>
      </c>
      <c r="AF9" s="5">
        <f>求节点(X$6:X$44,$C$67:$C$105,$AA9)</f>
        <v>0</v>
      </c>
      <c r="AG9" s="5">
        <f>求节点(T$6:T$44,$D$67:$D$105,$AA9)+求节点(T$67:T$105,$Q$67:$Q$105,$AA9)</f>
        <v>5200</v>
      </c>
      <c r="AH9" s="5">
        <f>求节点(U$6:U$44,$D$67:$D$105,$AA9)+求节点(U$67:U$105,$Q$67:$Q$105,$AA9)</f>
        <v>5382.4301587950349</v>
      </c>
      <c r="AI9" s="5">
        <f>求节点(V$6:V$44,$D$67:$D$105,$AA9)+求节点(V$67:V$105,$Q$67:$Q$105,$AA9)</f>
        <v>5687.0779120643228</v>
      </c>
      <c r="AJ9" s="5">
        <f>求节点(W$6:W$44,$D$67:$D$105,$AA9)+求节点(W$67:W$105,$Q$67:$Q$105,$AA9)</f>
        <v>6108.9936998319208</v>
      </c>
      <c r="AK9" s="5">
        <f>求节点(X$6:X$44,$D$67:$D$105,$AA9)+求节点(X$67:X$105,$Q$67:$Q$105,$AA9)</f>
        <v>6337.4678395052042</v>
      </c>
      <c r="AL9" s="5">
        <f>求节点(T$6:T$44,$F$67:$F$105,$AA9)+求节点(T$67:T$105,$P$67:$P$105,$AA9)</f>
        <v>35200</v>
      </c>
      <c r="AM9" s="5">
        <f>求节点(U$6:U$44,$F$67:$F$105,$AA9)+求节点(U$67:U$105,$P$67:$P$105,$AA9)</f>
        <v>36164.273696488046</v>
      </c>
      <c r="AN9" s="5">
        <f>求节点(V$6:V$44,$F$67:$F$105,$AA9)+求节点(V$67:V$105,$P$67:$P$105,$AA9)</f>
        <v>37774.554678054279</v>
      </c>
      <c r="AO9" s="5">
        <f>求节点(W$6:W$44,$F$67:$F$105,$AA9)+求节点(W$67:W$105,$P$67:$P$105,$AA9)</f>
        <v>40004.680984825871</v>
      </c>
      <c r="AP9" s="5">
        <f>求节点(X$6:X$44,$F$67:$F$105,$AA9)+求节点(X$67:X$105,$P$67:$P$105,$AA9)</f>
        <v>41212.330008813224</v>
      </c>
      <c r="AQ9" s="5">
        <f>求节点(T$6:T$44,$H$67:$H$105,$AA9)</f>
        <v>5000</v>
      </c>
      <c r="AR9" s="5">
        <f>求节点(U$6:U$44,$H$67:$H$105,$AA9)</f>
        <v>5208.4916100514693</v>
      </c>
      <c r="AS9" s="5">
        <f>求节点(V$6:V$44,$H$67:$H$105,$AA9)</f>
        <v>5556.6604709306548</v>
      </c>
      <c r="AT9" s="5">
        <f>求节点(W$6:W$44,$H$67:$H$105,$AA9)</f>
        <v>6038.8499426650524</v>
      </c>
      <c r="AU9" s="5">
        <f>求节点(X$6:X$44,$H$67:$H$105,$AA9)</f>
        <v>6299.9632451488051</v>
      </c>
      <c r="AV9" s="5">
        <f>求节点(T$6:T$44,$I$67:$I$105,$AA9)</f>
        <v>31333.333333333332</v>
      </c>
      <c r="AW9" s="5">
        <f>求节点(U$6:U$44,$I$67:$I$105,$AA9)</f>
        <v>32462.662887778788</v>
      </c>
      <c r="AX9" s="5">
        <f>求节点(V$6:V$44,$I$67:$I$105,$AA9)</f>
        <v>34348.577550874383</v>
      </c>
      <c r="AY9" s="5">
        <f>求节点(W$6:W$44,$I$67:$I$105,$AA9)</f>
        <v>36960.437189435703</v>
      </c>
      <c r="AZ9" s="5">
        <f>求节点(X$6:X$44,$I$67:$I$105,$AA9)</f>
        <v>38374.800911222694</v>
      </c>
      <c r="BA9" s="5">
        <f>求节点(T$6:T$44,$E$67:$E$105,$AA9)+求节点(T$6:T$44,$K$67:$K$105,$AA9)+求节点(T$67:T$105,$O$67:$O$105,$AA9)</f>
        <v>346.66666666666663</v>
      </c>
      <c r="BB9" s="5">
        <f>求节点(U$6:U$44,$E$67:$E$105,$AA9)+求节点(U$6:U$44,$K$67:$K$105,$AA9)+求节点(U$67:U$105,$O$67:$O$105,$AA9)</f>
        <v>355.70130310223033</v>
      </c>
      <c r="BC9" s="5">
        <f>求节点(V$6:V$44,$E$67:$E$105,$AA9)+求节点(V$6:V$44,$K$67:$K$105,$AA9)+求节点(V$67:V$105,$O$67:$O$105,$AA9)</f>
        <v>370.78862040699505</v>
      </c>
      <c r="BD9" s="5">
        <f>求节点(W$6:W$44,$E$67:$E$105,$AA9)+求节点(W$6:W$44,$K$67:$K$105,$AA9)+求节点(W$67:W$105,$O$67:$O$105,$AA9)</f>
        <v>391.68349751548556</v>
      </c>
      <c r="BE9" s="5">
        <f>求节点(X$6:X$44,$E$67:$E$105,$AA9)+求节点(X$6:X$44,$K$67:$K$105,$AA9)+求节点(X$67:X$105,$O$67:$O$105,$AA9)</f>
        <v>402.99840728978154</v>
      </c>
      <c r="BF9" s="5">
        <f>求节点(T$6:T$44,$G$67:$G$105,$AA9)</f>
        <v>0</v>
      </c>
      <c r="BG9" s="5">
        <f>求节点(U$6:U$44,$G$67:$G$105,$AA9)</f>
        <v>0</v>
      </c>
      <c r="BH9" s="5">
        <f>求节点(V$6:V$44,$G$67:$G$105,$AA9)</f>
        <v>0</v>
      </c>
      <c r="BI9" s="5">
        <f>求节点(W$6:W$44,$G$67:$G$105,$AA9)</f>
        <v>0</v>
      </c>
      <c r="BJ9" s="5">
        <f>求节点(X$6:X$44,$G$67:$G$105,$AA9)</f>
        <v>0</v>
      </c>
      <c r="BK9" s="5">
        <f>求节点(T$6:T$44,$M$67:$M$105,$AA9)</f>
        <v>3.333333333333333</v>
      </c>
      <c r="BL9" s="5">
        <f>求节点(U$6:U$44,$M$67:$M$105,$AA9)</f>
        <v>3.4202048375214451</v>
      </c>
      <c r="BM9" s="5">
        <f>求节点(V$6:V$44,$M$67:$M$105,$AA9)</f>
        <v>3.5652751962211062</v>
      </c>
      <c r="BN9" s="5">
        <f>求节点(W$6:W$44,$M$67:$M$105,$AA9)</f>
        <v>3.7661874761104386</v>
      </c>
      <c r="BO9" s="5">
        <f>求节点(X$6:X$44,$M$67:$M$105,$AA9)</f>
        <v>3.8749846854786685</v>
      </c>
      <c r="BP9" s="5">
        <f>求节点(T$67:T$105,$L$67:$L$105,$AA9)</f>
        <v>0</v>
      </c>
      <c r="BQ9" s="5">
        <f>求节点(U$67:U$105,$L$67:$L$105,$AA9)</f>
        <v>0</v>
      </c>
      <c r="BR9" s="5">
        <f>求节点(V$67:V$105,$L$67:$L$105,$AA9)</f>
        <v>0</v>
      </c>
      <c r="BS9" s="5">
        <f>求节点(W$67:W$105,$L$67:$L$105,$AA9)</f>
        <v>0</v>
      </c>
      <c r="BT9" s="5">
        <f>求节点(X$67:X$105,$L$67:$L$105,$AA9)</f>
        <v>0</v>
      </c>
      <c r="BZ9" s="5">
        <v>5</v>
      </c>
      <c r="CA9" s="5">
        <f t="shared" si="9"/>
        <v>346.66666666666663</v>
      </c>
      <c r="CB9" s="5">
        <f t="shared" si="10"/>
        <v>355.70130310223033</v>
      </c>
      <c r="CC9" s="5">
        <f t="shared" si="11"/>
        <v>370.78862040699505</v>
      </c>
      <c r="CD9" s="5">
        <f t="shared" si="12"/>
        <v>391.68349751548556</v>
      </c>
      <c r="CE9" s="5">
        <f t="shared" si="13"/>
        <v>402.99840728978154</v>
      </c>
      <c r="CF9" s="5">
        <f>(CA9-CA8)/节奏总纲!W8</f>
        <v>732.09288106715485</v>
      </c>
      <c r="CI9" s="5">
        <v>5</v>
      </c>
      <c r="CJ9" s="5">
        <f t="shared" si="14"/>
        <v>799.99999999999989</v>
      </c>
      <c r="CK9" s="5">
        <f t="shared" si="15"/>
        <v>820.84916100514681</v>
      </c>
      <c r="CL9" s="5">
        <f t="shared" si="16"/>
        <v>855.66604709306546</v>
      </c>
      <c r="CM9" s="5">
        <f t="shared" si="17"/>
        <v>903.88499426650526</v>
      </c>
      <c r="CN9" s="5">
        <f t="shared" si="18"/>
        <v>929.99632451488048</v>
      </c>
      <c r="CO9" s="5">
        <f>(CJ9-CJ8)/节奏总纲!W8</f>
        <v>1689.4451101549719</v>
      </c>
      <c r="CP9" s="5">
        <f t="shared" si="2"/>
        <v>2421.5379912221269</v>
      </c>
      <c r="CR9" s="5">
        <v>5</v>
      </c>
      <c r="CS9" s="5">
        <f t="shared" si="3"/>
        <v>0</v>
      </c>
      <c r="CT9" s="5">
        <f t="shared" si="4"/>
        <v>0</v>
      </c>
      <c r="CU9" s="5">
        <f t="shared" si="5"/>
        <v>0</v>
      </c>
      <c r="CV9" s="5">
        <f t="shared" si="6"/>
        <v>0</v>
      </c>
      <c r="CW9" s="5">
        <f t="shared" si="7"/>
        <v>0</v>
      </c>
      <c r="CX9" s="5">
        <f t="shared" si="20"/>
        <v>0</v>
      </c>
      <c r="CY9" s="5">
        <f t="shared" si="21"/>
        <v>0</v>
      </c>
      <c r="CZ9" s="5">
        <f t="shared" si="22"/>
        <v>0</v>
      </c>
      <c r="DA9" s="5">
        <f t="shared" si="23"/>
        <v>0</v>
      </c>
      <c r="DB9" s="5">
        <f t="shared" si="24"/>
        <v>0</v>
      </c>
    </row>
    <row r="10" spans="2:106" x14ac:dyDescent="0.15">
      <c r="B10" s="5">
        <v>5</v>
      </c>
      <c r="D10" s="5">
        <f>ROUND(130/INDEX('[1]功能-付费相关'!$BB$6:$BB$165,基本信息!U8,1)/1200,0)*600</f>
        <v>15000</v>
      </c>
      <c r="E10" s="5">
        <v>120</v>
      </c>
      <c r="F10" s="5">
        <f>ROUND(60/INDEX('[1]功能-付费相关'!$AS$6:$AS$165,基本信息!C8,1)/600,0)*600</f>
        <v>26400</v>
      </c>
      <c r="H10" s="5">
        <v>18000</v>
      </c>
      <c r="I10" s="5">
        <f>ROUND(20*4/INDEX('[1]功能-付费相关'!$U$6:$U$165,基本信息!U8,1)/4000,0)*4000/2</f>
        <v>42000</v>
      </c>
      <c r="J10" s="5">
        <f>ROUND(50*2/INDEX('[1]功能-付费相关'!$AS$6:$AS$165,基本信息!U8,1)/2000,0)*2000</f>
        <v>44000</v>
      </c>
      <c r="K10" s="5">
        <v>88</v>
      </c>
      <c r="M10" s="5">
        <v>2</v>
      </c>
      <c r="N10" s="5">
        <v>0</v>
      </c>
      <c r="P10" s="5">
        <v>0</v>
      </c>
      <c r="Q10" s="5">
        <v>0</v>
      </c>
      <c r="S10" s="5">
        <v>5</v>
      </c>
      <c r="T10" s="5">
        <f>基本信息!C8</f>
        <v>15</v>
      </c>
      <c r="U10" s="5">
        <f>基本信息!D8</f>
        <v>14.617654955009588</v>
      </c>
      <c r="V10" s="5">
        <f>基本信息!E8</f>
        <v>14.024498867791426</v>
      </c>
      <c r="W10" s="5">
        <f>基本信息!F8</f>
        <v>13.113176648184169</v>
      </c>
      <c r="X10" s="5">
        <f>基本信息!G8</f>
        <v>12.560656616306117</v>
      </c>
      <c r="AA10" s="5">
        <v>6</v>
      </c>
      <c r="AB10" s="5">
        <f>求节点(T$6:T$44,$C$67:$C$105,$AA10)</f>
        <v>0</v>
      </c>
      <c r="AC10" s="5">
        <f>求节点(U$6:U$44,$C$67:$C$105,$AA10)</f>
        <v>0</v>
      </c>
      <c r="AD10" s="5">
        <f>求节点(V$6:V$44,$C$67:$C$105,$AA10)</f>
        <v>0</v>
      </c>
      <c r="AE10" s="5">
        <f>求节点(W$6:W$44,$C$67:$C$105,$AA10)</f>
        <v>0</v>
      </c>
      <c r="AF10" s="5">
        <f>求节点(X$6:X$44,$C$67:$C$105,$AA10)</f>
        <v>0</v>
      </c>
      <c r="AG10" s="5">
        <f>求节点(T$6:T$44,$D$67:$D$105,$AA10)+求节点(T$67:T$105,$Q$67:$Q$105,$AA10)</f>
        <v>6600</v>
      </c>
      <c r="AH10" s="5">
        <f>求节点(U$6:U$44,$D$67:$D$105,$AA10)+求节点(U$67:U$105,$Q$67:$Q$105,$AA10)</f>
        <v>6952.4229000361765</v>
      </c>
      <c r="AI10" s="5">
        <f>求节点(V$6:V$44,$D$67:$D$105,$AA10)+求节点(V$67:V$105,$Q$67:$Q$105,$AA10)</f>
        <v>7541.4914711001393</v>
      </c>
      <c r="AJ10" s="5">
        <f>求节点(W$6:W$44,$D$67:$D$105,$AA10)+求节点(W$67:W$105,$Q$67:$Q$105,$AA10)</f>
        <v>8352.1727927300071</v>
      </c>
      <c r="AK10" s="5">
        <f>求节点(X$6:X$44,$D$67:$D$105,$AA10)+求节点(X$67:X$105,$Q$67:$Q$105,$AA10)</f>
        <v>8816.1719126080243</v>
      </c>
      <c r="AL10" s="5">
        <f>求节点(T$6:T$44,$F$67:$F$105,$AA10)+求节点(T$67:T$105,$P$67:$P$105,$AA10)</f>
        <v>42600</v>
      </c>
      <c r="AM10" s="5">
        <f>求节点(U$6:U$44,$F$67:$F$105,$AA10)+求节点(U$67:U$105,$P$67:$P$105,$AA10)</f>
        <v>43849.499372855535</v>
      </c>
      <c r="AN10" s="5">
        <f>求节点(V$6:V$44,$F$67:$F$105,$AA10)+求节点(V$67:V$105,$P$67:$P$105,$AA10)</f>
        <v>45938.015215718675</v>
      </c>
      <c r="AO10" s="5">
        <f>求节点(W$6:W$44,$F$67:$F$105,$AA10)+求节点(W$67:W$105,$P$67:$P$105,$AA10)</f>
        <v>48812.248992406392</v>
      </c>
      <c r="AP10" s="5">
        <f>求节点(X$6:X$44,$F$67:$F$105,$AA10)+求节点(X$67:X$105,$P$67:$P$105,$AA10)</f>
        <v>50457.33678106482</v>
      </c>
      <c r="AQ10" s="5">
        <f>求节点(T$6:T$44,$H$67:$H$105,$AA10)</f>
        <v>6600</v>
      </c>
      <c r="AR10" s="5">
        <f>求节点(U$6:U$44,$H$67:$H$105,$AA10)</f>
        <v>7080.5766818675138</v>
      </c>
      <c r="AS10" s="5">
        <f>求节点(V$6:V$44,$H$67:$H$105,$AA10)</f>
        <v>7883.8520060456449</v>
      </c>
      <c r="AT10" s="5">
        <f>求节点(W$6:W$44,$H$67:$H$105,$AA10)</f>
        <v>8989.3265355409185</v>
      </c>
      <c r="AU10" s="5">
        <f>求节点(X$6:X$44,$H$67:$H$105,$AA10)</f>
        <v>9622.0526081018525</v>
      </c>
      <c r="AV10" s="5">
        <f>求节点(T$6:T$44,$I$67:$I$105,$AA10)</f>
        <v>40000</v>
      </c>
      <c r="AW10" s="5">
        <f>求节点(U$6:U$44,$I$67:$I$105,$AA10)</f>
        <v>41601.922272891716</v>
      </c>
      <c r="AX10" s="5">
        <f>求节点(V$6:V$44,$I$67:$I$105,$AA10)</f>
        <v>44279.506686818815</v>
      </c>
      <c r="AY10" s="5">
        <f>求节点(W$6:W$44,$I$67:$I$105,$AA10)</f>
        <v>47964.421785136394</v>
      </c>
      <c r="AZ10" s="5">
        <f>求节点(X$6:X$44,$I$67:$I$105,$AA10)</f>
        <v>50073.50869367284</v>
      </c>
      <c r="BA10" s="5">
        <f>求节点(T$6:T$44,$E$67:$E$105,$AA10)+求节点(T$6:T$44,$K$67:$K$105,$AA10)+求节点(T$67:T$105,$O$67:$O$105,$AA10)</f>
        <v>416</v>
      </c>
      <c r="BB10" s="5">
        <f>求节点(U$6:U$44,$E$67:$E$105,$AA10)+求节点(U$6:U$44,$K$67:$K$105,$AA10)+求节点(U$67:U$105,$O$67:$O$105,$AA10)</f>
        <v>427.10666109204919</v>
      </c>
      <c r="BC10" s="5">
        <f>求节点(V$6:V$44,$E$67:$E$105,$AA10)+求节点(V$6:V$44,$K$67:$K$105,$AA10)+求节点(V$67:V$105,$O$67:$O$105,$AA10)</f>
        <v>445.67124636194382</v>
      </c>
      <c r="BD10" s="5">
        <f>求节点(W$6:W$44,$E$67:$E$105,$AA10)+求节点(W$6:W$44,$K$67:$K$105,$AA10)+求节点(W$67:W$105,$O$67:$O$105,$AA10)</f>
        <v>471.21999104361237</v>
      </c>
      <c r="BE10" s="5">
        <f>求节点(X$6:X$44,$E$67:$E$105,$AA10)+求节点(X$6:X$44,$K$67:$K$105,$AA10)+求节点(X$67:X$105,$O$67:$O$105,$AA10)</f>
        <v>485.842993609465</v>
      </c>
      <c r="BF10" s="5">
        <f>求节点(T$6:T$44,$G$67:$G$105,$AA10)</f>
        <v>0</v>
      </c>
      <c r="BG10" s="5">
        <f>求节点(U$6:U$44,$G$67:$G$105,$AA10)</f>
        <v>0</v>
      </c>
      <c r="BH10" s="5">
        <f>求节点(V$6:V$44,$G$67:$G$105,$AA10)</f>
        <v>0</v>
      </c>
      <c r="BI10" s="5">
        <f>求节点(W$6:W$44,$G$67:$G$105,$AA10)</f>
        <v>0</v>
      </c>
      <c r="BJ10" s="5">
        <f>求节点(X$6:X$44,$G$67:$G$105,$AA10)</f>
        <v>0</v>
      </c>
      <c r="BK10" s="5">
        <f>求节点(T$6:T$44,$M$67:$M$105,$AA10)</f>
        <v>4</v>
      </c>
      <c r="BL10" s="5">
        <f>求节点(U$6:U$44,$M$67:$M$105,$AA10)</f>
        <v>4.1067948181927809</v>
      </c>
      <c r="BM10" s="5">
        <f>求节点(V$6:V$44,$M$67:$M$105,$AA10)</f>
        <v>4.2853004457879207</v>
      </c>
      <c r="BN10" s="5">
        <f>求节点(W$6:W$44,$M$67:$M$105,$AA10)</f>
        <v>4.5309614523424262</v>
      </c>
      <c r="BO10" s="5">
        <f>求节点(X$6:X$44,$M$67:$M$105,$AA10)</f>
        <v>4.6715672462448561</v>
      </c>
      <c r="BP10" s="5">
        <f>求节点(T$67:T$105,$L$67:$L$105,$AA10)</f>
        <v>0</v>
      </c>
      <c r="BQ10" s="5">
        <f>求节点(U$67:U$105,$L$67:$L$105,$AA10)</f>
        <v>0</v>
      </c>
      <c r="BR10" s="5">
        <f>求节点(V$67:V$105,$L$67:$L$105,$AA10)</f>
        <v>0</v>
      </c>
      <c r="BS10" s="5">
        <f>求节点(W$67:W$105,$L$67:$L$105,$AA10)</f>
        <v>0</v>
      </c>
      <c r="BT10" s="5">
        <f>求节点(X$67:X$105,$L$67:$L$105,$AA10)</f>
        <v>0</v>
      </c>
      <c r="BZ10" s="5">
        <v>6</v>
      </c>
      <c r="CA10" s="5">
        <f t="shared" si="9"/>
        <v>416</v>
      </c>
      <c r="CB10" s="5">
        <f t="shared" si="10"/>
        <v>427.10666109204919</v>
      </c>
      <c r="CC10" s="5">
        <f t="shared" si="11"/>
        <v>445.67124636194382</v>
      </c>
      <c r="CD10" s="5">
        <f t="shared" si="12"/>
        <v>471.21999104361237</v>
      </c>
      <c r="CE10" s="5">
        <f t="shared" si="13"/>
        <v>485.842993609465</v>
      </c>
      <c r="CF10" s="5">
        <f>(CA10-CA9)/节奏总纲!W9</f>
        <v>683.06681090489064</v>
      </c>
      <c r="CI10" s="5">
        <v>6</v>
      </c>
      <c r="CJ10" s="5">
        <f t="shared" si="14"/>
        <v>960</v>
      </c>
      <c r="CK10" s="5">
        <f t="shared" si="15"/>
        <v>985.63075636626741</v>
      </c>
      <c r="CL10" s="5">
        <f t="shared" si="16"/>
        <v>1028.4721069891009</v>
      </c>
      <c r="CM10" s="5">
        <f t="shared" si="17"/>
        <v>1087.4307485621823</v>
      </c>
      <c r="CN10" s="5">
        <f t="shared" si="18"/>
        <v>1121.1761390987654</v>
      </c>
      <c r="CO10" s="5">
        <f>(CJ10-CJ9)/节奏总纲!W9</f>
        <v>1576.3080251651324</v>
      </c>
      <c r="CP10" s="5">
        <f t="shared" si="2"/>
        <v>2259.3748360700229</v>
      </c>
      <c r="CR10" s="5">
        <v>6</v>
      </c>
      <c r="CS10" s="5">
        <f t="shared" si="3"/>
        <v>0</v>
      </c>
      <c r="CT10" s="5">
        <f t="shared" si="4"/>
        <v>0</v>
      </c>
      <c r="CU10" s="5">
        <f t="shared" si="5"/>
        <v>0</v>
      </c>
      <c r="CV10" s="5">
        <f t="shared" si="6"/>
        <v>0</v>
      </c>
      <c r="CW10" s="5">
        <f t="shared" si="7"/>
        <v>0</v>
      </c>
      <c r="CX10" s="5">
        <f t="shared" si="20"/>
        <v>0</v>
      </c>
      <c r="CY10" s="5">
        <f t="shared" si="21"/>
        <v>0</v>
      </c>
      <c r="CZ10" s="5">
        <f t="shared" si="22"/>
        <v>0</v>
      </c>
      <c r="DA10" s="5">
        <f t="shared" si="23"/>
        <v>0</v>
      </c>
      <c r="DB10" s="5">
        <f t="shared" si="24"/>
        <v>0</v>
      </c>
    </row>
    <row r="11" spans="2:106" x14ac:dyDescent="0.15">
      <c r="B11" s="5">
        <v>6</v>
      </c>
      <c r="D11" s="5">
        <f>ROUND(130/INDEX('[1]功能-付费相关'!$BB$6:$BB$165,基本信息!U9,1)/1200,0)*600</f>
        <v>21600</v>
      </c>
      <c r="E11" s="5">
        <v>120</v>
      </c>
      <c r="F11" s="5">
        <f>ROUND(60/INDEX('[1]功能-付费相关'!$AS$6:$AS$165,基本信息!C9,1)/600,0)*600</f>
        <v>27600</v>
      </c>
      <c r="H11" s="5">
        <v>27000</v>
      </c>
      <c r="I11" s="5">
        <f>ROUND(20*4/INDEX('[1]功能-付费相关'!$U$6:$U$165,基本信息!U9,1)/4000,0)*4000/2</f>
        <v>50000</v>
      </c>
      <c r="J11" s="5">
        <f>ROUND(50*2/INDEX('[1]功能-付费相关'!$AS$6:$AS$165,基本信息!U9,1)/2000,0)*2000</f>
        <v>46000</v>
      </c>
      <c r="K11" s="5">
        <v>88</v>
      </c>
      <c r="M11" s="5">
        <v>2</v>
      </c>
      <c r="N11" s="5">
        <v>0</v>
      </c>
      <c r="P11" s="5">
        <v>0</v>
      </c>
      <c r="Q11" s="5">
        <v>0</v>
      </c>
      <c r="S11" s="5">
        <v>6</v>
      </c>
      <c r="T11" s="5">
        <f>基本信息!C9</f>
        <v>18</v>
      </c>
      <c r="U11" s="5">
        <f>基本信息!D9</f>
        <v>17.548473121974101</v>
      </c>
      <c r="V11" s="5">
        <f>基本信息!E9</f>
        <v>16.874781217774334</v>
      </c>
      <c r="W11" s="5">
        <f>基本信息!F9</f>
        <v>15.824293721721368</v>
      </c>
      <c r="X11" s="5">
        <f>基本信息!G9</f>
        <v>15.141130078790686</v>
      </c>
      <c r="AA11" s="5">
        <v>7</v>
      </c>
      <c r="AB11" s="5">
        <f>求节点(T$6:T$44,$C$67:$C$105,$AA11)</f>
        <v>0</v>
      </c>
      <c r="AC11" s="5">
        <f>求节点(U$6:U$44,$C$67:$C$105,$AA11)</f>
        <v>0</v>
      </c>
      <c r="AD11" s="5">
        <f>求节点(V$6:V$44,$C$67:$C$105,$AA11)</f>
        <v>0</v>
      </c>
      <c r="AE11" s="5">
        <f>求节点(W$6:W$44,$C$67:$C$105,$AA11)</f>
        <v>0</v>
      </c>
      <c r="AF11" s="5">
        <f>求节点(X$6:X$44,$C$67:$C$105,$AA11)</f>
        <v>0</v>
      </c>
      <c r="AG11" s="5">
        <f>求节点(T$6:T$44,$D$67:$D$105,$AA11)+求节点(T$67:T$105,$Q$67:$Q$105,$AA11)</f>
        <v>8800</v>
      </c>
      <c r="AH11" s="5">
        <f>求节点(U$6:U$44,$D$67:$D$105,$AA11)+求节点(U$67:U$105,$Q$67:$Q$105,$AA11)</f>
        <v>9214.9295624637671</v>
      </c>
      <c r="AI11" s="5">
        <f>求节点(V$6:V$44,$D$67:$D$105,$AA11)+求节点(V$67:V$105,$Q$67:$Q$105,$AA11)</f>
        <v>9914.8427244130289</v>
      </c>
      <c r="AJ11" s="5">
        <f>求节点(W$6:W$44,$D$67:$D$105,$AA11)+求节点(W$67:W$105,$Q$67:$Q$105,$AA11)</f>
        <v>10874.837907242898</v>
      </c>
      <c r="AK11" s="5">
        <f>求节点(X$6:X$44,$D$67:$D$105,$AA11)+求节点(X$67:X$105,$Q$67:$Q$105,$AA11)</f>
        <v>11449.560692318537</v>
      </c>
      <c r="AL11" s="5">
        <f>求节点(T$6:T$44,$F$67:$F$105,$AA11)+求节点(T$67:T$105,$P$67:$P$105,$AA11)</f>
        <v>50400</v>
      </c>
      <c r="AM11" s="5">
        <f>求节点(U$6:U$44,$F$67:$F$105,$AA11)+求节点(U$67:U$105,$P$67:$P$105,$AA11)</f>
        <v>51871.113903280624</v>
      </c>
      <c r="AN11" s="5">
        <f>求节点(V$6:V$44,$F$67:$F$105,$AA11)+求节点(V$67:V$105,$P$67:$P$105,$AA11)</f>
        <v>54352.624204737105</v>
      </c>
      <c r="AO11" s="5">
        <f>求节点(W$6:W$44,$F$67:$F$105,$AA11)+求节点(W$67:W$105,$P$67:$P$105,$AA11)</f>
        <v>57756.243489315733</v>
      </c>
      <c r="AP11" s="5">
        <f>求节点(X$6:X$44,$F$67:$F$105,$AA11)+求节点(X$67:X$105,$P$67:$P$105,$AA11)</f>
        <v>59793.897000038443</v>
      </c>
      <c r="AQ11" s="5">
        <f>求节点(T$6:T$44,$H$67:$H$105,$AA11)</f>
        <v>9600</v>
      </c>
      <c r="AR11" s="5">
        <f>求节点(U$6:U$44,$H$67:$H$105,$AA11)</f>
        <v>10165.813039723318</v>
      </c>
      <c r="AS11" s="5">
        <f>求节点(V$6:V$44,$H$67:$H$105,$AA11)</f>
        <v>11120.240078745039</v>
      </c>
      <c r="AT11" s="5">
        <f>求节点(W$6:W$44,$H$67:$H$105,$AA11)</f>
        <v>12429.32441896759</v>
      </c>
      <c r="AU11" s="5">
        <f>求节点(X$6:X$44,$H$67:$H$105,$AA11)</f>
        <v>13213.037307707094</v>
      </c>
      <c r="AV11" s="5">
        <f>求节点(T$6:T$44,$I$67:$I$105,$AA11)</f>
        <v>50000</v>
      </c>
      <c r="AW11" s="5">
        <f>求节点(U$6:U$44,$I$67:$I$105,$AA11)</f>
        <v>51886.043465744391</v>
      </c>
      <c r="AX11" s="5">
        <f>求节点(V$6:V$44,$I$67:$I$105,$AA11)</f>
        <v>55067.466929150134</v>
      </c>
      <c r="AY11" s="5">
        <f>求节点(W$6:W$44,$I$67:$I$105,$AA11)</f>
        <v>59431.081396558628</v>
      </c>
      <c r="AZ11" s="5">
        <f>求节点(X$6:X$44,$I$67:$I$105,$AA11)</f>
        <v>62043.457692356984</v>
      </c>
      <c r="BA11" s="5">
        <f>求节点(T$6:T$44,$E$67:$E$105,$AA11)+求节点(T$6:T$44,$K$67:$K$105,$AA11)+求节点(T$67:T$105,$O$67:$O$105,$AA11)</f>
        <v>485.33333333333337</v>
      </c>
      <c r="BB11" s="5">
        <f>求节点(U$6:U$44,$E$67:$E$105,$AA11)+求节点(U$6:U$44,$K$67:$K$105,$AA11)+求节点(U$67:U$105,$O$67:$O$105,$AA11)</f>
        <v>498.40990136249445</v>
      </c>
      <c r="BC11" s="5">
        <f>求节点(V$6:V$44,$E$67:$E$105,$AA11)+求节点(V$6:V$44,$K$67:$K$105,$AA11)+求节点(V$67:V$105,$O$67:$O$105,$AA11)</f>
        <v>520.4677707087742</v>
      </c>
      <c r="BD11" s="5">
        <f>求节点(W$6:W$44,$E$67:$E$105,$AA11)+求节点(W$6:W$44,$K$67:$K$105,$AA11)+求节点(W$67:W$105,$O$67:$O$105,$AA11)</f>
        <v>550.72216434947313</v>
      </c>
      <c r="BE11" s="5">
        <f>求节点(X$6:X$44,$E$67:$E$105,$AA11)+求节点(X$6:X$44,$K$67:$K$105,$AA11)+求节点(X$67:X$105,$O$67:$O$105,$AA11)</f>
        <v>568.83464000034178</v>
      </c>
      <c r="BF11" s="5">
        <f>求节点(T$6:T$44,$G$67:$G$105,$AA11)</f>
        <v>0</v>
      </c>
      <c r="BG11" s="5">
        <f>求节点(U$6:U$44,$G$67:$G$105,$AA11)</f>
        <v>0</v>
      </c>
      <c r="BH11" s="5">
        <f>求节点(V$6:V$44,$G$67:$G$105,$AA11)</f>
        <v>0</v>
      </c>
      <c r="BI11" s="5">
        <f>求节点(W$6:W$44,$G$67:$G$105,$AA11)</f>
        <v>0</v>
      </c>
      <c r="BJ11" s="5">
        <f>求节点(X$6:X$44,$G$67:$G$105,$AA11)</f>
        <v>0</v>
      </c>
      <c r="BK11" s="5">
        <f>求节点(T$6:T$44,$M$67:$M$105,$AA11)</f>
        <v>4.666666666666667</v>
      </c>
      <c r="BL11" s="5">
        <f>求节点(U$6:U$44,$M$67:$M$105,$AA11)</f>
        <v>4.7924028977162925</v>
      </c>
      <c r="BM11" s="5">
        <f>求节点(V$6:V$44,$M$67:$M$105,$AA11)</f>
        <v>5.0044977952766754</v>
      </c>
      <c r="BN11" s="5">
        <f>求节点(W$6:W$44,$M$67:$M$105,$AA11)</f>
        <v>5.2954054264372417</v>
      </c>
      <c r="BO11" s="5">
        <f>求节点(X$6:X$44,$M$67:$M$105,$AA11)</f>
        <v>5.4695638461571319</v>
      </c>
      <c r="BP11" s="5">
        <f>求节点(T$67:T$105,$L$67:$L$105,$AA11)</f>
        <v>0</v>
      </c>
      <c r="BQ11" s="5">
        <f>求节点(U$67:U$105,$L$67:$L$105,$AA11)</f>
        <v>0</v>
      </c>
      <c r="BR11" s="5">
        <f>求节点(V$67:V$105,$L$67:$L$105,$AA11)</f>
        <v>0</v>
      </c>
      <c r="BS11" s="5">
        <f>求节点(W$67:W$105,$L$67:$L$105,$AA11)</f>
        <v>0</v>
      </c>
      <c r="BT11" s="5">
        <f>求节点(X$67:X$105,$L$67:$L$105,$AA11)</f>
        <v>0</v>
      </c>
      <c r="BZ11" s="5">
        <v>7</v>
      </c>
      <c r="CA11" s="5">
        <f t="shared" si="9"/>
        <v>485.33333333333337</v>
      </c>
      <c r="CB11" s="5">
        <f t="shared" si="10"/>
        <v>498.40990136249445</v>
      </c>
      <c r="CC11" s="5">
        <f t="shared" si="11"/>
        <v>520.4677707087742</v>
      </c>
      <c r="CD11" s="5">
        <f t="shared" si="12"/>
        <v>550.72216434947313</v>
      </c>
      <c r="CE11" s="5">
        <f t="shared" si="13"/>
        <v>568.83464000034178</v>
      </c>
      <c r="CF11" s="5">
        <f>(CA11-CA10)/节奏总纲!W10</f>
        <v>637.32386999809569</v>
      </c>
      <c r="CI11" s="5">
        <v>7</v>
      </c>
      <c r="CJ11" s="5">
        <f t="shared" si="14"/>
        <v>1120</v>
      </c>
      <c r="CK11" s="5">
        <f t="shared" si="15"/>
        <v>1150.1766954519103</v>
      </c>
      <c r="CL11" s="5">
        <f t="shared" si="16"/>
        <v>1201.0794708664021</v>
      </c>
      <c r="CM11" s="5">
        <f t="shared" si="17"/>
        <v>1270.897302344938</v>
      </c>
      <c r="CN11" s="5">
        <f t="shared" si="18"/>
        <v>1312.6953230777117</v>
      </c>
      <c r="CO11" s="5">
        <f>(CJ11-CJ10)/节奏总纲!W10</f>
        <v>1470.7473923032969</v>
      </c>
      <c r="CP11" s="5">
        <f t="shared" si="2"/>
        <v>2108.0712623013924</v>
      </c>
      <c r="CR11" s="5">
        <v>7</v>
      </c>
      <c r="CS11" s="5">
        <f t="shared" si="3"/>
        <v>0</v>
      </c>
      <c r="CT11" s="5">
        <f t="shared" si="4"/>
        <v>0</v>
      </c>
      <c r="CU11" s="5">
        <f t="shared" si="5"/>
        <v>0</v>
      </c>
      <c r="CV11" s="5">
        <f t="shared" si="6"/>
        <v>0</v>
      </c>
      <c r="CW11" s="5">
        <f t="shared" si="7"/>
        <v>0</v>
      </c>
      <c r="CX11" s="5">
        <f t="shared" si="20"/>
        <v>0</v>
      </c>
      <c r="CY11" s="5">
        <f t="shared" si="21"/>
        <v>0</v>
      </c>
      <c r="CZ11" s="5">
        <f t="shared" si="22"/>
        <v>0</v>
      </c>
      <c r="DA11" s="5">
        <f t="shared" si="23"/>
        <v>0</v>
      </c>
      <c r="DB11" s="5">
        <f t="shared" si="24"/>
        <v>0</v>
      </c>
    </row>
    <row r="12" spans="2:106" x14ac:dyDescent="0.15">
      <c r="B12" s="5">
        <v>7</v>
      </c>
      <c r="D12" s="5">
        <f>ROUND(130/INDEX('[1]功能-付费相关'!$BB$6:$BB$165,基本信息!U10,1)/1200,0)*600</f>
        <v>30000</v>
      </c>
      <c r="E12" s="5">
        <v>120</v>
      </c>
      <c r="F12" s="5">
        <f>ROUND(60/INDEX('[1]功能-付费相关'!$AS$6:$AS$165,基本信息!C10,1)/600,0)*600</f>
        <v>29400</v>
      </c>
      <c r="H12" s="5">
        <v>27000</v>
      </c>
      <c r="I12" s="5">
        <f>ROUND(20*4/INDEX('[1]功能-付费相关'!$U$6:$U$165,基本信息!U10,1)/4000,0)*4000/2</f>
        <v>74000</v>
      </c>
      <c r="J12" s="5">
        <f>ROUND(50*2/INDEX('[1]功能-付费相关'!$AS$6:$AS$165,基本信息!U10,1)/2000,0)*2000</f>
        <v>48000</v>
      </c>
      <c r="K12" s="5">
        <v>88</v>
      </c>
      <c r="M12" s="5">
        <v>2</v>
      </c>
      <c r="N12" s="5">
        <v>0</v>
      </c>
      <c r="P12" s="5">
        <v>0</v>
      </c>
      <c r="Q12" s="5">
        <v>0</v>
      </c>
      <c r="S12" s="5">
        <v>7</v>
      </c>
      <c r="T12" s="5">
        <f>基本信息!C10</f>
        <v>21</v>
      </c>
      <c r="U12" s="5">
        <f>基本信息!D10</f>
        <v>20.589647117302654</v>
      </c>
      <c r="V12" s="5">
        <f>基本信息!E10</f>
        <v>19.843482776397728</v>
      </c>
      <c r="W12" s="5">
        <f>基本信息!F10</f>
        <v>18.675906051742032</v>
      </c>
      <c r="X12" s="5">
        <f>基本信息!G10</f>
        <v>17.886502335378513</v>
      </c>
      <c r="AA12" s="5">
        <v>8</v>
      </c>
      <c r="AB12" s="5">
        <f>求节点(T$6:T$44,$C$67:$C$105,$AA12)</f>
        <v>0</v>
      </c>
      <c r="AC12" s="5">
        <f>求节点(U$6:U$44,$C$67:$C$105,$AA12)</f>
        <v>0</v>
      </c>
      <c r="AD12" s="5">
        <f>求节点(V$6:V$44,$C$67:$C$105,$AA12)</f>
        <v>0</v>
      </c>
      <c r="AE12" s="5">
        <f>求节点(W$6:W$44,$C$67:$C$105,$AA12)</f>
        <v>0</v>
      </c>
      <c r="AF12" s="5">
        <f>求节点(X$6:X$44,$C$67:$C$105,$AA12)</f>
        <v>0</v>
      </c>
      <c r="AG12" s="5">
        <f>求节点(T$6:T$44,$D$67:$D$105,$AA12)+求节点(T$67:T$105,$Q$67:$Q$105,$AA12)</f>
        <v>11000</v>
      </c>
      <c r="AH12" s="5">
        <f>求节点(U$6:U$44,$D$67:$D$105,$AA12)+求节点(U$67:U$105,$Q$67:$Q$105,$AA12)</f>
        <v>11477.436224891355</v>
      </c>
      <c r="AI12" s="5">
        <f>求节点(V$6:V$44,$D$67:$D$105,$AA12)+求节点(V$67:V$105,$Q$67:$Q$105,$AA12)</f>
        <v>12288.193977725918</v>
      </c>
      <c r="AJ12" s="5">
        <f>求节点(W$6:W$44,$D$67:$D$105,$AA12)+求节点(W$67:W$105,$Q$67:$Q$105,$AA12)</f>
        <v>13514.990430432887</v>
      </c>
      <c r="AK12" s="5">
        <f>求节点(X$6:X$44,$D$67:$D$105,$AA12)+求节点(X$67:X$105,$Q$67:$Q$105,$AA12)</f>
        <v>14581.373591228643</v>
      </c>
      <c r="AL12" s="5">
        <f>求节点(T$6:T$44,$F$67:$F$105,$AA12)+求节点(T$67:T$105,$P$67:$P$105,$AA12)</f>
        <v>58200</v>
      </c>
      <c r="AM12" s="5">
        <f>求节点(U$6:U$44,$F$67:$F$105,$AA12)+求节点(U$67:U$105,$P$67:$P$105,$AA12)</f>
        <v>59892.728433705714</v>
      </c>
      <c r="AN12" s="5">
        <f>求节点(V$6:V$44,$F$67:$F$105,$AA12)+求节点(V$67:V$105,$P$67:$P$105,$AA12)</f>
        <v>62767.233193755528</v>
      </c>
      <c r="AO12" s="5">
        <f>求节点(W$6:W$44,$F$67:$F$105,$AA12)+求节点(W$67:W$105,$P$67:$P$105,$AA12)</f>
        <v>66778.211651657723</v>
      </c>
      <c r="AP12" s="5">
        <f>求节点(X$6:X$44,$F$67:$F$105,$AA12)+求节点(X$67:X$105,$P$67:$P$105,$AA12)</f>
        <v>69412.805343035463</v>
      </c>
      <c r="AQ12" s="5">
        <f>求节点(T$6:T$44,$H$67:$H$105,$AA12)</f>
        <v>12600</v>
      </c>
      <c r="AR12" s="5">
        <f>求节点(U$6:U$44,$H$67:$H$105,$AA12)</f>
        <v>13251.049397579121</v>
      </c>
      <c r="AS12" s="5">
        <f>求节点(V$6:V$44,$H$67:$H$105,$AA12)</f>
        <v>14356.628151444434</v>
      </c>
      <c r="AT12" s="5">
        <f>求节点(W$6:W$44,$H$67:$H$105,$AA12)</f>
        <v>15970.576976979866</v>
      </c>
      <c r="AU12" s="5">
        <f>求节点(X$6:X$44,$H$67:$H$105,$AA12)</f>
        <v>17225.145401445461</v>
      </c>
      <c r="AV12" s="5">
        <f>求节点(T$6:T$44,$I$67:$I$105,$AA12)</f>
        <v>60000</v>
      </c>
      <c r="AW12" s="5">
        <f>求节点(U$6:U$44,$I$67:$I$105,$AA12)</f>
        <v>62170.164658597067</v>
      </c>
      <c r="AX12" s="5">
        <f>求节点(V$6:V$44,$I$67:$I$105,$AA12)</f>
        <v>65855.427171481453</v>
      </c>
      <c r="AY12" s="5">
        <f>求节点(W$6:W$44,$I$67:$I$105,$AA12)</f>
        <v>71111.730930939608</v>
      </c>
      <c r="AZ12" s="5">
        <f>求节点(X$6:X$44,$I$67:$I$105,$AA12)</f>
        <v>74875.43620433638</v>
      </c>
      <c r="BA12" s="5">
        <f>求节点(T$6:T$44,$E$67:$E$105,$AA12)+求节点(T$6:T$44,$K$67:$K$105,$AA12)+求节点(T$67:T$105,$O$67:$O$105,$AA12)</f>
        <v>554.66666666666663</v>
      </c>
      <c r="BB12" s="5">
        <f>求节点(U$6:U$44,$E$67:$E$105,$AA12)+求节点(U$6:U$44,$K$67:$K$105,$AA12)+求节点(U$67:U$105,$O$67:$O$105,$AA12)</f>
        <v>569.7131416329396</v>
      </c>
      <c r="BC12" s="5">
        <f>求节点(V$6:V$44,$E$67:$E$105,$AA12)+求节点(V$6:V$44,$K$67:$K$105,$AA12)+求节点(V$67:V$105,$O$67:$O$105,$AA12)</f>
        <v>595.26429505560463</v>
      </c>
      <c r="BD12" s="5">
        <f>求节点(W$6:W$44,$E$67:$E$105,$AA12)+求节点(W$6:W$44,$K$67:$K$105,$AA12)+求节点(W$67:W$105,$O$67:$O$105,$AA12)</f>
        <v>630.42333426765106</v>
      </c>
      <c r="BE12" s="5">
        <f>求节点(X$6:X$44,$E$67:$E$105,$AA12)+求节点(X$6:X$44,$K$67:$K$105,$AA12)+求节点(X$67:X$105,$O$67:$O$105,$AA12)</f>
        <v>652.16918695838808</v>
      </c>
      <c r="BF12" s="5">
        <f>求节点(T$6:T$44,$G$67:$G$105,$AA12)</f>
        <v>0</v>
      </c>
      <c r="BG12" s="5">
        <f>求节点(U$6:U$44,$G$67:$G$105,$AA12)</f>
        <v>0</v>
      </c>
      <c r="BH12" s="5">
        <f>求节点(V$6:V$44,$G$67:$G$105,$AA12)</f>
        <v>0</v>
      </c>
      <c r="BI12" s="5">
        <f>求节点(W$6:W$44,$G$67:$G$105,$AA12)</f>
        <v>0</v>
      </c>
      <c r="BJ12" s="5">
        <f>求节点(X$6:X$44,$G$67:$G$105,$AA12)</f>
        <v>0</v>
      </c>
      <c r="BK12" s="5">
        <f>求节点(T$6:T$44,$M$67:$M$105,$AA12)</f>
        <v>5.333333333333333</v>
      </c>
      <c r="BL12" s="5">
        <f>求节点(U$6:U$44,$M$67:$M$105,$AA12)</f>
        <v>5.4780109772398049</v>
      </c>
      <c r="BM12" s="5">
        <f>求节点(V$6:V$44,$M$67:$M$105,$AA12)</f>
        <v>5.7236951447654292</v>
      </c>
      <c r="BN12" s="5">
        <f>求节点(W$6:W$44,$M$67:$M$105,$AA12)</f>
        <v>6.0617628294966446</v>
      </c>
      <c r="BO12" s="5">
        <f>求节点(X$6:X$44,$M$67:$M$105,$AA12)</f>
        <v>6.2708575669075772</v>
      </c>
      <c r="BP12" s="5">
        <f>求节点(T$67:T$105,$L$67:$L$105,$AA12)</f>
        <v>0</v>
      </c>
      <c r="BQ12" s="5">
        <f>求节点(U$67:U$105,$L$67:$L$105,$AA12)</f>
        <v>0</v>
      </c>
      <c r="BR12" s="5">
        <f>求节点(V$67:V$105,$L$67:$L$105,$AA12)</f>
        <v>0</v>
      </c>
      <c r="BS12" s="5">
        <f>求节点(W$67:W$105,$L$67:$L$105,$AA12)</f>
        <v>0</v>
      </c>
      <c r="BT12" s="5">
        <f>求节点(X$67:X$105,$L$67:$L$105,$AA12)</f>
        <v>0</v>
      </c>
      <c r="BZ12" s="5">
        <v>8</v>
      </c>
      <c r="CA12" s="5">
        <f t="shared" si="9"/>
        <v>554.66666666666663</v>
      </c>
      <c r="CB12" s="5">
        <f t="shared" si="10"/>
        <v>569.7131416329396</v>
      </c>
      <c r="CC12" s="5">
        <f t="shared" si="11"/>
        <v>595.26429505560463</v>
      </c>
      <c r="CD12" s="5">
        <f t="shared" si="12"/>
        <v>630.42333426765106</v>
      </c>
      <c r="CE12" s="5">
        <f t="shared" si="13"/>
        <v>652.16918695838808</v>
      </c>
      <c r="CF12" s="5">
        <f>(CA12-CA11)/节奏总纲!W11</f>
        <v>594.64419700213716</v>
      </c>
      <c r="CI12" s="5">
        <v>8</v>
      </c>
      <c r="CJ12" s="5">
        <f t="shared" si="14"/>
        <v>1280</v>
      </c>
      <c r="CK12" s="5">
        <f t="shared" si="15"/>
        <v>1314.7226345375532</v>
      </c>
      <c r="CL12" s="5">
        <f t="shared" si="16"/>
        <v>1373.686834743703</v>
      </c>
      <c r="CM12" s="5">
        <f t="shared" si="17"/>
        <v>1454.8230790791947</v>
      </c>
      <c r="CN12" s="5">
        <f t="shared" si="18"/>
        <v>1505.0058160578185</v>
      </c>
      <c r="CO12" s="5">
        <f>(CJ12-CJ11)/节奏总纲!W11</f>
        <v>1372.2558392357028</v>
      </c>
      <c r="CP12" s="5">
        <f t="shared" si="2"/>
        <v>1966.9000362378399</v>
      </c>
      <c r="CR12" s="5">
        <v>8</v>
      </c>
      <c r="CS12" s="5">
        <f t="shared" si="3"/>
        <v>0</v>
      </c>
      <c r="CT12" s="5">
        <f t="shared" si="4"/>
        <v>0</v>
      </c>
      <c r="CU12" s="5">
        <f t="shared" si="5"/>
        <v>0</v>
      </c>
      <c r="CV12" s="5">
        <f t="shared" si="6"/>
        <v>0</v>
      </c>
      <c r="CW12" s="5">
        <f t="shared" si="7"/>
        <v>0</v>
      </c>
      <c r="CX12" s="5">
        <f t="shared" si="20"/>
        <v>0</v>
      </c>
      <c r="CY12" s="5">
        <f t="shared" si="21"/>
        <v>0</v>
      </c>
      <c r="CZ12" s="5">
        <f t="shared" si="22"/>
        <v>0</v>
      </c>
      <c r="DA12" s="5">
        <f t="shared" si="23"/>
        <v>0</v>
      </c>
      <c r="DB12" s="5">
        <f t="shared" si="24"/>
        <v>0</v>
      </c>
    </row>
    <row r="13" spans="2:106" x14ac:dyDescent="0.15">
      <c r="B13" s="5">
        <v>8</v>
      </c>
      <c r="D13" s="5">
        <f>ROUND(130/INDEX('[1]功能-付费相关'!$BB$6:$BB$165,基本信息!U11,1)/1200,0)*600</f>
        <v>42600</v>
      </c>
      <c r="E13" s="5">
        <v>120</v>
      </c>
      <c r="F13" s="5">
        <f>ROUND(60/INDEX('[1]功能-付费相关'!$AS$6:$AS$165,基本信息!C11,1)/600,0)*600</f>
        <v>30600</v>
      </c>
      <c r="H13" s="5">
        <v>27000</v>
      </c>
      <c r="I13" s="5">
        <f>ROUND(20*4/INDEX('[1]功能-付费相关'!$U$6:$U$165,基本信息!U11,1)/4000,0)*4000/2</f>
        <v>100000</v>
      </c>
      <c r="J13" s="5">
        <f>ROUND(50*2/INDEX('[1]功能-付费相关'!$AS$6:$AS$165,基本信息!U11,1)/2000,0)*2000</f>
        <v>52000</v>
      </c>
      <c r="K13" s="5">
        <v>88</v>
      </c>
      <c r="M13" s="5">
        <v>2</v>
      </c>
      <c r="N13" s="5">
        <v>0</v>
      </c>
      <c r="P13" s="5">
        <v>0</v>
      </c>
      <c r="Q13" s="5">
        <v>0</v>
      </c>
      <c r="S13" s="5">
        <v>8</v>
      </c>
      <c r="T13" s="5">
        <f>基本信息!C11</f>
        <v>24</v>
      </c>
      <c r="U13" s="5">
        <f>基本信息!D11</f>
        <v>23.499492305137622</v>
      </c>
      <c r="V13" s="5">
        <f>基本信息!E11</f>
        <v>22.635807008293629</v>
      </c>
      <c r="W13" s="5">
        <f>基本信息!F11</f>
        <v>21.435175114766551</v>
      </c>
      <c r="X13" s="5">
        <f>基本信息!G11</f>
        <v>20.565455026392783</v>
      </c>
      <c r="AA13" s="5">
        <v>9</v>
      </c>
      <c r="AB13" s="5">
        <f>求节点(T$6:T$44,$C$67:$C$105,$AA13)</f>
        <v>0</v>
      </c>
      <c r="AC13" s="5">
        <f>求节点(U$6:U$44,$C$67:$C$105,$AA13)</f>
        <v>0</v>
      </c>
      <c r="AD13" s="5">
        <f>求节点(V$6:V$44,$C$67:$C$105,$AA13)</f>
        <v>0</v>
      </c>
      <c r="AE13" s="5">
        <f>求节点(W$6:W$44,$C$67:$C$105,$AA13)</f>
        <v>0</v>
      </c>
      <c r="AF13" s="5">
        <f>求节点(X$6:X$44,$C$67:$C$105,$AA13)</f>
        <v>0</v>
      </c>
      <c r="AG13" s="5">
        <f>求节点(T$6:T$44,$D$67:$D$105,$AA13)+求节点(T$67:T$105,$Q$67:$Q$105,$AA13)</f>
        <v>13200</v>
      </c>
      <c r="AH13" s="5">
        <f>求节点(U$6:U$44,$D$67:$D$105,$AA13)+求节点(U$67:U$105,$Q$67:$Q$105,$AA13)</f>
        <v>14039.369827696206</v>
      </c>
      <c r="AI13" s="5">
        <f>求节点(V$6:V$44,$D$67:$D$105,$AA13)+求节点(V$67:V$105,$Q$67:$Q$105,$AA13)</f>
        <v>15490.479351008113</v>
      </c>
      <c r="AJ13" s="5">
        <f>求节点(W$6:W$44,$D$67:$D$105,$AA13)+求节点(W$67:W$105,$Q$67:$Q$105,$AA13)</f>
        <v>17538.297837045498</v>
      </c>
      <c r="AK13" s="5">
        <f>求节点(X$6:X$44,$D$67:$D$105,$AA13)+求节点(X$67:X$105,$Q$67:$Q$105,$AA13)</f>
        <v>18701.307778821942</v>
      </c>
      <c r="AL13" s="5">
        <f>求节点(T$6:T$44,$F$67:$F$105,$AA13)+求节点(T$67:T$105,$P$67:$P$105,$AA13)</f>
        <v>66000</v>
      </c>
      <c r="AM13" s="5">
        <f>求节点(U$6:U$44,$F$67:$F$105,$AA13)+求节点(U$67:U$105,$P$67:$P$105,$AA13)</f>
        <v>68073.737221367104</v>
      </c>
      <c r="AN13" s="5">
        <f>求节点(V$6:V$44,$F$67:$F$105,$AA13)+求节点(V$67:V$105,$P$67:$P$105,$AA13)</f>
        <v>71658.831337784752</v>
      </c>
      <c r="AO13" s="5">
        <f>求节点(W$6:W$44,$F$67:$F$105,$AA13)+求节点(W$67:W$105,$P$67:$P$105,$AA13)</f>
        <v>76718.147597406525</v>
      </c>
      <c r="AP13" s="5">
        <f>求节点(X$6:X$44,$F$67:$F$105,$AA13)+求节点(X$67:X$105,$P$67:$P$105,$AA13)</f>
        <v>79591.466277089508</v>
      </c>
      <c r="AQ13" s="5">
        <f>求节点(T$6:T$44,$H$67:$H$105,$AA13)</f>
        <v>15600</v>
      </c>
      <c r="AR13" s="5">
        <f>求节点(U$6:U$44,$H$67:$H$105,$AA13)</f>
        <v>16587.493914936713</v>
      </c>
      <c r="AS13" s="5">
        <f>求节点(V$6:V$44,$H$67:$H$105,$AA13)</f>
        <v>18294.681589421307</v>
      </c>
      <c r="AT13" s="5">
        <f>求节点(W$6:W$44,$H$67:$H$105,$AA13)</f>
        <v>20703.879808288821</v>
      </c>
      <c r="AU13" s="5">
        <f>求节点(X$6:X$44,$H$67:$H$105,$AA13)</f>
        <v>22072.126798614048</v>
      </c>
      <c r="AV13" s="5">
        <f>求节点(T$6:T$44,$I$67:$I$105,$AA13)</f>
        <v>70000</v>
      </c>
      <c r="AW13" s="5">
        <f>求节点(U$6:U$44,$I$67:$I$105,$AA13)</f>
        <v>72962.481744810138</v>
      </c>
      <c r="AX13" s="5">
        <f>求节点(V$6:V$44,$I$67:$I$105,$AA13)</f>
        <v>78084.044768263921</v>
      </c>
      <c r="AY13" s="5">
        <f>求节点(W$6:W$44,$I$67:$I$105,$AA13)</f>
        <v>85311.639424866458</v>
      </c>
      <c r="AZ13" s="5">
        <f>求节点(X$6:X$44,$I$67:$I$105,$AA13)</f>
        <v>89416.380395842149</v>
      </c>
      <c r="BA13" s="5">
        <f>求节点(T$6:T$44,$E$67:$E$105,$AA13)+求节点(T$6:T$44,$K$67:$K$105,$AA13)+求节点(T$67:T$105,$O$67:$O$105,$AA13)</f>
        <v>624</v>
      </c>
      <c r="BB13" s="5">
        <f>求节点(U$6:U$44,$E$67:$E$105,$AA13)+求节点(U$6:U$44,$K$67:$K$105,$AA13)+求节点(U$67:U$105,$O$67:$O$105,$AA13)</f>
        <v>641.1165611922363</v>
      </c>
      <c r="BC13" s="5">
        <f>求节点(V$6:V$44,$E$67:$E$105,$AA13)+求节点(V$6:V$44,$K$67:$K$105,$AA13)+求节点(V$67:V$105,$O$67:$O$105,$AA13)</f>
        <v>670.70781421663605</v>
      </c>
      <c r="BD13" s="5">
        <f>求节点(W$6:W$44,$E$67:$E$105,$AA13)+求节点(W$6:W$44,$K$67:$K$105,$AA13)+求节点(W$67:W$105,$O$67:$O$105,$AA13)</f>
        <v>712.46725001033951</v>
      </c>
      <c r="BE13" s="5">
        <f>求节点(X$6:X$44,$E$67:$E$105,$AA13)+求节点(X$6:X$44,$K$67:$K$105,$AA13)+求节点(X$67:X$105,$O$67:$O$105,$AA13)</f>
        <v>736.1835311759769</v>
      </c>
      <c r="BF13" s="5">
        <f>求节点(T$6:T$44,$G$67:$G$105,$AA13)</f>
        <v>0</v>
      </c>
      <c r="BG13" s="5">
        <f>求节点(U$6:U$44,$G$67:$G$105,$AA13)</f>
        <v>0</v>
      </c>
      <c r="BH13" s="5">
        <f>求节点(V$6:V$44,$G$67:$G$105,$AA13)</f>
        <v>0</v>
      </c>
      <c r="BI13" s="5">
        <f>求节点(W$6:W$44,$G$67:$G$105,$AA13)</f>
        <v>0</v>
      </c>
      <c r="BJ13" s="5">
        <f>求节点(X$6:X$44,$G$67:$G$105,$AA13)</f>
        <v>0</v>
      </c>
      <c r="BK13" s="5">
        <f>求节点(T$6:T$44,$M$67:$M$105,$AA13)</f>
        <v>6</v>
      </c>
      <c r="BL13" s="5">
        <f>求节点(U$6:U$44,$M$67:$M$105,$AA13)</f>
        <v>6.1645823191561187</v>
      </c>
      <c r="BM13" s="5">
        <f>求节点(V$6:V$44,$M$67:$M$105,$AA13)</f>
        <v>6.4491135982368846</v>
      </c>
      <c r="BN13" s="5">
        <f>求节点(W$6:W$44,$M$67:$M$105,$AA13)</f>
        <v>6.8506466347148036</v>
      </c>
      <c r="BO13" s="5">
        <f>求节点(X$6:X$44,$M$67:$M$105,$AA13)</f>
        <v>7.0786877997690087</v>
      </c>
      <c r="BP13" s="5">
        <f>求节点(T$67:T$105,$L$67:$L$105,$AA13)</f>
        <v>0</v>
      </c>
      <c r="BQ13" s="5">
        <f>求节点(U$67:U$105,$L$67:$L$105,$AA13)</f>
        <v>0</v>
      </c>
      <c r="BR13" s="5">
        <f>求节点(V$67:V$105,$L$67:$L$105,$AA13)</f>
        <v>0</v>
      </c>
      <c r="BS13" s="5">
        <f>求节点(W$67:W$105,$L$67:$L$105,$AA13)</f>
        <v>0</v>
      </c>
      <c r="BT13" s="5">
        <f>求节点(X$67:X$105,$L$67:$L$105,$AA13)</f>
        <v>0</v>
      </c>
      <c r="BZ13" s="5">
        <v>9</v>
      </c>
      <c r="CA13" s="5">
        <f t="shared" si="9"/>
        <v>624</v>
      </c>
      <c r="CB13" s="5">
        <f t="shared" si="10"/>
        <v>641.1165611922363</v>
      </c>
      <c r="CC13" s="5">
        <f t="shared" si="11"/>
        <v>670.70781421663605</v>
      </c>
      <c r="CD13" s="5">
        <f t="shared" si="12"/>
        <v>712.46725001033951</v>
      </c>
      <c r="CE13" s="5">
        <f t="shared" si="13"/>
        <v>736.1835311759769</v>
      </c>
      <c r="CF13" s="5">
        <f>(CA13-CA12)/节奏总纲!W12</f>
        <v>554.82265402890789</v>
      </c>
      <c r="CI13" s="5">
        <v>9</v>
      </c>
      <c r="CJ13" s="5">
        <f t="shared" si="14"/>
        <v>1440</v>
      </c>
      <c r="CK13" s="5">
        <f t="shared" si="15"/>
        <v>1479.4997565974684</v>
      </c>
      <c r="CL13" s="5">
        <f t="shared" si="16"/>
        <v>1547.7872635768522</v>
      </c>
      <c r="CM13" s="5">
        <f t="shared" si="17"/>
        <v>1644.1551923315528</v>
      </c>
      <c r="CN13" s="5">
        <f t="shared" si="18"/>
        <v>1698.885071944562</v>
      </c>
      <c r="CO13" s="5">
        <f>(CJ13-CJ12)/节奏总纲!W12</f>
        <v>1280.3599708359407</v>
      </c>
      <c r="CP13" s="5">
        <f t="shared" si="2"/>
        <v>1835.1826248648485</v>
      </c>
      <c r="CR13" s="5">
        <v>9</v>
      </c>
      <c r="CS13" s="5">
        <f t="shared" si="3"/>
        <v>0</v>
      </c>
      <c r="CT13" s="5">
        <f t="shared" si="4"/>
        <v>0</v>
      </c>
      <c r="CU13" s="5">
        <f t="shared" si="5"/>
        <v>0</v>
      </c>
      <c r="CV13" s="5">
        <f t="shared" si="6"/>
        <v>0</v>
      </c>
      <c r="CW13" s="5">
        <f t="shared" si="7"/>
        <v>0</v>
      </c>
      <c r="CX13" s="5">
        <f t="shared" si="20"/>
        <v>0</v>
      </c>
      <c r="CY13" s="5">
        <f t="shared" si="21"/>
        <v>0</v>
      </c>
      <c r="CZ13" s="5">
        <f t="shared" si="22"/>
        <v>0</v>
      </c>
      <c r="DA13" s="5">
        <f t="shared" si="23"/>
        <v>0</v>
      </c>
      <c r="DB13" s="5">
        <f t="shared" si="24"/>
        <v>0</v>
      </c>
    </row>
    <row r="14" spans="2:106" x14ac:dyDescent="0.15">
      <c r="B14" s="5">
        <v>9</v>
      </c>
      <c r="D14" s="5">
        <f>ROUND(130/INDEX('[1]功能-付费相关'!$BB$6:$BB$165,基本信息!U12,1)/1200,0)*600</f>
        <v>60000</v>
      </c>
      <c r="E14" s="5">
        <v>120</v>
      </c>
      <c r="F14" s="5">
        <f>ROUND(60/INDEX('[1]功能-付费相关'!$AS$6:$AS$165,基本信息!C12,1)/600,0)*600</f>
        <v>32400</v>
      </c>
      <c r="H14" s="5">
        <v>27000</v>
      </c>
      <c r="I14" s="5">
        <f>ROUND(20*4/INDEX('[1]功能-付费相关'!$U$6:$U$165,基本信息!U12,1)/4000,0)*4000/2</f>
        <v>120000</v>
      </c>
      <c r="J14" s="5">
        <f>ROUND(50*2/INDEX('[1]功能-付费相关'!$AS$6:$AS$165,基本信息!U12,1)/2000,0)*2000</f>
        <v>54000</v>
      </c>
      <c r="K14" s="5">
        <v>88</v>
      </c>
      <c r="M14" s="5">
        <v>2</v>
      </c>
      <c r="N14" s="5">
        <v>0</v>
      </c>
      <c r="P14" s="5">
        <v>0</v>
      </c>
      <c r="Q14" s="5">
        <v>0</v>
      </c>
      <c r="S14" s="5">
        <v>9</v>
      </c>
      <c r="T14" s="5">
        <f>基本信息!C12</f>
        <v>27</v>
      </c>
      <c r="U14" s="5">
        <f>基本信息!D12</f>
        <v>26.369463930509045</v>
      </c>
      <c r="V14" s="5">
        <f>基本信息!E12</f>
        <v>25.377401363147825</v>
      </c>
      <c r="W14" s="5">
        <f>基本信息!F12</f>
        <v>24.030019613443624</v>
      </c>
      <c r="X14" s="5">
        <f>基本信息!G12</f>
        <v>22.963099790930922</v>
      </c>
      <c r="AA14" s="5">
        <v>10</v>
      </c>
      <c r="AB14" s="5">
        <f>求节点(T$6:T$44,$C$67:$C$105,$AA14)</f>
        <v>0</v>
      </c>
      <c r="AC14" s="5">
        <f>求节点(U$6:U$44,$C$67:$C$105,$AA14)</f>
        <v>0</v>
      </c>
      <c r="AD14" s="5">
        <f>求节点(V$6:V$44,$C$67:$C$105,$AA14)</f>
        <v>0</v>
      </c>
      <c r="AE14" s="5">
        <f>求节点(W$6:W$44,$C$67:$C$105,$AA14)</f>
        <v>0</v>
      </c>
      <c r="AF14" s="5">
        <f>求节点(X$6:X$44,$C$67:$C$105,$AA14)</f>
        <v>0</v>
      </c>
      <c r="AG14" s="5">
        <f>求节点(T$6:T$44,$D$67:$D$105,$AA14)+求节点(T$67:T$105,$Q$67:$Q$105,$AA14)</f>
        <v>16600</v>
      </c>
      <c r="AH14" s="5">
        <f>求节点(U$6:U$44,$D$67:$D$105,$AA14)+求节点(U$67:U$105,$Q$67:$Q$105,$AA14)</f>
        <v>17556.556315387781</v>
      </c>
      <c r="AI14" s="5">
        <f>求节点(V$6:V$44,$D$67:$D$105,$AA14)+求节点(V$67:V$105,$Q$67:$Q$105,$AA14)</f>
        <v>19209.907202405244</v>
      </c>
      <c r="AJ14" s="5">
        <f>求节点(W$6:W$44,$D$67:$D$105,$AA14)+求节点(W$67:W$105,$Q$67:$Q$105,$AA14)</f>
        <v>21561.605243658109</v>
      </c>
      <c r="AK14" s="5">
        <f>求节点(X$6:X$44,$D$67:$D$105,$AA14)+求节点(X$67:X$105,$Q$67:$Q$105,$AA14)</f>
        <v>22821.24196641524</v>
      </c>
      <c r="AL14" s="5">
        <f>求节点(T$6:T$44,$F$67:$F$105,$AA14)+求节点(T$67:T$105,$P$67:$P$105,$AA14)</f>
        <v>74400</v>
      </c>
      <c r="AM14" s="5">
        <f>求节点(U$6:U$44,$F$67:$F$105,$AA14)+求节点(U$67:U$105,$P$67:$P$105,$AA14)</f>
        <v>76763.25677919334</v>
      </c>
      <c r="AN14" s="5">
        <f>求节点(V$6:V$44,$F$67:$F$105,$AA14)+求节点(V$67:V$105,$P$67:$P$105,$AA14)</f>
        <v>80848.006029471784</v>
      </c>
      <c r="AO14" s="5">
        <f>求节点(W$6:W$44,$F$67:$F$105,$AA14)+求节点(W$67:W$105,$P$67:$P$105,$AA14)</f>
        <v>86658.083543155328</v>
      </c>
      <c r="AP14" s="5">
        <f>求节点(X$6:X$44,$F$67:$F$105,$AA14)+求节点(X$67:X$105,$P$67:$P$105,$AA14)</f>
        <v>89770.127211143539</v>
      </c>
      <c r="AQ14" s="5">
        <f>求节点(T$6:T$44,$H$67:$H$105,$AA14)</f>
        <v>19600</v>
      </c>
      <c r="AR14" s="5">
        <f>求节点(U$6:U$44,$H$67:$H$105,$AA14)</f>
        <v>20725.360371044448</v>
      </c>
      <c r="AS14" s="5">
        <f>求节点(V$6:V$44,$H$67:$H$105,$AA14)</f>
        <v>22670.47906165323</v>
      </c>
      <c r="AT14" s="5">
        <f>求节点(W$6:W$44,$H$67:$H$105,$AA14)</f>
        <v>25437.182639597777</v>
      </c>
      <c r="AU14" s="5">
        <f>求节点(X$6:X$44,$H$67:$H$105,$AA14)</f>
        <v>26919.108195782639</v>
      </c>
      <c r="AV14" s="5">
        <f>求节点(T$6:T$44,$I$67:$I$105,$AA14)</f>
        <v>82000</v>
      </c>
      <c r="AW14" s="5">
        <f>求节点(U$6:U$44,$I$67:$I$105,$AA14)</f>
        <v>85376.081113133347</v>
      </c>
      <c r="AX14" s="5">
        <f>求节点(V$6:V$44,$I$67:$I$105,$AA14)</f>
        <v>91211.437184959679</v>
      </c>
      <c r="AY14" s="5">
        <f>求节点(W$6:W$44,$I$67:$I$105,$AA14)</f>
        <v>99511.547918793323</v>
      </c>
      <c r="AZ14" s="5">
        <f>求节点(X$6:X$44,$I$67:$I$105,$AA14)</f>
        <v>103957.32458734792</v>
      </c>
      <c r="BA14" s="5">
        <f>求节点(T$6:T$44,$E$67:$E$105,$AA14)+求节点(T$6:T$44,$K$67:$K$105,$AA14)+求节点(T$67:T$105,$O$67:$O$105,$AA14)</f>
        <v>693.33333333333326</v>
      </c>
      <c r="BB14" s="5">
        <f>求节点(U$6:U$44,$E$67:$E$105,$AA14)+求节点(U$6:U$44,$K$67:$K$105,$AA14)+求节点(U$67:U$105,$O$67:$O$105,$AA14)</f>
        <v>712.83957976477041</v>
      </c>
      <c r="BC14" s="5">
        <f>求节点(V$6:V$44,$E$67:$E$105,$AA14)+求节点(V$6:V$44,$K$67:$K$105,$AA14)+求节点(V$67:V$105,$O$67:$O$105,$AA14)</f>
        <v>746.55497040198929</v>
      </c>
      <c r="BD14" s="5">
        <f>求节点(W$6:W$44,$E$67:$E$105,$AA14)+求节点(W$6:W$44,$K$67:$K$105,$AA14)+求节点(W$67:W$105,$O$67:$O$105,$AA14)</f>
        <v>794.51116575302808</v>
      </c>
      <c r="BE14" s="5">
        <f>求节点(X$6:X$44,$E$67:$E$105,$AA14)+求节点(X$6:X$44,$K$67:$K$105,$AA14)+求节点(X$67:X$105,$O$67:$O$105,$AA14)</f>
        <v>820.19787539356571</v>
      </c>
      <c r="BF14" s="5">
        <f>求节点(T$6:T$44,$G$67:$G$105,$AA14)</f>
        <v>0</v>
      </c>
      <c r="BG14" s="5">
        <f>求节点(U$6:U$44,$G$67:$G$105,$AA14)</f>
        <v>0</v>
      </c>
      <c r="BH14" s="5">
        <f>求节点(V$6:V$44,$G$67:$G$105,$AA14)</f>
        <v>0</v>
      </c>
      <c r="BI14" s="5">
        <f>求节点(W$6:W$44,$G$67:$G$105,$AA14)</f>
        <v>0</v>
      </c>
      <c r="BJ14" s="5">
        <f>求节点(X$6:X$44,$G$67:$G$105,$AA14)</f>
        <v>0</v>
      </c>
      <c r="BK14" s="5">
        <f>求节点(T$6:T$44,$M$67:$M$105,$AA14)</f>
        <v>6.666666666666667</v>
      </c>
      <c r="BL14" s="5">
        <f>求节点(U$6:U$44,$M$67:$M$105,$AA14)</f>
        <v>6.8542267285074079</v>
      </c>
      <c r="BM14" s="5">
        <f>求节点(V$6:V$44,$M$67:$M$105,$AA14)</f>
        <v>7.1784131769422048</v>
      </c>
      <c r="BN14" s="5">
        <f>求节点(W$6:W$44,$M$67:$M$105,$AA14)</f>
        <v>7.6395304399329627</v>
      </c>
      <c r="BO14" s="5">
        <f>求节点(X$6:X$44,$M$67:$M$105,$AA14)</f>
        <v>7.8865180326304394</v>
      </c>
      <c r="BP14" s="5">
        <f>求节点(T$67:T$105,$L$67:$L$105,$AA14)</f>
        <v>0</v>
      </c>
      <c r="BQ14" s="5">
        <f>求节点(U$67:U$105,$L$67:$L$105,$AA14)</f>
        <v>0</v>
      </c>
      <c r="BR14" s="5">
        <f>求节点(V$67:V$105,$L$67:$L$105,$AA14)</f>
        <v>0</v>
      </c>
      <c r="BS14" s="5">
        <f>求节点(W$67:W$105,$L$67:$L$105,$AA14)</f>
        <v>0</v>
      </c>
      <c r="BT14" s="5">
        <f>求节点(X$67:X$105,$L$67:$L$105,$AA14)</f>
        <v>0</v>
      </c>
      <c r="BZ14" s="5">
        <v>10</v>
      </c>
      <c r="CA14" s="5">
        <f t="shared" si="9"/>
        <v>693.33333333333326</v>
      </c>
      <c r="CB14" s="5">
        <f t="shared" si="10"/>
        <v>712.83957976477041</v>
      </c>
      <c r="CC14" s="5">
        <f t="shared" si="11"/>
        <v>746.55497040198929</v>
      </c>
      <c r="CD14" s="5">
        <f t="shared" si="12"/>
        <v>794.51116575302808</v>
      </c>
      <c r="CE14" s="5">
        <f t="shared" si="13"/>
        <v>820.19787539356571</v>
      </c>
      <c r="CF14" s="5">
        <f>(CA14-CA13)/节奏总纲!W13</f>
        <v>517.66784066098216</v>
      </c>
      <c r="CI14" s="5">
        <v>10</v>
      </c>
      <c r="CJ14" s="5">
        <f t="shared" si="14"/>
        <v>1600</v>
      </c>
      <c r="CK14" s="5">
        <f t="shared" si="15"/>
        <v>1645.0144148417778</v>
      </c>
      <c r="CL14" s="5">
        <f t="shared" si="16"/>
        <v>1722.8191624661292</v>
      </c>
      <c r="CM14" s="5">
        <f t="shared" si="17"/>
        <v>1833.4873055839109</v>
      </c>
      <c r="CN14" s="5">
        <f t="shared" si="18"/>
        <v>1892.7643278313055</v>
      </c>
      <c r="CO14" s="5">
        <f>(CJ14-CJ13)/节奏总纲!W13</f>
        <v>1194.6180938330372</v>
      </c>
      <c r="CP14" s="5">
        <f t="shared" si="2"/>
        <v>1712.2859344940193</v>
      </c>
      <c r="CR14" s="5">
        <v>10</v>
      </c>
      <c r="CS14" s="5">
        <f t="shared" si="3"/>
        <v>0</v>
      </c>
      <c r="CT14" s="5">
        <f t="shared" si="4"/>
        <v>0</v>
      </c>
      <c r="CU14" s="5">
        <f t="shared" si="5"/>
        <v>0</v>
      </c>
      <c r="CV14" s="5">
        <f t="shared" si="6"/>
        <v>0</v>
      </c>
      <c r="CW14" s="5">
        <f t="shared" si="7"/>
        <v>0</v>
      </c>
      <c r="CX14" s="5">
        <f t="shared" si="20"/>
        <v>0</v>
      </c>
      <c r="CY14" s="5">
        <f t="shared" si="21"/>
        <v>0</v>
      </c>
      <c r="CZ14" s="5">
        <f t="shared" si="22"/>
        <v>0</v>
      </c>
      <c r="DA14" s="5">
        <f t="shared" si="23"/>
        <v>0</v>
      </c>
      <c r="DB14" s="5">
        <f t="shared" si="24"/>
        <v>0</v>
      </c>
    </row>
    <row r="15" spans="2:106" x14ac:dyDescent="0.15">
      <c r="B15" s="5">
        <v>10</v>
      </c>
      <c r="D15" s="5">
        <f>ROUND(130/INDEX('[1]功能-付费相关'!$BB$6:$BB$165,基本信息!U13,1)/1200,0)*600</f>
        <v>84000</v>
      </c>
      <c r="E15" s="5">
        <v>120</v>
      </c>
      <c r="F15" s="5">
        <f>ROUND(60/INDEX('[1]功能-付费相关'!$AS$6:$AS$165,基本信息!C13,1)/600,0)*600</f>
        <v>33600</v>
      </c>
      <c r="H15" s="5">
        <v>27000</v>
      </c>
      <c r="I15" s="5">
        <f>ROUND(20*4/INDEX('[1]功能-付费相关'!$U$6:$U$165,基本信息!U13,1)/4000,0)*4000/2</f>
        <v>142000</v>
      </c>
      <c r="J15" s="5">
        <f>ROUND(50*2/INDEX('[1]功能-付费相关'!$AS$6:$AS$165,基本信息!U13,1)/2000,0)*2000</f>
        <v>56000</v>
      </c>
      <c r="K15" s="5">
        <v>88</v>
      </c>
      <c r="M15" s="5">
        <v>2</v>
      </c>
      <c r="N15" s="5">
        <v>0</v>
      </c>
      <c r="P15" s="5">
        <v>0</v>
      </c>
      <c r="Q15" s="5">
        <v>0</v>
      </c>
      <c r="S15" s="5">
        <v>10</v>
      </c>
      <c r="T15" s="5">
        <f>基本信息!C13</f>
        <v>30</v>
      </c>
      <c r="U15" s="5">
        <f>基本信息!D13</f>
        <v>29.205922841621756</v>
      </c>
      <c r="V15" s="5">
        <f>基本信息!E13</f>
        <v>28.241885949837318</v>
      </c>
      <c r="W15" s="5">
        <f>基本信息!F13</f>
        <v>26.90085434657415</v>
      </c>
      <c r="X15" s="5">
        <f>基本信息!G13</f>
        <v>25.664626885943445</v>
      </c>
      <c r="AA15" s="5">
        <v>11</v>
      </c>
      <c r="AB15" s="5">
        <f>求节点(T$6:T$44,$C$67:$C$105,$AA15)</f>
        <v>0</v>
      </c>
      <c r="AC15" s="5">
        <f>求节点(U$6:U$44,$C$67:$C$105,$AA15)</f>
        <v>0</v>
      </c>
      <c r="AD15" s="5">
        <f>求节点(V$6:V$44,$C$67:$C$105,$AA15)</f>
        <v>0</v>
      </c>
      <c r="AE15" s="5">
        <f>求节点(W$6:W$44,$C$67:$C$105,$AA15)</f>
        <v>0</v>
      </c>
      <c r="AF15" s="5">
        <f>求节点(X$6:X$44,$C$67:$C$105,$AA15)</f>
        <v>0</v>
      </c>
      <c r="AG15" s="5">
        <f>求节点(T$6:T$44,$D$67:$D$105,$AA15)+求节点(T$67:T$105,$Q$67:$Q$105,$AA15)</f>
        <v>20000</v>
      </c>
      <c r="AH15" s="5">
        <f>求节点(U$6:U$44,$D$67:$D$105,$AA15)+求节点(U$67:U$105,$Q$67:$Q$105,$AA15)</f>
        <v>21073.742803079353</v>
      </c>
      <c r="AI15" s="5">
        <f>求节点(V$6:V$44,$D$67:$D$105,$AA15)+求节点(V$67:V$105,$Q$67:$Q$105,$AA15)</f>
        <v>22929.335053802377</v>
      </c>
      <c r="AJ15" s="5">
        <f>求节点(W$6:W$44,$D$67:$D$105,$AA15)+求节点(W$67:W$105,$Q$67:$Q$105,$AA15)</f>
        <v>26466.724297705372</v>
      </c>
      <c r="AK15" s="5">
        <f>求节点(X$6:X$44,$D$67:$D$105,$AA15)+求节点(X$67:X$105,$Q$67:$Q$105,$AA15)</f>
        <v>28727.224527734797</v>
      </c>
      <c r="AL15" s="5">
        <f>求节点(T$6:T$44,$F$67:$F$105,$AA15)+求节点(T$67:T$105,$P$67:$P$105,$AA15)</f>
        <v>82800</v>
      </c>
      <c r="AM15" s="5">
        <f>求节点(U$6:U$44,$F$67:$F$105,$AA15)+求节点(U$67:U$105,$P$67:$P$105,$AA15)</f>
        <v>85452.776337019575</v>
      </c>
      <c r="AN15" s="5">
        <f>求节点(V$6:V$44,$F$67:$F$105,$AA15)+求节点(V$67:V$105,$P$67:$P$105,$AA15)</f>
        <v>90037.180721158817</v>
      </c>
      <c r="AO15" s="5">
        <f>求节点(W$6:W$44,$F$67:$F$105,$AA15)+求节点(W$67:W$105,$P$67:$P$105,$AA15)</f>
        <v>96597.434763961457</v>
      </c>
      <c r="AP15" s="5">
        <f>求节点(X$6:X$44,$F$67:$F$105,$AA15)+求节点(X$67:X$105,$P$67:$P$105,$AA15)</f>
        <v>100575.91516881324</v>
      </c>
      <c r="AQ15" s="5">
        <f>求节点(T$6:T$44,$H$67:$H$105,$AA15)</f>
        <v>23600</v>
      </c>
      <c r="AR15" s="5">
        <f>求节点(U$6:U$44,$H$67:$H$105,$AA15)</f>
        <v>24863.226827152183</v>
      </c>
      <c r="AS15" s="5">
        <f>求节点(V$6:V$44,$H$67:$H$105,$AA15)</f>
        <v>27046.27653388515</v>
      </c>
      <c r="AT15" s="5">
        <f>求节点(W$6:W$44,$H$67:$H$105,$AA15)</f>
        <v>31280.069157246446</v>
      </c>
      <c r="AU15" s="5">
        <f>求节点(X$6:X$44,$H$67:$H$105,$AA15)</f>
        <v>33992.669433281757</v>
      </c>
      <c r="AV15" s="5">
        <f>求节点(T$6:T$44,$I$67:$I$105,$AA15)</f>
        <v>94000</v>
      </c>
      <c r="AW15" s="5">
        <f>求节点(U$6:U$44,$I$67:$I$105,$AA15)</f>
        <v>97789.68048145654</v>
      </c>
      <c r="AX15" s="5">
        <f>求节点(V$6:V$44,$I$67:$I$105,$AA15)</f>
        <v>104338.82960165545</v>
      </c>
      <c r="AY15" s="5">
        <f>求节点(W$6:W$44,$I$67:$I$105,$AA15)</f>
        <v>114586.82803357505</v>
      </c>
      <c r="AZ15" s="5">
        <f>求节点(X$6:X$44,$I$67:$I$105,$AA15)</f>
        <v>120916.22867765743</v>
      </c>
      <c r="BA15" s="5">
        <f>求节点(T$6:T$44,$E$67:$E$105,$AA15)+求节点(T$6:T$44,$K$67:$K$105,$AA15)+求节点(T$67:T$105,$O$67:$O$105,$AA15)</f>
        <v>762.66666666666674</v>
      </c>
      <c r="BB15" s="5">
        <f>求节点(U$6:U$44,$E$67:$E$105,$AA15)+求节点(U$6:U$44,$K$67:$K$105,$AA15)+求节点(U$67:U$105,$O$67:$O$105,$AA15)</f>
        <v>784.56259833730451</v>
      </c>
      <c r="BC15" s="5">
        <f>求节点(V$6:V$44,$E$67:$E$105,$AA15)+求节点(V$6:V$44,$K$67:$K$105,$AA15)+求节点(V$67:V$105,$O$67:$O$105,$AA15)</f>
        <v>822.40212658734254</v>
      </c>
      <c r="BD15" s="5">
        <f>求节点(W$6:W$44,$E$67:$E$105,$AA15)+求节点(W$6:W$44,$K$67:$K$105,$AA15)+求节点(W$67:W$105,$O$67:$O$105,$AA15)</f>
        <v>874.52524359484778</v>
      </c>
      <c r="BE15" s="5">
        <f>求节点(X$6:X$44,$E$67:$E$105,$AA15)+求节点(X$6:X$44,$K$67:$K$105,$AA15)+求节点(X$67:X$105,$O$67:$O$105,$AA15)</f>
        <v>905.87084678458928</v>
      </c>
      <c r="BF15" s="5">
        <f>求节点(T$6:T$44,$G$67:$G$105,$AA15)</f>
        <v>0</v>
      </c>
      <c r="BG15" s="5">
        <f>求节点(U$6:U$44,$G$67:$G$105,$AA15)</f>
        <v>0</v>
      </c>
      <c r="BH15" s="5">
        <f>求节点(V$6:V$44,$G$67:$G$105,$AA15)</f>
        <v>0</v>
      </c>
      <c r="BI15" s="5">
        <f>求节点(W$6:W$44,$G$67:$G$105,$AA15)</f>
        <v>0</v>
      </c>
      <c r="BJ15" s="5">
        <f>求节点(X$6:X$44,$G$67:$G$105,$AA15)</f>
        <v>0</v>
      </c>
      <c r="BK15" s="5">
        <f>求节点(T$6:T$44,$M$67:$M$105,$AA15)</f>
        <v>7.333333333333333</v>
      </c>
      <c r="BL15" s="5">
        <f>求节点(U$6:U$44,$M$67:$M$105,$AA15)</f>
        <v>7.5438711378586962</v>
      </c>
      <c r="BM15" s="5">
        <f>求节点(V$6:V$44,$M$67:$M$105,$AA15)</f>
        <v>7.9077127556475251</v>
      </c>
      <c r="BN15" s="5">
        <f>求节点(W$6:W$44,$M$67:$M$105,$AA15)</f>
        <v>8.4088965730273824</v>
      </c>
      <c r="BO15" s="5">
        <f>求节点(X$6:X$44,$M$67:$M$105,$AA15)</f>
        <v>8.710296603697973</v>
      </c>
      <c r="BP15" s="5">
        <f>求节点(T$67:T$105,$L$67:$L$105,$AA15)</f>
        <v>0</v>
      </c>
      <c r="BQ15" s="5">
        <f>求节点(U$67:U$105,$L$67:$L$105,$AA15)</f>
        <v>0</v>
      </c>
      <c r="BR15" s="5">
        <f>求节点(V$67:V$105,$L$67:$L$105,$AA15)</f>
        <v>0</v>
      </c>
      <c r="BS15" s="5">
        <f>求节点(W$67:W$105,$L$67:$L$105,$AA15)</f>
        <v>0</v>
      </c>
      <c r="BT15" s="5">
        <f>求节点(X$67:X$105,$L$67:$L$105,$AA15)</f>
        <v>0</v>
      </c>
      <c r="BZ15" s="5">
        <v>11</v>
      </c>
      <c r="CA15" s="5">
        <f t="shared" si="9"/>
        <v>762.66666666666674</v>
      </c>
      <c r="CB15" s="5">
        <f t="shared" si="10"/>
        <v>784.56259833730451</v>
      </c>
      <c r="CC15" s="5">
        <f t="shared" si="11"/>
        <v>822.40212658734254</v>
      </c>
      <c r="CD15" s="5">
        <f t="shared" si="12"/>
        <v>874.52524359484778</v>
      </c>
      <c r="CE15" s="5">
        <f t="shared" si="13"/>
        <v>905.87084678458928</v>
      </c>
      <c r="CF15" s="5">
        <f>(CA15-CA14)/节奏总纲!W14</f>
        <v>483.00117399431741</v>
      </c>
      <c r="CI15" s="5">
        <v>11</v>
      </c>
      <c r="CJ15" s="5">
        <f t="shared" si="14"/>
        <v>1760</v>
      </c>
      <c r="CK15" s="5">
        <f t="shared" si="15"/>
        <v>1810.529073086087</v>
      </c>
      <c r="CL15" s="5">
        <f t="shared" si="16"/>
        <v>1897.851061355406</v>
      </c>
      <c r="CM15" s="5">
        <f t="shared" si="17"/>
        <v>2018.1351775265719</v>
      </c>
      <c r="CN15" s="5">
        <f t="shared" si="18"/>
        <v>2090.4711848875136</v>
      </c>
      <c r="CO15" s="5">
        <f>(CJ15-CJ14)/节奏总纲!W14</f>
        <v>1114.6180938330378</v>
      </c>
      <c r="CP15" s="5">
        <f t="shared" si="2"/>
        <v>1597.6192678273553</v>
      </c>
      <c r="CR15" s="5">
        <v>11</v>
      </c>
      <c r="CS15" s="5">
        <f t="shared" si="3"/>
        <v>0</v>
      </c>
      <c r="CT15" s="5">
        <f t="shared" si="4"/>
        <v>0</v>
      </c>
      <c r="CU15" s="5">
        <f t="shared" si="5"/>
        <v>0</v>
      </c>
      <c r="CV15" s="5">
        <f t="shared" si="6"/>
        <v>0</v>
      </c>
      <c r="CW15" s="5">
        <f t="shared" si="7"/>
        <v>0</v>
      </c>
      <c r="CX15" s="5">
        <f t="shared" si="20"/>
        <v>0</v>
      </c>
      <c r="CY15" s="5">
        <f t="shared" si="21"/>
        <v>0</v>
      </c>
      <c r="CZ15" s="5">
        <f t="shared" si="22"/>
        <v>0</v>
      </c>
      <c r="DA15" s="5">
        <f t="shared" si="23"/>
        <v>0</v>
      </c>
      <c r="DB15" s="5">
        <f t="shared" si="24"/>
        <v>0</v>
      </c>
    </row>
    <row r="16" spans="2:106" x14ac:dyDescent="0.15">
      <c r="B16" s="5">
        <v>11</v>
      </c>
      <c r="D16" s="5">
        <f>ROUND(130/INDEX('[1]功能-付费相关'!$BB$6:$BB$165,基本信息!U14,1)/1200,0)*600</f>
        <v>114600</v>
      </c>
      <c r="E16" s="5">
        <v>120</v>
      </c>
      <c r="F16" s="5">
        <f>ROUND(60/INDEX('[1]功能-付费相关'!$AS$6:$AS$165,基本信息!C14,1)/600,0)*600</f>
        <v>34800</v>
      </c>
      <c r="H16" s="5">
        <v>27000</v>
      </c>
      <c r="I16" s="5">
        <f>ROUND(20*4/INDEX('[1]功能-付费相关'!$U$6:$U$165,基本信息!U14,1)/4000,0)*4000/2</f>
        <v>170000</v>
      </c>
      <c r="J16" s="5">
        <f>ROUND(50*2/INDEX('[1]功能-付费相关'!$AS$6:$AS$165,基本信息!U14,1)/2000,0)*2000</f>
        <v>58000</v>
      </c>
      <c r="K16" s="5">
        <v>88</v>
      </c>
      <c r="M16" s="5">
        <v>2</v>
      </c>
      <c r="N16" s="5">
        <v>0</v>
      </c>
      <c r="P16" s="5">
        <v>0</v>
      </c>
      <c r="Q16" s="5">
        <v>0</v>
      </c>
      <c r="S16" s="5">
        <v>11</v>
      </c>
      <c r="T16" s="5">
        <f>基本信息!C14</f>
        <v>33</v>
      </c>
      <c r="U16" s="5">
        <f>基本信息!D14</f>
        <v>32.031845504099799</v>
      </c>
      <c r="V16" s="5">
        <f>基本信息!E14</f>
        <v>30.787262409207109</v>
      </c>
      <c r="W16" s="5">
        <f>基本信息!F14</f>
        <v>29.339854959748202</v>
      </c>
      <c r="X16" s="5">
        <f>基本信息!G14</f>
        <v>28.349256769404541</v>
      </c>
      <c r="AA16" s="5">
        <v>12</v>
      </c>
      <c r="AB16" s="5">
        <f>求节点(T$6:T$44,$C$67:$C$105,$AA16)</f>
        <v>0</v>
      </c>
      <c r="AC16" s="5">
        <f>求节点(U$6:U$44,$C$67:$C$105,$AA16)</f>
        <v>0</v>
      </c>
      <c r="AD16" s="5">
        <f>求节点(V$6:V$44,$C$67:$C$105,$AA16)</f>
        <v>0</v>
      </c>
      <c r="AE16" s="5">
        <f>求节点(W$6:W$44,$C$67:$C$105,$AA16)</f>
        <v>0</v>
      </c>
      <c r="AF16" s="5">
        <f>求节点(X$6:X$44,$C$67:$C$105,$AA16)</f>
        <v>0</v>
      </c>
      <c r="AG16" s="5">
        <f>求节点(T$6:T$44,$D$67:$D$105,$AA16)+求节点(T$67:T$105,$Q$67:$Q$105,$AA16)</f>
        <v>23400</v>
      </c>
      <c r="AH16" s="5">
        <f>求节点(U$6:U$44,$D$67:$D$105,$AA16)+求节点(U$67:U$105,$Q$67:$Q$105,$AA16)</f>
        <v>25118.06479362445</v>
      </c>
      <c r="AI16" s="5">
        <f>求节点(V$6:V$44,$D$67:$D$105,$AA16)+求节点(V$67:V$105,$Q$67:$Q$105,$AA16)</f>
        <v>27921.070353647185</v>
      </c>
      <c r="AJ16" s="5">
        <f>求节点(W$6:W$44,$D$67:$D$105,$AA16)+求节点(W$67:W$105,$Q$67:$Q$105,$AA16)</f>
        <v>32113.803406093575</v>
      </c>
      <c r="AK16" s="5">
        <f>求节点(X$6:X$44,$D$67:$D$105,$AA16)+求节点(X$67:X$105,$Q$67:$Q$105,$AA16)</f>
        <v>34925.112885238756</v>
      </c>
      <c r="AL16" s="5">
        <f>求节点(T$6:T$44,$F$67:$F$105,$AA16)+求节点(T$67:T$105,$P$67:$P$105,$AA16)</f>
        <v>91200</v>
      </c>
      <c r="AM16" s="5">
        <f>求节点(U$6:U$44,$F$67:$F$105,$AA16)+求节点(U$67:U$105,$P$67:$P$105,$AA16)</f>
        <v>94223.794036779029</v>
      </c>
      <c r="AN16" s="5">
        <f>求节点(V$6:V$44,$F$67:$F$105,$AA16)+求节点(V$67:V$105,$P$67:$P$105,$AA16)</f>
        <v>99157.083822419037</v>
      </c>
      <c r="AO16" s="5">
        <f>求节点(W$6:W$44,$F$67:$F$105,$AA16)+求节点(W$67:W$105,$P$67:$P$105,$AA16)</f>
        <v>106536.29399472469</v>
      </c>
      <c r="AP16" s="5">
        <f>求节点(X$6:X$44,$F$67:$F$105,$AA16)+求节点(X$67:X$105,$P$67:$P$105,$AA16)</f>
        <v>111484.19867802021</v>
      </c>
      <c r="AQ16" s="5">
        <f>求节点(T$6:T$44,$H$67:$H$105,$AA16)</f>
        <v>27600</v>
      </c>
      <c r="AR16" s="5">
        <f>求节点(U$6:U$44,$H$67:$H$105,$AA16)</f>
        <v>29661.67775234934</v>
      </c>
      <c r="AS16" s="5">
        <f>求节点(V$6:V$44,$H$67:$H$105,$AA16)</f>
        <v>33025.284424376616</v>
      </c>
      <c r="AT16" s="5">
        <f>求节点(W$6:W$44,$H$67:$H$105,$AA16)</f>
        <v>38056.56408731229</v>
      </c>
      <c r="AU16" s="5">
        <f>求节点(X$6:X$44,$H$67:$H$105,$AA16)</f>
        <v>41430.135462286504</v>
      </c>
      <c r="AV16" s="5">
        <f>求节点(T$6:T$44,$I$67:$I$105,$AA16)</f>
        <v>106000</v>
      </c>
      <c r="AW16" s="5">
        <f>求节点(U$6:U$44,$I$67:$I$105,$AA16)</f>
        <v>110810.58142214846</v>
      </c>
      <c r="AX16" s="5">
        <f>求节点(V$6:V$44,$I$67:$I$105,$AA16)</f>
        <v>118658.99699021211</v>
      </c>
      <c r="AY16" s="5">
        <f>求节点(W$6:W$44,$I$67:$I$105,$AA16)</f>
        <v>130398.64953706201</v>
      </c>
      <c r="AZ16" s="5">
        <f>求节点(X$6:X$44,$I$67:$I$105,$AA16)</f>
        <v>138270.31607866852</v>
      </c>
      <c r="BA16" s="5">
        <f>求节点(T$6:T$44,$E$67:$E$105,$AA16)+求节点(T$6:T$44,$K$67:$K$105,$AA16)+求节点(T$67:T$105,$O$67:$O$105,$AA16)</f>
        <v>832</v>
      </c>
      <c r="BB16" s="5">
        <f>求节点(U$6:U$44,$E$67:$E$105,$AA16)+求节点(U$6:U$44,$K$67:$K$105,$AA16)+求节点(U$67:U$105,$O$67:$O$105,$AA16)</f>
        <v>855.8238318049257</v>
      </c>
      <c r="BC16" s="5">
        <f>求节点(V$6:V$44,$E$67:$E$105,$AA16)+求节点(V$6:V$44,$K$67:$K$105,$AA16)+求节点(V$67:V$105,$O$67:$O$105,$AA16)</f>
        <v>894.69217557057436</v>
      </c>
      <c r="BD16" s="5">
        <f>求节点(W$6:W$44,$E$67:$E$105,$AA16)+求节点(W$6:W$44,$K$67:$K$105,$AA16)+求节点(W$67:W$105,$O$67:$O$105,$AA16)</f>
        <v>952.83140723116423</v>
      </c>
      <c r="BE16" s="5">
        <f>求节点(X$6:X$44,$E$67:$E$105,$AA16)+求节点(X$6:X$44,$K$67:$K$105,$AA16)+求节点(X$67:X$105,$O$67:$O$105,$AA16)</f>
        <v>991.81489867531081</v>
      </c>
      <c r="BF16" s="5">
        <f>求节点(T$6:T$44,$G$67:$G$105,$AA16)</f>
        <v>0</v>
      </c>
      <c r="BG16" s="5">
        <f>求节点(U$6:U$44,$G$67:$G$105,$AA16)</f>
        <v>0</v>
      </c>
      <c r="BH16" s="5">
        <f>求节点(V$6:V$44,$G$67:$G$105,$AA16)</f>
        <v>0</v>
      </c>
      <c r="BI16" s="5">
        <f>求节点(W$6:W$44,$G$67:$G$105,$AA16)</f>
        <v>0</v>
      </c>
      <c r="BJ16" s="5">
        <f>求节点(X$6:X$44,$G$67:$G$105,$AA16)</f>
        <v>0</v>
      </c>
      <c r="BK16" s="5">
        <f>求节点(T$6:T$44,$M$67:$M$105,$AA16)</f>
        <v>8</v>
      </c>
      <c r="BL16" s="5">
        <f>求节点(U$6:U$44,$M$67:$M$105,$AA16)</f>
        <v>8.2290753058165933</v>
      </c>
      <c r="BM16" s="5">
        <f>求节点(V$6:V$44,$M$67:$M$105,$AA16)</f>
        <v>8.6028093804862902</v>
      </c>
      <c r="BN16" s="5">
        <f>求节点(W$6:W$44,$M$67:$M$105,$AA16)</f>
        <v>9.1618404541458105</v>
      </c>
      <c r="BO16" s="5">
        <f>求节点(X$6:X$44,$M$67:$M$105,$AA16)</f>
        <v>9.5366817180318346</v>
      </c>
      <c r="BP16" s="5">
        <f>求节点(T$67:T$105,$L$67:$L$105,$AA16)</f>
        <v>0</v>
      </c>
      <c r="BQ16" s="5">
        <f>求节点(U$67:U$105,$L$67:$L$105,$AA16)</f>
        <v>0</v>
      </c>
      <c r="BR16" s="5">
        <f>求节点(V$67:V$105,$L$67:$L$105,$AA16)</f>
        <v>0</v>
      </c>
      <c r="BS16" s="5">
        <f>求节点(W$67:W$105,$L$67:$L$105,$AA16)</f>
        <v>0</v>
      </c>
      <c r="BT16" s="5">
        <f>求节点(X$67:X$105,$L$67:$L$105,$AA16)</f>
        <v>0</v>
      </c>
      <c r="BZ16" s="5">
        <v>12</v>
      </c>
      <c r="CA16" s="5">
        <f t="shared" si="9"/>
        <v>832</v>
      </c>
      <c r="CB16" s="5">
        <f t="shared" si="10"/>
        <v>855.8238318049257</v>
      </c>
      <c r="CC16" s="5">
        <f t="shared" si="11"/>
        <v>894.69217557057436</v>
      </c>
      <c r="CD16" s="5">
        <f t="shared" si="12"/>
        <v>952.83140723116423</v>
      </c>
      <c r="CE16" s="5">
        <f t="shared" si="13"/>
        <v>991.81489867531081</v>
      </c>
      <c r="CF16" s="5">
        <f>(CA16-CA15)/节奏总纲!W15</f>
        <v>450.65603028770562</v>
      </c>
      <c r="CI16" s="5">
        <v>12</v>
      </c>
      <c r="CJ16" s="5">
        <f t="shared" si="14"/>
        <v>1920</v>
      </c>
      <c r="CK16" s="5">
        <f t="shared" si="15"/>
        <v>1974.9780733959824</v>
      </c>
      <c r="CL16" s="5">
        <f t="shared" si="16"/>
        <v>2064.6742513167096</v>
      </c>
      <c r="CM16" s="5">
        <f t="shared" si="17"/>
        <v>2198.8417089949944</v>
      </c>
      <c r="CN16" s="5">
        <f t="shared" si="18"/>
        <v>2288.8036123276402</v>
      </c>
      <c r="CO16" s="5">
        <f>(CJ16-CJ15)/节奏总纲!W15</f>
        <v>1039.9754545100909</v>
      </c>
      <c r="CP16" s="5">
        <f t="shared" si="2"/>
        <v>1490.6314847977965</v>
      </c>
      <c r="CR16" s="5">
        <v>12</v>
      </c>
      <c r="CS16" s="5">
        <f t="shared" si="3"/>
        <v>0</v>
      </c>
      <c r="CT16" s="5">
        <f t="shared" si="4"/>
        <v>0</v>
      </c>
      <c r="CU16" s="5">
        <f t="shared" si="5"/>
        <v>0</v>
      </c>
      <c r="CV16" s="5">
        <f t="shared" si="6"/>
        <v>0</v>
      </c>
      <c r="CW16" s="5">
        <f t="shared" si="7"/>
        <v>0</v>
      </c>
      <c r="CX16" s="5">
        <f t="shared" si="20"/>
        <v>0</v>
      </c>
      <c r="CY16" s="5">
        <f t="shared" si="21"/>
        <v>0</v>
      </c>
      <c r="CZ16" s="5">
        <f t="shared" si="22"/>
        <v>0</v>
      </c>
      <c r="DA16" s="5">
        <f t="shared" si="23"/>
        <v>0</v>
      </c>
      <c r="DB16" s="5">
        <f t="shared" si="24"/>
        <v>0</v>
      </c>
    </row>
    <row r="17" spans="2:106" x14ac:dyDescent="0.15">
      <c r="B17" s="5">
        <v>12</v>
      </c>
      <c r="D17" s="5">
        <f>ROUND(130/INDEX('[1]功能-付费相关'!$BB$6:$BB$165,基本信息!U15,1)/1200,0)*600</f>
        <v>152400</v>
      </c>
      <c r="E17" s="5">
        <v>120</v>
      </c>
      <c r="F17" s="5">
        <f>ROUND(60/INDEX('[1]功能-付费相关'!$AS$6:$AS$165,基本信息!C15,1)/600,0)*600</f>
        <v>36600</v>
      </c>
      <c r="H17" s="5">
        <v>27000</v>
      </c>
      <c r="I17" s="5">
        <f>ROUND(20*4/INDEX('[1]功能-付费相关'!$U$6:$U$165,基本信息!U15,1)/4000,0)*4000/2</f>
        <v>204000</v>
      </c>
      <c r="J17" s="5">
        <f>ROUND(50*2/INDEX('[1]功能-付费相关'!$AS$6:$AS$165,基本信息!U15,1)/2000,0)*2000</f>
        <v>60000</v>
      </c>
      <c r="K17" s="5">
        <v>88</v>
      </c>
      <c r="M17" s="5">
        <v>2</v>
      </c>
      <c r="N17" s="5">
        <v>0</v>
      </c>
      <c r="P17" s="5">
        <v>0</v>
      </c>
      <c r="Q17" s="5">
        <v>0</v>
      </c>
      <c r="S17" s="5">
        <v>12</v>
      </c>
      <c r="T17" s="5">
        <f>基本信息!C15</f>
        <v>36</v>
      </c>
      <c r="U17" s="5">
        <f>基本信息!D15</f>
        <v>34.994328973751777</v>
      </c>
      <c r="V17" s="5">
        <f>基本信息!E15</f>
        <v>33.374830557228044</v>
      </c>
      <c r="W17" s="5">
        <f>基本信息!F15</f>
        <v>31.693492767200784</v>
      </c>
      <c r="X17" s="5">
        <f>基本信息!G15</f>
        <v>30.697343626543411</v>
      </c>
      <c r="AA17" s="5">
        <v>13</v>
      </c>
      <c r="AB17" s="5">
        <f>求节点(T$6:T$44,$C$67:$C$105,$AA17)</f>
        <v>0</v>
      </c>
      <c r="AC17" s="5">
        <f>求节点(U$6:U$44,$C$67:$C$105,$AA17)</f>
        <v>0</v>
      </c>
      <c r="AD17" s="5">
        <f>求节点(V$6:V$44,$C$67:$C$105,$AA17)</f>
        <v>0</v>
      </c>
      <c r="AE17" s="5">
        <f>求节点(W$6:W$44,$C$67:$C$105,$AA17)</f>
        <v>0</v>
      </c>
      <c r="AF17" s="5">
        <f>求节点(X$6:X$44,$C$67:$C$105,$AA17)</f>
        <v>0</v>
      </c>
      <c r="AG17" s="5">
        <f>求节点(T$6:T$44,$D$67:$D$105,$AA17)+求节点(T$67:T$105,$Q$67:$Q$105,$AA17)</f>
        <v>28400</v>
      </c>
      <c r="AH17" s="5">
        <f>求节点(U$6:U$44,$D$67:$D$105,$AA17)+求节点(U$67:U$105,$Q$67:$Q$105,$AA17)</f>
        <v>30192.047207141935</v>
      </c>
      <c r="AI17" s="5">
        <f>求节点(V$6:V$44,$D$67:$D$105,$AA17)+求节点(V$67:V$105,$Q$67:$Q$105,$AA17)</f>
        <v>33097.131359689898</v>
      </c>
      <c r="AJ17" s="5">
        <f>求节点(W$6:W$44,$D$67:$D$105,$AA17)+求节点(W$67:W$105,$Q$67:$Q$105,$AA17)</f>
        <v>37760.882514481782</v>
      </c>
      <c r="AK17" s="5">
        <f>求节点(X$6:X$44,$D$67:$D$105,$AA17)+求节点(X$67:X$105,$Q$67:$Q$105,$AA17)</f>
        <v>42077.548800928475</v>
      </c>
      <c r="AL17" s="5">
        <f>求节点(T$6:T$44,$F$67:$F$105,$AA17)+求节点(T$67:T$105,$P$67:$P$105,$AA17)</f>
        <v>100000</v>
      </c>
      <c r="AM17" s="5">
        <f>求节点(U$6:U$44,$F$67:$F$105,$AA17)+求节点(U$67:U$105,$P$67:$P$105,$AA17)</f>
        <v>103154.00308456981</v>
      </c>
      <c r="AN17" s="5">
        <f>求节点(V$6:V$44,$F$67:$F$105,$AA17)+求节点(V$67:V$105,$P$67:$P$105,$AA17)</f>
        <v>108266.95119305421</v>
      </c>
      <c r="AO17" s="5">
        <f>求节点(W$6:W$44,$F$67:$F$105,$AA17)+求节点(W$67:W$105,$P$67:$P$105,$AA17)</f>
        <v>116475.15322548794</v>
      </c>
      <c r="AP17" s="5">
        <f>求节点(X$6:X$44,$F$67:$F$105,$AA17)+求节点(X$67:X$105,$P$67:$P$105,$AA17)</f>
        <v>122299.09013451972</v>
      </c>
      <c r="AQ17" s="5">
        <f>求节点(T$6:T$44,$H$67:$H$105,$AA17)</f>
        <v>33600</v>
      </c>
      <c r="AR17" s="5">
        <f>求节点(U$6:U$44,$H$67:$H$105,$AA17)</f>
        <v>35750.456648570325</v>
      </c>
      <c r="AS17" s="5">
        <f>求节点(V$6:V$44,$H$67:$H$105,$AA17)</f>
        <v>39236.557631627875</v>
      </c>
      <c r="AT17" s="5">
        <f>求节点(W$6:W$44,$H$67:$H$105,$AA17)</f>
        <v>44833.059017378138</v>
      </c>
      <c r="AU17" s="5">
        <f>求节点(X$6:X$44,$H$67:$H$105,$AA17)</f>
        <v>50196.93600116059</v>
      </c>
      <c r="AV17" s="5">
        <f>求节点(T$6:T$44,$I$67:$I$105,$AA17)</f>
        <v>120000</v>
      </c>
      <c r="AW17" s="5">
        <f>求节点(U$6:U$44,$I$67:$I$105,$AA17)</f>
        <v>125017.73217999742</v>
      </c>
      <c r="AX17" s="5">
        <f>求节点(V$6:V$44,$I$67:$I$105,$AA17)</f>
        <v>133151.9678071317</v>
      </c>
      <c r="AY17" s="5">
        <f>求节点(W$6:W$44,$I$67:$I$105,$AA17)</f>
        <v>146210.47104054899</v>
      </c>
      <c r="AZ17" s="5">
        <f>求节点(X$6:X$44,$I$67:$I$105,$AA17)</f>
        <v>156512.84444659369</v>
      </c>
      <c r="BA17" s="5">
        <f>求节点(T$6:T$44,$E$67:$E$105,$AA17)+求节点(T$6:T$44,$K$67:$K$105,$AA17)+求节点(T$67:T$105,$O$67:$O$105,$AA17)</f>
        <v>901.33333333333326</v>
      </c>
      <c r="BB17" s="5">
        <f>求节点(U$6:U$44,$E$67:$E$105,$AA17)+求节点(U$6:U$44,$K$67:$K$105,$AA17)+求节点(U$67:U$105,$O$67:$O$105,$AA17)</f>
        <v>926.1830546057015</v>
      </c>
      <c r="BC17" s="5">
        <f>求节点(V$6:V$44,$E$67:$E$105,$AA17)+求节点(V$6:V$44,$K$67:$K$105,$AA17)+求节点(V$67:V$105,$O$67:$O$105,$AA17)</f>
        <v>966.46688818769985</v>
      </c>
      <c r="BD17" s="5">
        <f>求节点(W$6:W$44,$E$67:$E$105,$AA17)+求节点(W$6:W$44,$K$67:$K$105,$AA17)+求节点(W$67:W$105,$O$67:$O$105,$AA17)</f>
        <v>1031.1375708674807</v>
      </c>
      <c r="BE17" s="5">
        <f>求节点(X$6:X$44,$E$67:$E$105,$AA17)+求节点(X$6:X$44,$K$67:$K$105,$AA17)+求节点(X$67:X$105,$O$67:$O$105,$AA17)</f>
        <v>1075.4134328978298</v>
      </c>
      <c r="BF17" s="5">
        <f>求节点(T$6:T$44,$G$67:$G$105,$AA17)</f>
        <v>0</v>
      </c>
      <c r="BG17" s="5">
        <f>求节点(U$6:U$44,$G$67:$G$105,$AA17)</f>
        <v>0</v>
      </c>
      <c r="BH17" s="5">
        <f>求节点(V$6:V$44,$G$67:$G$105,$AA17)</f>
        <v>0</v>
      </c>
      <c r="BI17" s="5">
        <f>求节点(W$6:W$44,$G$67:$G$105,$AA17)</f>
        <v>0</v>
      </c>
      <c r="BJ17" s="5">
        <f>求节点(X$6:X$44,$G$67:$G$105,$AA17)</f>
        <v>0</v>
      </c>
      <c r="BK17" s="5">
        <f>求节点(T$6:T$44,$M$67:$M$105,$AA17)</f>
        <v>8.6666666666666661</v>
      </c>
      <c r="BL17" s="5">
        <f>求节点(U$6:U$44,$M$67:$M$105,$AA17)</f>
        <v>8.905606294285592</v>
      </c>
      <c r="BM17" s="5">
        <f>求节点(V$6:V$44,$M$67:$M$105,$AA17)</f>
        <v>9.292950847958652</v>
      </c>
      <c r="BN17" s="5">
        <f>求节点(W$6:W$44,$M$67:$M$105,$AA17)</f>
        <v>9.9147843352642369</v>
      </c>
      <c r="BO17" s="5">
        <f>求节点(X$6:X$44,$M$67:$M$105,$AA17)</f>
        <v>10.340513777863748</v>
      </c>
      <c r="BP17" s="5">
        <f>求节点(T$67:T$105,$L$67:$L$105,$AA17)</f>
        <v>0</v>
      </c>
      <c r="BQ17" s="5">
        <f>求节点(U$67:U$105,$L$67:$L$105,$AA17)</f>
        <v>0</v>
      </c>
      <c r="BR17" s="5">
        <f>求节点(V$67:V$105,$L$67:$L$105,$AA17)</f>
        <v>0</v>
      </c>
      <c r="BS17" s="5">
        <f>求节点(W$67:W$105,$L$67:$L$105,$AA17)</f>
        <v>0</v>
      </c>
      <c r="BT17" s="5">
        <f>求节点(X$67:X$105,$L$67:$L$105,$AA17)</f>
        <v>0</v>
      </c>
      <c r="BZ17" s="5">
        <v>13</v>
      </c>
      <c r="CA17" s="5">
        <f t="shared" si="9"/>
        <v>901.33333333333326</v>
      </c>
      <c r="CB17" s="5">
        <f t="shared" si="10"/>
        <v>926.1830546057015</v>
      </c>
      <c r="CC17" s="5">
        <f t="shared" si="11"/>
        <v>966.46688818769985</v>
      </c>
      <c r="CD17" s="5">
        <f t="shared" si="12"/>
        <v>1031.1375708674807</v>
      </c>
      <c r="CE17" s="5">
        <f t="shared" si="13"/>
        <v>1075.4134328978298</v>
      </c>
      <c r="CF17" s="5">
        <f>(CA17-CA16)/节奏总纲!W16</f>
        <v>420.47694409344109</v>
      </c>
      <c r="CI17" s="5">
        <v>13</v>
      </c>
      <c r="CJ17" s="5">
        <f t="shared" si="14"/>
        <v>2080</v>
      </c>
      <c r="CK17" s="5">
        <f t="shared" si="15"/>
        <v>2137.3455106285419</v>
      </c>
      <c r="CL17" s="5">
        <f t="shared" si="16"/>
        <v>2230.3082035100765</v>
      </c>
      <c r="CM17" s="5">
        <f t="shared" si="17"/>
        <v>2379.5482404634167</v>
      </c>
      <c r="CN17" s="5">
        <f t="shared" si="18"/>
        <v>2481.7233066872996</v>
      </c>
      <c r="CO17" s="5">
        <f>(CJ17-CJ16)/节奏总纲!W16</f>
        <v>970.33140944640354</v>
      </c>
      <c r="CP17" s="5">
        <f t="shared" si="2"/>
        <v>1390.8083535398446</v>
      </c>
      <c r="CR17" s="5">
        <v>13</v>
      </c>
      <c r="CS17" s="5">
        <f t="shared" si="3"/>
        <v>0</v>
      </c>
      <c r="CT17" s="5">
        <f t="shared" si="4"/>
        <v>0</v>
      </c>
      <c r="CU17" s="5">
        <f t="shared" si="5"/>
        <v>0</v>
      </c>
      <c r="CV17" s="5">
        <f t="shared" si="6"/>
        <v>0</v>
      </c>
      <c r="CW17" s="5">
        <f t="shared" si="7"/>
        <v>0</v>
      </c>
      <c r="CX17" s="5">
        <f t="shared" si="20"/>
        <v>0</v>
      </c>
      <c r="CY17" s="5">
        <f t="shared" si="21"/>
        <v>0</v>
      </c>
      <c r="CZ17" s="5">
        <f t="shared" si="22"/>
        <v>0</v>
      </c>
      <c r="DA17" s="5">
        <f t="shared" si="23"/>
        <v>0</v>
      </c>
      <c r="DB17" s="5">
        <f t="shared" si="24"/>
        <v>0</v>
      </c>
    </row>
    <row r="18" spans="2:106" x14ac:dyDescent="0.15">
      <c r="B18" s="5">
        <v>13</v>
      </c>
      <c r="D18" s="5">
        <f>ROUND(130/INDEX('[1]功能-付费相关'!$BB$6:$BB$165,基本信息!U16,1)/1200,0)*600</f>
        <v>203400</v>
      </c>
      <c r="E18" s="5">
        <v>120</v>
      </c>
      <c r="F18" s="5">
        <f>ROUND(60/INDEX('[1]功能-付费相关'!$AS$6:$AS$165,基本信息!C16,1)/600,0)*600</f>
        <v>37800</v>
      </c>
      <c r="H18" s="5">
        <v>27000</v>
      </c>
      <c r="I18" s="5">
        <f>ROUND(20*4/INDEX('[1]功能-付费相关'!$U$6:$U$165,基本信息!U16,1)/4000,0)*4000/2</f>
        <v>244000</v>
      </c>
      <c r="J18" s="5">
        <f>ROUND(50*2/INDEX('[1]功能-付费相关'!$AS$6:$AS$165,基本信息!U16,1)/2000,0)*2000</f>
        <v>64000</v>
      </c>
      <c r="K18" s="5">
        <v>88</v>
      </c>
      <c r="M18" s="5">
        <v>2</v>
      </c>
      <c r="N18" s="5">
        <v>0</v>
      </c>
      <c r="P18" s="5">
        <v>0</v>
      </c>
      <c r="Q18" s="5">
        <v>0</v>
      </c>
      <c r="S18" s="5">
        <v>13</v>
      </c>
      <c r="T18" s="5">
        <f>基本信息!C16</f>
        <v>39</v>
      </c>
      <c r="U18" s="5">
        <f>基本信息!D16</f>
        <v>38.142264137848926</v>
      </c>
      <c r="V18" s="5">
        <f>基本信息!E16</f>
        <v>36.642907295186205</v>
      </c>
      <c r="W18" s="5">
        <f>基本信息!F16</f>
        <v>34.341611061692923</v>
      </c>
      <c r="X18" s="5">
        <f>基本信息!G16</f>
        <v>33.139872705959931</v>
      </c>
      <c r="AA18" s="5">
        <v>14</v>
      </c>
      <c r="AB18" s="5">
        <f>求节点(T$6:T$44,$C$67:$C$105,$AA18)</f>
        <v>0</v>
      </c>
      <c r="AC18" s="5">
        <f>求节点(U$6:U$44,$C$67:$C$105,$AA18)</f>
        <v>0</v>
      </c>
      <c r="AD18" s="5">
        <f>求节点(V$6:V$44,$C$67:$C$105,$AA18)</f>
        <v>0</v>
      </c>
      <c r="AE18" s="5">
        <f>求节点(W$6:W$44,$C$67:$C$105,$AA18)</f>
        <v>0</v>
      </c>
      <c r="AF18" s="5">
        <f>求节点(X$6:X$44,$C$67:$C$105,$AA18)</f>
        <v>0</v>
      </c>
      <c r="AG18" s="5">
        <f>求节点(T$6:T$44,$D$67:$D$105,$AA18)+求节点(T$67:T$105,$Q$67:$Q$105,$AA18)</f>
        <v>33400</v>
      </c>
      <c r="AH18" s="5">
        <f>求节点(U$6:U$44,$D$67:$D$105,$AA18)+求节点(U$67:U$105,$Q$67:$Q$105,$AA18)</f>
        <v>35266.029620659421</v>
      </c>
      <c r="AI18" s="5">
        <f>求节点(V$6:V$44,$D$67:$D$105,$AA18)+求节点(V$67:V$105,$Q$67:$Q$105,$AA18)</f>
        <v>38273.192365732604</v>
      </c>
      <c r="AJ18" s="5">
        <f>求节点(W$6:W$44,$D$67:$D$105,$AA18)+求节点(W$67:W$105,$Q$67:$Q$105,$AA18)</f>
        <v>45465.495100228145</v>
      </c>
      <c r="AK18" s="5">
        <f>求节点(X$6:X$44,$D$67:$D$105,$AA18)+求节点(X$67:X$105,$Q$67:$Q$105,$AA18)</f>
        <v>50448.105721596345</v>
      </c>
      <c r="AL18" s="5">
        <f>求节点(T$6:T$44,$F$67:$F$105,$AA18)+求节点(T$67:T$105,$P$67:$P$105,$AA18)</f>
        <v>108800</v>
      </c>
      <c r="AM18" s="5">
        <f>求节点(U$6:U$44,$F$67:$F$105,$AA18)+求节点(U$67:U$105,$P$67:$P$105,$AA18)</f>
        <v>112084.21213236058</v>
      </c>
      <c r="AN18" s="5">
        <f>求节点(V$6:V$44,$F$67:$F$105,$AA18)+求节点(V$67:V$105,$P$67:$P$105,$AA18)</f>
        <v>117376.81856368939</v>
      </c>
      <c r="AO18" s="5">
        <f>求节点(W$6:W$44,$F$67:$F$105,$AA18)+求节点(W$67:W$105,$P$67:$P$105,$AA18)</f>
        <v>126628.1326280693</v>
      </c>
      <c r="AP18" s="5">
        <f>求节点(X$6:X$44,$F$67:$F$105,$AA18)+求节点(X$67:X$105,$P$67:$P$105,$AA18)</f>
        <v>132994.8017553731</v>
      </c>
      <c r="AQ18" s="5">
        <f>求节点(T$6:T$44,$H$67:$H$105,$AA18)</f>
        <v>39600</v>
      </c>
      <c r="AR18" s="5">
        <f>求节点(U$6:U$44,$H$67:$H$105,$AA18)</f>
        <v>41839.2355447913</v>
      </c>
      <c r="AS18" s="5">
        <f>求节点(V$6:V$44,$H$67:$H$105,$AA18)</f>
        <v>45447.830838879127</v>
      </c>
      <c r="AT18" s="5">
        <f>求节点(W$6:W$44,$H$67:$H$105,$AA18)</f>
        <v>54431.868875285189</v>
      </c>
      <c r="AU18" s="5">
        <f>求节点(X$6:X$44,$H$67:$H$105,$AA18)</f>
        <v>60660.132151995436</v>
      </c>
      <c r="AV18" s="5">
        <f>求节点(T$6:T$44,$I$67:$I$105,$AA18)</f>
        <v>134000</v>
      </c>
      <c r="AW18" s="5">
        <f>求节点(U$6:U$44,$I$67:$I$105,$AA18)</f>
        <v>139224.88293784636</v>
      </c>
      <c r="AX18" s="5">
        <f>求节点(V$6:V$44,$I$67:$I$105,$AA18)</f>
        <v>147644.93862405128</v>
      </c>
      <c r="AY18" s="5">
        <f>求节点(W$6:W$44,$I$67:$I$105,$AA18)</f>
        <v>164355.3127320096</v>
      </c>
      <c r="AZ18" s="5">
        <f>求节点(X$6:X$44,$I$67:$I$105,$AA18)</f>
        <v>175889.13361480634</v>
      </c>
      <c r="BA18" s="5">
        <f>求节点(T$6:T$44,$E$67:$E$105,$AA18)+求节点(T$6:T$44,$K$67:$K$105,$AA18)+求节点(T$67:T$105,$O$67:$O$105,$AA18)</f>
        <v>970.66666666666674</v>
      </c>
      <c r="BB18" s="5">
        <f>求节点(U$6:U$44,$E$67:$E$105,$AA18)+求节点(U$6:U$44,$K$67:$K$105,$AA18)+求节点(U$67:U$105,$O$67:$O$105,$AA18)</f>
        <v>996.5422774064773</v>
      </c>
      <c r="BC18" s="5">
        <f>求节点(V$6:V$44,$E$67:$E$105,$AA18)+求节点(V$6:V$44,$K$67:$K$105,$AA18)+求节点(V$67:V$105,$O$67:$O$105,$AA18)</f>
        <v>1038.2416008048253</v>
      </c>
      <c r="BD18" s="5">
        <f>求节点(W$6:W$44,$E$67:$E$105,$AA18)+求节点(W$6:W$44,$K$67:$K$105,$AA18)+求节点(W$67:W$105,$O$67:$O$105,$AA18)</f>
        <v>1108.0381009651599</v>
      </c>
      <c r="BE18" s="5">
        <f>求节点(X$6:X$44,$E$67:$E$105,$AA18)+求节点(X$6:X$44,$K$67:$K$105,$AA18)+求节点(X$67:X$105,$O$67:$O$105,$AA18)</f>
        <v>1156.0187958375943</v>
      </c>
      <c r="BF18" s="5">
        <f>求节点(T$6:T$44,$G$67:$G$105,$AA18)</f>
        <v>0</v>
      </c>
      <c r="BG18" s="5">
        <f>求节点(U$6:U$44,$G$67:$G$105,$AA18)</f>
        <v>0</v>
      </c>
      <c r="BH18" s="5">
        <f>求节点(V$6:V$44,$G$67:$G$105,$AA18)</f>
        <v>0</v>
      </c>
      <c r="BI18" s="5">
        <f>求节点(W$6:W$44,$G$67:$G$105,$AA18)</f>
        <v>0</v>
      </c>
      <c r="BJ18" s="5">
        <f>求节点(X$6:X$44,$G$67:$G$105,$AA18)</f>
        <v>0</v>
      </c>
      <c r="BK18" s="5">
        <f>求节点(T$6:T$44,$M$67:$M$105,$AA18)</f>
        <v>9.3333333333333339</v>
      </c>
      <c r="BL18" s="5">
        <f>求节点(U$6:U$44,$M$67:$M$105,$AA18)</f>
        <v>9.582137282754589</v>
      </c>
      <c r="BM18" s="5">
        <f>求节点(V$6:V$44,$M$67:$M$105,$AA18)</f>
        <v>9.9830923154310138</v>
      </c>
      <c r="BN18" s="5">
        <f>求节点(W$6:W$44,$M$67:$M$105,$AA18)</f>
        <v>10.654212509280384</v>
      </c>
      <c r="BO18" s="5">
        <f>求节点(X$6:X$44,$M$67:$M$105,$AA18)</f>
        <v>11.115565344592254</v>
      </c>
      <c r="BP18" s="5">
        <f>求节点(T$67:T$105,$L$67:$L$105,$AA18)</f>
        <v>0</v>
      </c>
      <c r="BQ18" s="5">
        <f>求节点(U$67:U$105,$L$67:$L$105,$AA18)</f>
        <v>0</v>
      </c>
      <c r="BR18" s="5">
        <f>求节点(V$67:V$105,$L$67:$L$105,$AA18)</f>
        <v>0</v>
      </c>
      <c r="BS18" s="5">
        <f>求节点(W$67:W$105,$L$67:$L$105,$AA18)</f>
        <v>0</v>
      </c>
      <c r="BT18" s="5">
        <f>求节点(X$67:X$105,$L$67:$L$105,$AA18)</f>
        <v>0</v>
      </c>
      <c r="BZ18" s="5">
        <v>14</v>
      </c>
      <c r="CA18" s="5">
        <f t="shared" si="9"/>
        <v>970.66666666666674</v>
      </c>
      <c r="CB18" s="5">
        <f t="shared" si="10"/>
        <v>996.5422774064773</v>
      </c>
      <c r="CC18" s="5">
        <f t="shared" si="11"/>
        <v>1038.2416008048253</v>
      </c>
      <c r="CD18" s="5">
        <f t="shared" si="12"/>
        <v>1108.0381009651599</v>
      </c>
      <c r="CE18" s="5">
        <f t="shared" si="13"/>
        <v>1156.0187958375943</v>
      </c>
      <c r="CF18" s="5">
        <f>(CA18-CA17)/节奏总纲!W17</f>
        <v>392.31886101975959</v>
      </c>
      <c r="CI18" s="5">
        <v>14</v>
      </c>
      <c r="CJ18" s="5">
        <f t="shared" si="14"/>
        <v>2240</v>
      </c>
      <c r="CK18" s="5">
        <f t="shared" si="15"/>
        <v>2299.7129478611014</v>
      </c>
      <c r="CL18" s="5">
        <f t="shared" si="16"/>
        <v>2395.9421557034434</v>
      </c>
      <c r="CM18" s="5">
        <f t="shared" si="17"/>
        <v>2557.011002227292</v>
      </c>
      <c r="CN18" s="5">
        <f t="shared" si="18"/>
        <v>2667.7356827021408</v>
      </c>
      <c r="CO18" s="5">
        <f>(CJ18-CJ17)/节奏总纲!W17</f>
        <v>905.35121773790479</v>
      </c>
      <c r="CP18" s="5">
        <f t="shared" si="2"/>
        <v>1297.6700787576644</v>
      </c>
      <c r="CR18" s="5">
        <v>14</v>
      </c>
      <c r="CS18" s="5">
        <f t="shared" si="3"/>
        <v>0</v>
      </c>
      <c r="CT18" s="5">
        <f t="shared" si="4"/>
        <v>0</v>
      </c>
      <c r="CU18" s="5">
        <f t="shared" si="5"/>
        <v>0</v>
      </c>
      <c r="CV18" s="5">
        <f t="shared" si="6"/>
        <v>0</v>
      </c>
      <c r="CW18" s="5">
        <f t="shared" si="7"/>
        <v>0</v>
      </c>
      <c r="CX18" s="5">
        <f t="shared" si="20"/>
        <v>0</v>
      </c>
      <c r="CY18" s="5">
        <f t="shared" si="21"/>
        <v>0</v>
      </c>
      <c r="CZ18" s="5">
        <f t="shared" si="22"/>
        <v>0</v>
      </c>
      <c r="DA18" s="5">
        <f t="shared" si="23"/>
        <v>0</v>
      </c>
      <c r="DB18" s="5">
        <f t="shared" si="24"/>
        <v>0</v>
      </c>
    </row>
    <row r="19" spans="2:106" x14ac:dyDescent="0.15">
      <c r="B19" s="5">
        <v>14</v>
      </c>
      <c r="D19" s="5">
        <f>ROUND(130/INDEX('[1]功能-付费相关'!$BB$6:$BB$165,基本信息!U17,1)/1200,0)*600</f>
        <v>270600</v>
      </c>
      <c r="E19" s="5">
        <v>120</v>
      </c>
      <c r="F19" s="5">
        <f>ROUND(60/INDEX('[1]功能-付费相关'!$AS$6:$AS$165,基本信息!C17,1)/600,0)*600</f>
        <v>39600</v>
      </c>
      <c r="H19" s="5">
        <v>27000</v>
      </c>
      <c r="I19" s="5">
        <f>ROUND(20*4/INDEX('[1]功能-付费相关'!$U$6:$U$165,基本信息!U17,1)/4000,0)*4000/2</f>
        <v>288000</v>
      </c>
      <c r="J19" s="5">
        <f>ROUND(50*2/INDEX('[1]功能-付费相关'!$AS$6:$AS$165,基本信息!U17,1)/2000,0)*2000</f>
        <v>66000</v>
      </c>
      <c r="K19" s="5">
        <v>88</v>
      </c>
      <c r="M19" s="5">
        <v>2</v>
      </c>
      <c r="N19" s="5">
        <v>0</v>
      </c>
      <c r="P19" s="5">
        <v>0</v>
      </c>
      <c r="Q19" s="5">
        <v>0</v>
      </c>
      <c r="S19" s="5">
        <v>14</v>
      </c>
      <c r="T19" s="5">
        <f>基本信息!C17</f>
        <v>42</v>
      </c>
      <c r="U19" s="5">
        <f>基本信息!D17</f>
        <v>41.011014734150677</v>
      </c>
      <c r="V19" s="5">
        <f>基本信息!E17</f>
        <v>39.360375852955542</v>
      </c>
      <c r="W19" s="5">
        <f>基本信息!F17</f>
        <v>36.806305874019117</v>
      </c>
      <c r="X19" s="5">
        <f>基本信息!G17</f>
        <v>35.419119753273336</v>
      </c>
      <c r="AA19" s="5">
        <v>15</v>
      </c>
      <c r="AB19" s="5">
        <f>求节点(T$6:T$44,$C$67:$C$105,$AA19)</f>
        <v>0</v>
      </c>
      <c r="AC19" s="5">
        <f>求节点(U$6:U$44,$C$67:$C$105,$AA19)</f>
        <v>0</v>
      </c>
      <c r="AD19" s="5">
        <f>求节点(V$6:V$44,$C$67:$C$105,$AA19)</f>
        <v>0</v>
      </c>
      <c r="AE19" s="5">
        <f>求节点(W$6:W$44,$C$67:$C$105,$AA19)</f>
        <v>0</v>
      </c>
      <c r="AF19" s="5">
        <f>求节点(X$6:X$44,$C$67:$C$105,$AA19)</f>
        <v>0</v>
      </c>
      <c r="AG19" s="5">
        <f>求节点(T$6:T$44,$D$67:$D$105,$AA19)+求节点(T$67:T$105,$Q$67:$Q$105,$AA19)</f>
        <v>38400</v>
      </c>
      <c r="AH19" s="5">
        <f>求节点(U$6:U$44,$D$67:$D$105,$AA19)+求节点(U$67:U$105,$Q$67:$Q$105,$AA19)</f>
        <v>41217.866036481719</v>
      </c>
      <c r="AI19" s="5">
        <f>求节点(V$6:V$44,$D$67:$D$105,$AA19)+求节点(V$67:V$105,$Q$67:$Q$105,$AA19)</f>
        <v>45792.539358717062</v>
      </c>
      <c r="AJ19" s="5">
        <f>求节点(W$6:W$44,$D$67:$D$105,$AA19)+求节点(W$67:W$105,$Q$67:$Q$105,$AA19)</f>
        <v>53432.690693083328</v>
      </c>
      <c r="AK19" s="5">
        <f>求节点(X$6:X$44,$D$67:$D$105,$AA19)+求节点(X$67:X$105,$Q$67:$Q$105,$AA19)</f>
        <v>58818.662642264215</v>
      </c>
      <c r="AL19" s="5">
        <f>求节点(T$6:T$44,$F$67:$F$105,$AA19)+求节点(T$67:T$105,$P$67:$P$105,$AA19)</f>
        <v>117600</v>
      </c>
      <c r="AM19" s="5">
        <f>求节点(U$6:U$44,$F$67:$F$105,$AA19)+求节点(U$67:U$105,$P$67:$P$105,$AA19)</f>
        <v>121200.60660217109</v>
      </c>
      <c r="AN19" s="5">
        <f>求节点(V$6:V$44,$F$67:$F$105,$AA19)+求节点(V$67:V$105,$P$67:$P$105,$AA19)</f>
        <v>127046.02251391625</v>
      </c>
      <c r="AO19" s="5">
        <f>求节点(W$6:W$44,$F$67:$F$105,$AA19)+求节点(W$67:W$105,$P$67:$P$105,$AA19)</f>
        <v>136808.4381078287</v>
      </c>
      <c r="AP19" s="5">
        <f>求节点(X$6:X$44,$F$67:$F$105,$AA19)+求节点(X$67:X$105,$P$67:$P$105,$AA19)</f>
        <v>143690.5133762265</v>
      </c>
      <c r="AQ19" s="5">
        <f>求节点(T$6:T$44,$H$67:$H$105,$AA19)</f>
        <v>45600</v>
      </c>
      <c r="AR19" s="5">
        <f>求节点(U$6:U$44,$H$67:$H$105,$AA19)</f>
        <v>49122.332545602148</v>
      </c>
      <c r="AS19" s="5">
        <f>求节点(V$6:V$44,$H$67:$H$105,$AA19)</f>
        <v>54840.674198396329</v>
      </c>
      <c r="AT19" s="5">
        <f>求节点(W$6:W$44,$H$67:$H$105,$AA19)</f>
        <v>64390.863366354155</v>
      </c>
      <c r="AU19" s="5">
        <f>求节点(X$6:X$44,$H$67:$H$105,$AA19)</f>
        <v>71123.328302830269</v>
      </c>
      <c r="AV19" s="5">
        <f>求节点(T$6:T$44,$I$67:$I$105,$AA19)</f>
        <v>148000</v>
      </c>
      <c r="AW19" s="5">
        <f>求节点(U$6:U$44,$I$67:$I$105,$AA19)</f>
        <v>154522.83804741138</v>
      </c>
      <c r="AX19" s="5">
        <f>求节点(V$6:V$44,$I$67:$I$105,$AA19)</f>
        <v>165112.35962665986</v>
      </c>
      <c r="AY19" s="5">
        <f>求节点(W$6:W$44,$I$67:$I$105,$AA19)</f>
        <v>182797.89512287808</v>
      </c>
      <c r="AZ19" s="5">
        <f>求节点(X$6:X$44,$I$67:$I$105,$AA19)</f>
        <v>195265.42278301902</v>
      </c>
      <c r="BA19" s="5">
        <f>求节点(T$6:T$44,$E$67:$E$105,$AA19)+求节点(T$6:T$44,$K$67:$K$105,$AA19)+求节点(T$67:T$105,$O$67:$O$105,$AA19)</f>
        <v>1040</v>
      </c>
      <c r="BB19" s="5">
        <f>求节点(U$6:U$44,$E$67:$E$105,$AA19)+求节点(U$6:U$44,$K$67:$K$105,$AA19)+求节点(U$67:U$105,$O$67:$O$105,$AA19)</f>
        <v>1067.1350062772312</v>
      </c>
      <c r="BC19" s="5">
        <f>求节点(V$6:V$44,$E$67:$E$105,$AA19)+求节点(V$6:V$44,$K$67:$K$105,$AA19)+求节点(V$67:V$105,$O$67:$O$105,$AA19)</f>
        <v>1111.1874160469051</v>
      </c>
      <c r="BD19" s="5">
        <f>求节点(W$6:W$44,$E$67:$E$105,$AA19)+求节点(W$6:W$44,$K$67:$K$105,$AA19)+求节点(W$67:W$105,$O$67:$O$105,$AA19)</f>
        <v>1184.7592437111728</v>
      </c>
      <c r="BE19" s="5">
        <f>求节点(X$6:X$44,$E$67:$E$105,$AA19)+求节点(X$6:X$44,$K$67:$K$105,$AA19)+求节点(X$67:X$105,$O$67:$O$105,$AA19)</f>
        <v>1236.6241587773591</v>
      </c>
      <c r="BF19" s="5">
        <f>求节点(T$6:T$44,$G$67:$G$105,$AA19)</f>
        <v>0</v>
      </c>
      <c r="BG19" s="5">
        <f>求节点(U$6:U$44,$G$67:$G$105,$AA19)</f>
        <v>0</v>
      </c>
      <c r="BH19" s="5">
        <f>求节点(V$6:V$44,$G$67:$G$105,$AA19)</f>
        <v>0</v>
      </c>
      <c r="BI19" s="5">
        <f>求节点(W$6:W$44,$G$67:$G$105,$AA19)</f>
        <v>0</v>
      </c>
      <c r="BJ19" s="5">
        <f>求节点(X$6:X$44,$G$67:$G$105,$AA19)</f>
        <v>0</v>
      </c>
      <c r="BK19" s="5">
        <f>求节点(T$6:T$44,$M$67:$M$105,$AA19)</f>
        <v>10</v>
      </c>
      <c r="BL19" s="5">
        <f>求节点(U$6:U$44,$M$67:$M$105,$AA19)</f>
        <v>10.260913521896455</v>
      </c>
      <c r="BM19" s="5">
        <f>求节点(V$6:V$44,$M$67:$M$105,$AA19)</f>
        <v>10.684494385066394</v>
      </c>
      <c r="BN19" s="5">
        <f>求节点(W$6:W$44,$M$67:$M$105,$AA19)</f>
        <v>11.391915804915122</v>
      </c>
      <c r="BO19" s="5">
        <f>求节点(X$6:X$44,$M$67:$M$105,$AA19)</f>
        <v>11.890616911320761</v>
      </c>
      <c r="BP19" s="5">
        <f>求节点(T$67:T$105,$L$67:$L$105,$AA19)</f>
        <v>0</v>
      </c>
      <c r="BQ19" s="5">
        <f>求节点(U$67:U$105,$L$67:$L$105,$AA19)</f>
        <v>0</v>
      </c>
      <c r="BR19" s="5">
        <f>求节点(V$67:V$105,$L$67:$L$105,$AA19)</f>
        <v>0</v>
      </c>
      <c r="BS19" s="5">
        <f>求节点(W$67:W$105,$L$67:$L$105,$AA19)</f>
        <v>0</v>
      </c>
      <c r="BT19" s="5">
        <f>求节点(X$67:X$105,$L$67:$L$105,$AA19)</f>
        <v>0</v>
      </c>
      <c r="BZ19" s="5">
        <v>15</v>
      </c>
      <c r="CA19" s="5">
        <f t="shared" si="9"/>
        <v>1040</v>
      </c>
      <c r="CB19" s="5">
        <f t="shared" si="10"/>
        <v>1067.1350062772312</v>
      </c>
      <c r="CC19" s="5">
        <f t="shared" si="11"/>
        <v>1111.1874160469051</v>
      </c>
      <c r="CD19" s="5">
        <f t="shared" si="12"/>
        <v>1184.7592437111728</v>
      </c>
      <c r="CE19" s="5">
        <f t="shared" si="13"/>
        <v>1236.6241587773591</v>
      </c>
      <c r="CF19" s="5">
        <f>(CA19-CA18)/节奏总纲!W18</f>
        <v>366.04644053357799</v>
      </c>
      <c r="CI19" s="5">
        <v>15</v>
      </c>
      <c r="CJ19" s="5">
        <f t="shared" si="14"/>
        <v>2400</v>
      </c>
      <c r="CK19" s="5">
        <f t="shared" si="15"/>
        <v>2462.6192452551495</v>
      </c>
      <c r="CL19" s="5">
        <f t="shared" si="16"/>
        <v>2564.2786524159346</v>
      </c>
      <c r="CM19" s="5">
        <f t="shared" si="17"/>
        <v>2734.0597931796292</v>
      </c>
      <c r="CN19" s="5">
        <f t="shared" si="18"/>
        <v>2853.7480587169825</v>
      </c>
      <c r="CO19" s="5">
        <f>(CJ19-CJ18)/节奏总纲!W18</f>
        <v>844.72255507748855</v>
      </c>
      <c r="CP19" s="5">
        <f t="shared" si="2"/>
        <v>1210.7689956110667</v>
      </c>
      <c r="CR19" s="5">
        <v>15</v>
      </c>
      <c r="CS19" s="5">
        <f t="shared" si="3"/>
        <v>0</v>
      </c>
      <c r="CT19" s="5">
        <f t="shared" si="4"/>
        <v>0</v>
      </c>
      <c r="CU19" s="5">
        <f t="shared" si="5"/>
        <v>0</v>
      </c>
      <c r="CV19" s="5">
        <f t="shared" si="6"/>
        <v>0</v>
      </c>
      <c r="CW19" s="5">
        <f t="shared" si="7"/>
        <v>0</v>
      </c>
      <c r="CX19" s="5">
        <f t="shared" si="20"/>
        <v>0</v>
      </c>
      <c r="CY19" s="5">
        <f t="shared" si="21"/>
        <v>0</v>
      </c>
      <c r="CZ19" s="5">
        <f t="shared" si="22"/>
        <v>0</v>
      </c>
      <c r="DA19" s="5">
        <f t="shared" si="23"/>
        <v>0</v>
      </c>
      <c r="DB19" s="5">
        <f t="shared" si="24"/>
        <v>0</v>
      </c>
    </row>
    <row r="20" spans="2:106" x14ac:dyDescent="0.15">
      <c r="B20" s="5">
        <v>15</v>
      </c>
      <c r="D20" s="5">
        <f>ROUND(130/INDEX('[1]功能-付费相关'!$BB$6:$BB$165,基本信息!U18,1)/1200,0)*600</f>
        <v>360000</v>
      </c>
      <c r="E20" s="5">
        <v>120</v>
      </c>
      <c r="F20" s="5">
        <f>ROUND(60/INDEX('[1]功能-付费相关'!$AS$6:$AS$165,基本信息!C18,1)/600,0)*600</f>
        <v>40800</v>
      </c>
      <c r="H20" s="5">
        <v>27000</v>
      </c>
      <c r="I20" s="5">
        <f>ROUND(20*4/INDEX('[1]功能-付费相关'!$U$6:$U$165,基本信息!U18,1)/4000,0)*4000/2</f>
        <v>356000</v>
      </c>
      <c r="J20" s="5">
        <f>ROUND(50*2/INDEX('[1]功能-付费相关'!$AS$6:$AS$165,基本信息!U18,1)/2000,0)*2000</f>
        <v>68000</v>
      </c>
      <c r="K20" s="5">
        <v>88</v>
      </c>
      <c r="M20" s="5">
        <v>2</v>
      </c>
      <c r="N20" s="5">
        <v>0</v>
      </c>
      <c r="P20" s="5">
        <v>0</v>
      </c>
      <c r="Q20" s="5">
        <v>0</v>
      </c>
      <c r="S20" s="5">
        <v>15</v>
      </c>
      <c r="T20" s="5">
        <f>基本信息!C18</f>
        <v>45</v>
      </c>
      <c r="U20" s="5">
        <f>基本信息!D18</f>
        <v>44.025655342302272</v>
      </c>
      <c r="V20" s="5">
        <f>基本信息!E18</f>
        <v>42.139777644042496</v>
      </c>
      <c r="W20" s="5">
        <f>基本信息!F18</f>
        <v>38.966484133589248</v>
      </c>
      <c r="X20" s="5">
        <f>基本信息!G18</f>
        <v>37.496918416233719</v>
      </c>
      <c r="AA20" s="5">
        <v>16</v>
      </c>
      <c r="AB20" s="5">
        <f>求节点(T$6:T$44,$C$67:$C$105,$AA20)</f>
        <v>0</v>
      </c>
      <c r="AC20" s="5">
        <f>求节点(U$6:U$44,$C$67:$C$105,$AA20)</f>
        <v>0</v>
      </c>
      <c r="AD20" s="5">
        <f>求节点(V$6:V$44,$C$67:$C$105,$AA20)</f>
        <v>0</v>
      </c>
      <c r="AE20" s="5">
        <f>求节点(W$6:W$44,$C$67:$C$105,$AA20)</f>
        <v>0</v>
      </c>
      <c r="AF20" s="5">
        <f>求节点(X$6:X$44,$C$67:$C$105,$AA20)</f>
        <v>0</v>
      </c>
      <c r="AG20" s="5">
        <f>求节点(T$6:T$44,$D$67:$D$105,$AA20)+求节点(T$67:T$105,$Q$67:$Q$105,$AA20)</f>
        <v>45600</v>
      </c>
      <c r="AH20" s="5">
        <f>求节点(U$6:U$44,$D$67:$D$105,$AA20)+求节点(U$67:U$105,$Q$67:$Q$105,$AA20)</f>
        <v>48587.821717618834</v>
      </c>
      <c r="AI20" s="5">
        <f>求节点(V$6:V$44,$D$67:$D$105,$AA20)+求节点(V$67:V$105,$Q$67:$Q$105,$AA20)</f>
        <v>53370.735953917363</v>
      </c>
      <c r="AJ20" s="5">
        <f>求节点(W$6:W$44,$D$67:$D$105,$AA20)+求节点(W$67:W$105,$Q$67:$Q$105,$AA20)</f>
        <v>61848.494023141204</v>
      </c>
      <c r="AK20" s="5">
        <f>求节点(X$6:X$44,$D$67:$D$105,$AA20)+求节点(X$67:X$105,$Q$67:$Q$105,$AA20)</f>
        <v>69385.283753214448</v>
      </c>
      <c r="AL20" s="5">
        <f>求节点(T$6:T$44,$F$67:$F$105,$AA20)+求节点(T$67:T$105,$P$67:$P$105,$AA20)</f>
        <v>126800</v>
      </c>
      <c r="AM20" s="5">
        <f>求节点(U$6:U$44,$F$67:$F$105,$AA20)+求节点(U$67:U$105,$P$67:$P$105,$AA20)</f>
        <v>130617.77219473518</v>
      </c>
      <c r="AN20" s="5">
        <f>求节点(V$6:V$44,$F$67:$F$105,$AA20)+求节点(V$67:V$105,$P$67:$P$105,$AA20)</f>
        <v>136729.2737188944</v>
      </c>
      <c r="AO20" s="5">
        <f>求节点(W$6:W$44,$F$67:$F$105,$AA20)+求节点(W$67:W$105,$P$67:$P$105,$AA20)</f>
        <v>147011.52414267839</v>
      </c>
      <c r="AP20" s="5">
        <f>求节点(X$6:X$44,$F$67:$F$105,$AA20)+求节点(X$67:X$105,$P$67:$P$105,$AA20)</f>
        <v>154397.57807815017</v>
      </c>
      <c r="AQ20" s="5">
        <f>求节点(T$6:T$44,$H$67:$H$105,$AA20)</f>
        <v>54600</v>
      </c>
      <c r="AR20" s="5">
        <f>求节点(U$6:U$44,$H$67:$H$105,$AA20)</f>
        <v>58334.777147023546</v>
      </c>
      <c r="AS20" s="5">
        <f>求节点(V$6:V$44,$H$67:$H$105,$AA20)</f>
        <v>64313.419942396707</v>
      </c>
      <c r="AT20" s="5">
        <f>求节点(W$6:W$44,$H$67:$H$105,$AA20)</f>
        <v>74263.644620827079</v>
      </c>
      <c r="AU20" s="5">
        <f>求节点(X$6:X$44,$H$67:$H$105,$AA20)</f>
        <v>81046.755377893001</v>
      </c>
      <c r="AV20" s="5">
        <f>求节点(T$6:T$44,$I$67:$I$105,$AA20)</f>
        <v>164666.66666666666</v>
      </c>
      <c r="AW20" s="5">
        <f>求节点(U$6:U$44,$I$67:$I$105,$AA20)</f>
        <v>171582.92064263619</v>
      </c>
      <c r="AX20" s="5">
        <f>求节点(V$6:V$44,$I$67:$I$105,$AA20)</f>
        <v>182654.4813748087</v>
      </c>
      <c r="AY20" s="5">
        <f>求节点(W$6:W$44,$I$67:$I$105,$AA20)</f>
        <v>202559.61859041496</v>
      </c>
      <c r="AZ20" s="5">
        <f>求节点(X$6:X$44,$I$67:$I$105,$AA20)</f>
        <v>221150.36659126231</v>
      </c>
      <c r="BA20" s="5">
        <f>求节点(T$6:T$44,$E$67:$E$105,$AA20)+求节点(T$6:T$44,$K$67:$K$105,$AA20)+求节点(T$67:T$105,$O$67:$O$105,$AA20)</f>
        <v>1109.3333333333333</v>
      </c>
      <c r="BB20" s="5">
        <f>求节点(U$6:U$44,$E$67:$E$105,$AA20)+求节点(U$6:U$44,$K$67:$K$105,$AA20)+求节点(U$67:U$105,$O$67:$O$105,$AA20)</f>
        <v>1138.1049498733664</v>
      </c>
      <c r="BC20" s="5">
        <f>求节点(V$6:V$44,$E$67:$E$105,$AA20)+求节点(V$6:V$44,$K$67:$K$105,$AA20)+求节点(V$67:V$105,$O$67:$O$105,$AA20)</f>
        <v>1184.1626425192044</v>
      </c>
      <c r="BD20" s="5">
        <f>求节点(W$6:W$44,$E$67:$E$105,$AA20)+求节点(W$6:W$44,$K$67:$K$105,$AA20)+求节点(W$67:W$105,$O$67:$O$105,$AA20)</f>
        <v>1260.8162252271122</v>
      </c>
      <c r="BE20" s="5">
        <f>求节点(X$6:X$44,$E$67:$E$105,$AA20)+求节点(X$6:X$44,$K$67:$K$105,$AA20)+求节点(X$67:X$105,$O$67:$O$105,$AA20)</f>
        <v>1313.0713006889537</v>
      </c>
      <c r="BF20" s="5">
        <f>求节点(T$6:T$44,$G$67:$G$105,$AA20)</f>
        <v>0</v>
      </c>
      <c r="BG20" s="5">
        <f>求节点(U$6:U$44,$G$67:$G$105,$AA20)</f>
        <v>0</v>
      </c>
      <c r="BH20" s="5">
        <f>求节点(V$6:V$44,$G$67:$G$105,$AA20)</f>
        <v>0</v>
      </c>
      <c r="BI20" s="5">
        <f>求节点(W$6:W$44,$G$67:$G$105,$AA20)</f>
        <v>0</v>
      </c>
      <c r="BJ20" s="5">
        <f>求节点(X$6:X$44,$G$67:$G$105,$AA20)</f>
        <v>0</v>
      </c>
      <c r="BK20" s="5">
        <f>求节点(T$6:T$44,$M$67:$M$105,$AA20)</f>
        <v>10.666666666666666</v>
      </c>
      <c r="BL20" s="5">
        <f>求节点(U$6:U$44,$M$67:$M$105,$AA20)</f>
        <v>10.943316825705448</v>
      </c>
      <c r="BM20" s="5">
        <f>求节点(V$6:V$44,$M$67:$M$105,$AA20)</f>
        <v>11.386179254992349</v>
      </c>
      <c r="BN20" s="5">
        <f>求节点(W$6:W$44,$M$67:$M$105,$AA20)</f>
        <v>12.12323293487608</v>
      </c>
      <c r="BO20" s="5">
        <f>求节点(X$6:X$44,$M$67:$M$105,$AA20)</f>
        <v>12.62568558354763</v>
      </c>
      <c r="BP20" s="5">
        <f>求节点(T$67:T$105,$L$67:$L$105,$AA20)</f>
        <v>0</v>
      </c>
      <c r="BQ20" s="5">
        <f>求节点(U$67:U$105,$L$67:$L$105,$AA20)</f>
        <v>0</v>
      </c>
      <c r="BR20" s="5">
        <f>求节点(V$67:V$105,$L$67:$L$105,$AA20)</f>
        <v>0</v>
      </c>
      <c r="BS20" s="5">
        <f>求节点(W$67:W$105,$L$67:$L$105,$AA20)</f>
        <v>0</v>
      </c>
      <c r="BT20" s="5">
        <f>求节点(X$67:X$105,$L$67:$L$105,$AA20)</f>
        <v>0</v>
      </c>
      <c r="BZ20" s="5">
        <v>16</v>
      </c>
      <c r="CA20" s="5">
        <f t="shared" si="9"/>
        <v>1109.3333333333333</v>
      </c>
      <c r="CB20" s="5">
        <f t="shared" si="10"/>
        <v>1138.1049498733664</v>
      </c>
      <c r="CC20" s="5">
        <f t="shared" si="11"/>
        <v>1184.1626425192044</v>
      </c>
      <c r="CD20" s="5">
        <f t="shared" si="12"/>
        <v>1260.8162252271122</v>
      </c>
      <c r="CE20" s="5">
        <f t="shared" si="13"/>
        <v>1313.0713006889537</v>
      </c>
      <c r="CF20" s="5">
        <f>(CA20-CA19)/节奏总纲!W19</f>
        <v>341.53340545244401</v>
      </c>
      <c r="CI20" s="5">
        <v>16</v>
      </c>
      <c r="CJ20" s="5">
        <f t="shared" si="14"/>
        <v>2560</v>
      </c>
      <c r="CK20" s="5">
        <f t="shared" si="15"/>
        <v>2626.3960381693078</v>
      </c>
      <c r="CL20" s="5">
        <f t="shared" si="16"/>
        <v>2732.6830211981637</v>
      </c>
      <c r="CM20" s="5">
        <f t="shared" si="17"/>
        <v>2909.5759043702592</v>
      </c>
      <c r="CN20" s="5">
        <f t="shared" si="18"/>
        <v>3030.1645400514312</v>
      </c>
      <c r="CO20" s="5">
        <f>(CJ20-CJ19)/节奏总纲!W19</f>
        <v>788.15401258256395</v>
      </c>
      <c r="CP20" s="5">
        <f t="shared" si="2"/>
        <v>1129.687418035008</v>
      </c>
      <c r="CR20" s="5">
        <v>16</v>
      </c>
      <c r="CS20" s="5">
        <f t="shared" si="3"/>
        <v>0</v>
      </c>
      <c r="CT20" s="5">
        <f t="shared" si="4"/>
        <v>0</v>
      </c>
      <c r="CU20" s="5">
        <f t="shared" si="5"/>
        <v>0</v>
      </c>
      <c r="CV20" s="5">
        <f t="shared" si="6"/>
        <v>0</v>
      </c>
      <c r="CW20" s="5">
        <f t="shared" si="7"/>
        <v>0</v>
      </c>
      <c r="CX20" s="5">
        <f t="shared" si="20"/>
        <v>0</v>
      </c>
      <c r="CY20" s="5">
        <f t="shared" si="21"/>
        <v>0</v>
      </c>
      <c r="CZ20" s="5">
        <f t="shared" si="22"/>
        <v>0</v>
      </c>
      <c r="DA20" s="5">
        <f t="shared" si="23"/>
        <v>0</v>
      </c>
      <c r="DB20" s="5">
        <f t="shared" si="24"/>
        <v>0</v>
      </c>
    </row>
    <row r="21" spans="2:106" x14ac:dyDescent="0.15">
      <c r="B21" s="5">
        <v>16</v>
      </c>
      <c r="D21" s="5">
        <f>ROUND(130/INDEX('[1]功能-付费相关'!$BB$6:$BB$165,基本信息!U19,1)/1200,0)*600</f>
        <v>479400</v>
      </c>
      <c r="E21" s="5">
        <v>120</v>
      </c>
      <c r="F21" s="5">
        <f>ROUND(60/INDEX('[1]功能-付费相关'!$AS$6:$AS$165,基本信息!C19,1)/600,0)*600</f>
        <v>42000</v>
      </c>
      <c r="H21" s="5">
        <v>27000</v>
      </c>
      <c r="I21" s="5">
        <f>ROUND(20*4/INDEX('[1]功能-付费相关'!$U$6:$U$165,基本信息!U19,1)/4000,0)*4000/2</f>
        <v>420000</v>
      </c>
      <c r="J21" s="5">
        <f>ROUND(50*2/INDEX('[1]功能-付费相关'!$AS$6:$AS$165,基本信息!U19,1)/2000,0)*2000</f>
        <v>70000</v>
      </c>
      <c r="K21" s="5">
        <v>88</v>
      </c>
      <c r="M21" s="5">
        <v>2</v>
      </c>
      <c r="N21" s="5">
        <v>0</v>
      </c>
      <c r="P21" s="5">
        <v>0</v>
      </c>
      <c r="Q21" s="5">
        <v>0</v>
      </c>
      <c r="S21" s="5">
        <v>16</v>
      </c>
      <c r="T21" s="5">
        <f>基本信息!C19</f>
        <v>48</v>
      </c>
      <c r="U21" s="5">
        <f>基本信息!D19</f>
        <v>46.927182157769252</v>
      </c>
      <c r="V21" s="5">
        <f>基本信息!E19</f>
        <v>45.00366434730347</v>
      </c>
      <c r="W21" s="5">
        <f>基本信息!F19</f>
        <v>41.312198404052296</v>
      </c>
      <c r="X21" s="5">
        <f>基本信息!G19</f>
        <v>39.609584229605339</v>
      </c>
      <c r="AA21" s="5">
        <v>17</v>
      </c>
      <c r="AB21" s="5">
        <f>求节点(T$6:T$44,$C$67:$C$105,$AA21)</f>
        <v>0</v>
      </c>
      <c r="AC21" s="5">
        <f>求节点(U$6:U$44,$C$67:$C$105,$AA21)</f>
        <v>0</v>
      </c>
      <c r="AD21" s="5">
        <f>求节点(V$6:V$44,$C$67:$C$105,$AA21)</f>
        <v>0</v>
      </c>
      <c r="AE21" s="5">
        <f>求节点(W$6:W$44,$C$67:$C$105,$AA21)</f>
        <v>0</v>
      </c>
      <c r="AF21" s="5">
        <f>求节点(X$6:X$44,$C$67:$C$105,$AA21)</f>
        <v>0</v>
      </c>
      <c r="AG21" s="5">
        <f>求节点(T$6:T$44,$D$67:$D$105,$AA21)+求节点(T$67:T$105,$Q$67:$Q$105,$AA21)</f>
        <v>52800</v>
      </c>
      <c r="AH21" s="5">
        <f>求节点(U$6:U$44,$D$67:$D$105,$AA21)+求节点(U$67:U$105,$Q$67:$Q$105,$AA21)</f>
        <v>55957.777398755956</v>
      </c>
      <c r="AI21" s="5">
        <f>求节点(V$6:V$44,$D$67:$D$105,$AA21)+求节点(V$67:V$105,$Q$67:$Q$105,$AA21)</f>
        <v>61265.389394180776</v>
      </c>
      <c r="AJ21" s="5">
        <f>求节点(W$6:W$44,$D$67:$D$105,$AA21)+求节点(W$67:W$105,$Q$67:$Q$105,$AA21)</f>
        <v>72368.858128798791</v>
      </c>
      <c r="AK21" s="5">
        <f>求节点(X$6:X$44,$D$67:$D$105,$AA21)+求节点(X$67:X$105,$Q$67:$Q$105,$AA21)</f>
        <v>80312.763597891855</v>
      </c>
      <c r="AL21" s="5">
        <f>求节点(T$6:T$44,$F$67:$F$105,$AA21)+求节点(T$67:T$105,$P$67:$P$105,$AA21)</f>
        <v>136000</v>
      </c>
      <c r="AM21" s="5">
        <f>求节点(U$6:U$44,$F$67:$F$105,$AA21)+求节点(U$67:U$105,$P$67:$P$105,$AA21)</f>
        <v>140034.93778729928</v>
      </c>
      <c r="AN21" s="5">
        <f>求节点(V$6:V$44,$F$67:$F$105,$AA21)+求节点(V$67:V$105,$P$67:$P$105,$AA21)</f>
        <v>146440.08160629717</v>
      </c>
      <c r="AO21" s="5">
        <f>求节点(W$6:W$44,$F$67:$F$105,$AA21)+求节点(W$67:W$105,$P$67:$P$105,$AA21)</f>
        <v>157321.48096622282</v>
      </c>
      <c r="AP21" s="5">
        <f>求节点(X$6:X$44,$F$67:$F$105,$AA21)+求节点(X$67:X$105,$P$67:$P$105,$AA21)</f>
        <v>165106.508325934</v>
      </c>
      <c r="AQ21" s="5">
        <f>求节点(T$6:T$44,$H$67:$H$105,$AA21)</f>
        <v>63600</v>
      </c>
      <c r="AR21" s="5">
        <f>求节点(U$6:U$44,$H$67:$H$105,$AA21)</f>
        <v>67547.22174844495</v>
      </c>
      <c r="AS21" s="5">
        <f>求节点(V$6:V$44,$H$67:$H$105,$AA21)</f>
        <v>73738.850454762694</v>
      </c>
      <c r="AT21" s="5">
        <f>求节点(W$6:W$44,$H$67:$H$105,$AA21)</f>
        <v>83731.972315918916</v>
      </c>
      <c r="AU21" s="5">
        <f>求节点(X$6:X$44,$H$67:$H$105,$AA21)</f>
        <v>90881.487238102665</v>
      </c>
      <c r="AV21" s="5">
        <f>求节点(T$6:T$44,$I$67:$I$105,$AA21)</f>
        <v>181333.33333333334</v>
      </c>
      <c r="AW21" s="5">
        <f>求节点(U$6:U$44,$I$67:$I$105,$AA21)</f>
        <v>188643.003237861</v>
      </c>
      <c r="AX21" s="5">
        <f>求节点(V$6:V$44,$I$67:$I$105,$AA21)</f>
        <v>201121.29383897924</v>
      </c>
      <c r="AY21" s="5">
        <f>求节点(W$6:W$44,$I$67:$I$105,$AA21)</f>
        <v>228509.85005103704</v>
      </c>
      <c r="AZ21" s="5">
        <f>求节点(X$6:X$44,$I$67:$I$105,$AA21)</f>
        <v>248104.8168747999</v>
      </c>
      <c r="BA21" s="5">
        <f>求节点(T$6:T$44,$E$67:$E$105,$AA21)+求节点(T$6:T$44,$K$67:$K$105,$AA21)+求节点(T$67:T$105,$O$67:$O$105,$AA21)</f>
        <v>1178.6666666666667</v>
      </c>
      <c r="BB21" s="5">
        <f>求节点(U$6:U$44,$E$67:$E$105,$AA21)+求节点(U$6:U$44,$K$67:$K$105,$AA21)+求节点(U$67:U$105,$O$67:$O$105,$AA21)</f>
        <v>1209.0748934695018</v>
      </c>
      <c r="BC21" s="5">
        <f>求节点(V$6:V$44,$E$67:$E$105,$AA21)+求节点(V$6:V$44,$K$67:$K$105,$AA21)+求节点(V$67:V$105,$O$67:$O$105,$AA21)</f>
        <v>1256.7733664663201</v>
      </c>
      <c r="BD21" s="5">
        <f>求节点(W$6:W$44,$E$67:$E$105,$AA21)+求节点(W$6:W$44,$K$67:$K$105,$AA21)+求节点(W$67:W$105,$O$67:$O$105,$AA21)</f>
        <v>1333.7574163596717</v>
      </c>
      <c r="BE21" s="5">
        <f>求节点(X$6:X$44,$E$67:$E$105,$AA21)+求节点(X$6:X$44,$K$67:$K$105,$AA21)+求节点(X$67:X$105,$O$67:$O$105,$AA21)</f>
        <v>1388.8351609453834</v>
      </c>
      <c r="BF21" s="5">
        <f>求节点(T$6:T$44,$G$67:$G$105,$AA21)</f>
        <v>0</v>
      </c>
      <c r="BG21" s="5">
        <f>求节点(U$6:U$44,$G$67:$G$105,$AA21)</f>
        <v>0</v>
      </c>
      <c r="BH21" s="5">
        <f>求节点(V$6:V$44,$G$67:$G$105,$AA21)</f>
        <v>0</v>
      </c>
      <c r="BI21" s="5">
        <f>求节点(W$6:W$44,$G$67:$G$105,$AA21)</f>
        <v>0</v>
      </c>
      <c r="BJ21" s="5">
        <f>求节点(X$6:X$44,$G$67:$G$105,$AA21)</f>
        <v>0</v>
      </c>
      <c r="BK21" s="5">
        <f>求节点(T$6:T$44,$M$67:$M$105,$AA21)</f>
        <v>11.333333333333334</v>
      </c>
      <c r="BL21" s="5">
        <f>求节点(U$6:U$44,$M$67:$M$105,$AA21)</f>
        <v>11.625720129514441</v>
      </c>
      <c r="BM21" s="5">
        <f>求节点(V$6:V$44,$M$67:$M$105,$AA21)</f>
        <v>12.084359292945384</v>
      </c>
      <c r="BN21" s="5">
        <f>求节点(W$6:W$44,$M$67:$M$105,$AA21)</f>
        <v>12.824590541919919</v>
      </c>
      <c r="BO21" s="5">
        <f>求节点(X$6:X$44,$M$67:$M$105,$AA21)</f>
        <v>13.354184239859457</v>
      </c>
      <c r="BP21" s="5">
        <f>求节点(T$67:T$105,$L$67:$L$105,$AA21)</f>
        <v>0</v>
      </c>
      <c r="BQ21" s="5">
        <f>求节点(U$67:U$105,$L$67:$L$105,$AA21)</f>
        <v>0</v>
      </c>
      <c r="BR21" s="5">
        <f>求节点(V$67:V$105,$L$67:$L$105,$AA21)</f>
        <v>0</v>
      </c>
      <c r="BS21" s="5">
        <f>求节点(W$67:W$105,$L$67:$L$105,$AA21)</f>
        <v>0</v>
      </c>
      <c r="BT21" s="5">
        <f>求节点(X$67:X$105,$L$67:$L$105,$AA21)</f>
        <v>0</v>
      </c>
      <c r="BZ21" s="5">
        <v>17</v>
      </c>
      <c r="CA21" s="5">
        <f t="shared" si="9"/>
        <v>1178.6666666666667</v>
      </c>
      <c r="CB21" s="5">
        <f t="shared" si="10"/>
        <v>1209.0748934695018</v>
      </c>
      <c r="CC21" s="5">
        <f t="shared" si="11"/>
        <v>1256.7733664663201</v>
      </c>
      <c r="CD21" s="5">
        <f t="shared" si="12"/>
        <v>1333.7574163596717</v>
      </c>
      <c r="CE21" s="5">
        <f t="shared" si="13"/>
        <v>1388.8351609453834</v>
      </c>
      <c r="CF21" s="5">
        <f>(CA21-CA20)/节奏总纲!W20</f>
        <v>318.66193499904836</v>
      </c>
      <c r="CI21" s="5">
        <v>17</v>
      </c>
      <c r="CJ21" s="5">
        <f t="shared" si="14"/>
        <v>2720</v>
      </c>
      <c r="CK21" s="5">
        <f t="shared" si="15"/>
        <v>2790.172831083466</v>
      </c>
      <c r="CL21" s="5">
        <f t="shared" si="16"/>
        <v>2900.2462303068924</v>
      </c>
      <c r="CM21" s="5">
        <f t="shared" si="17"/>
        <v>3077.9017300607807</v>
      </c>
      <c r="CN21" s="5">
        <f t="shared" si="18"/>
        <v>3205.0042175662697</v>
      </c>
      <c r="CO21" s="5">
        <f>(CJ21-CJ20)/节奏总纲!W20</f>
        <v>735.37369615164846</v>
      </c>
      <c r="CP21" s="5">
        <f t="shared" si="2"/>
        <v>1054.0356311506969</v>
      </c>
      <c r="CR21" s="5">
        <v>17</v>
      </c>
      <c r="CS21" s="5">
        <f t="shared" si="3"/>
        <v>0</v>
      </c>
      <c r="CT21" s="5">
        <f t="shared" si="4"/>
        <v>0</v>
      </c>
      <c r="CU21" s="5">
        <f t="shared" si="5"/>
        <v>0</v>
      </c>
      <c r="CV21" s="5">
        <f t="shared" si="6"/>
        <v>0</v>
      </c>
      <c r="CW21" s="5">
        <f t="shared" si="7"/>
        <v>0</v>
      </c>
      <c r="CX21" s="5">
        <f t="shared" si="20"/>
        <v>0</v>
      </c>
      <c r="CY21" s="5">
        <f t="shared" si="21"/>
        <v>0</v>
      </c>
      <c r="CZ21" s="5">
        <f t="shared" si="22"/>
        <v>0</v>
      </c>
      <c r="DA21" s="5">
        <f t="shared" si="23"/>
        <v>0</v>
      </c>
      <c r="DB21" s="5">
        <f t="shared" si="24"/>
        <v>0</v>
      </c>
    </row>
    <row r="22" spans="2:106" x14ac:dyDescent="0.15">
      <c r="B22" s="5">
        <v>17</v>
      </c>
      <c r="D22" s="5">
        <f>ROUND(130/INDEX('[1]功能-付费相关'!$BB$6:$BB$165,基本信息!U20,1)/1200,0)*600</f>
        <v>579600</v>
      </c>
      <c r="E22" s="5">
        <v>120</v>
      </c>
      <c r="F22" s="5">
        <f>ROUND(60/INDEX('[1]功能-付费相关'!$AS$6:$AS$165,基本信息!C20,1)/600,0)*600</f>
        <v>43800</v>
      </c>
      <c r="H22" s="5">
        <v>27000</v>
      </c>
      <c r="I22" s="5">
        <f>ROUND(20*4/INDEX('[1]功能-付费相关'!$U$6:$U$165,基本信息!U20,1)/4000,0)*4000/2</f>
        <v>468000</v>
      </c>
      <c r="J22" s="5">
        <f>ROUND(50*2/INDEX('[1]功能-付费相关'!$AS$6:$AS$165,基本信息!U20,1)/2000,0)*2000</f>
        <v>72000</v>
      </c>
      <c r="K22" s="5">
        <v>88</v>
      </c>
      <c r="M22" s="5">
        <v>2</v>
      </c>
      <c r="N22" s="5">
        <v>0</v>
      </c>
      <c r="P22" s="5">
        <v>0</v>
      </c>
      <c r="Q22" s="5">
        <v>0</v>
      </c>
      <c r="S22" s="5">
        <v>17</v>
      </c>
      <c r="T22" s="5">
        <f>基本信息!C20</f>
        <v>51</v>
      </c>
      <c r="U22" s="5">
        <f>基本信息!D20</f>
        <v>50.17601066521982</v>
      </c>
      <c r="V22" s="5">
        <f>基本信息!E20</f>
        <v>48.114727522013901</v>
      </c>
      <c r="W22" s="5">
        <f>基本信息!F20</f>
        <v>44.142666529165915</v>
      </c>
      <c r="X22" s="5">
        <f>基本信息!G20</f>
        <v>42.314284870508764</v>
      </c>
      <c r="AA22" s="5">
        <v>18</v>
      </c>
      <c r="AB22" s="5">
        <f>求节点(T$6:T$44,$C$67:$C$105,$AA22)</f>
        <v>0</v>
      </c>
      <c r="AC22" s="5">
        <f>求节点(U$6:U$44,$C$67:$C$105,$AA22)</f>
        <v>0</v>
      </c>
      <c r="AD22" s="5">
        <f>求节点(V$6:V$44,$C$67:$C$105,$AA22)</f>
        <v>0</v>
      </c>
      <c r="AE22" s="5">
        <f>求节点(W$6:W$44,$C$67:$C$105,$AA22)</f>
        <v>0</v>
      </c>
      <c r="AF22" s="5">
        <f>求节点(X$6:X$44,$C$67:$C$105,$AA22)</f>
        <v>0</v>
      </c>
      <c r="AG22" s="5">
        <f>求节点(T$6:T$44,$D$67:$D$105,$AA22)+求节点(T$67:T$105,$Q$67:$Q$105,$AA22)</f>
        <v>60000</v>
      </c>
      <c r="AH22" s="5">
        <f>求节点(U$6:U$44,$D$67:$D$105,$AA22)+求节点(U$67:U$105,$Q$67:$Q$105,$AA22)</f>
        <v>64454.137238311334</v>
      </c>
      <c r="AI22" s="5">
        <f>求节点(V$6:V$44,$D$67:$D$105,$AA22)+求节点(V$67:V$105,$Q$67:$Q$105,$AA22)</f>
        <v>71370.817443307809</v>
      </c>
      <c r="AJ22" s="5">
        <f>求节点(W$6:W$44,$D$67:$D$105,$AA22)+求节点(W$67:W$105,$Q$67:$Q$105,$AA22)</f>
        <v>82889.222234456378</v>
      </c>
      <c r="AK22" s="5">
        <f>求节点(X$6:X$44,$D$67:$D$105,$AA22)+求节点(X$67:X$105,$Q$67:$Q$105,$AA22)</f>
        <v>91804.809965137829</v>
      </c>
      <c r="AL22" s="5">
        <f>求节点(T$6:T$44,$F$67:$F$105,$AA22)+求节点(T$67:T$105,$P$67:$P$105,$AA22)</f>
        <v>145200</v>
      </c>
      <c r="AM22" s="5">
        <f>求节点(U$6:U$44,$F$67:$F$105,$AA22)+求节点(U$67:U$105,$P$67:$P$105,$AA22)</f>
        <v>149565.05449354512</v>
      </c>
      <c r="AN22" s="5">
        <f>求节点(V$6:V$44,$F$67:$F$105,$AA22)+求节点(V$67:V$105,$P$67:$P$105,$AA22)</f>
        <v>156343.40109444165</v>
      </c>
      <c r="AO22" s="5">
        <f>求节点(W$6:W$44,$F$67:$F$105,$AA22)+求节点(W$67:W$105,$P$67:$P$105,$AA22)</f>
        <v>167631.43778976725</v>
      </c>
      <c r="AP22" s="5">
        <f>求节点(X$6:X$44,$F$67:$F$105,$AA22)+求节点(X$67:X$105,$P$67:$P$105,$AA22)</f>
        <v>175896.41279185956</v>
      </c>
      <c r="AQ22" s="5">
        <f>求节点(T$6:T$44,$H$67:$H$105,$AA22)</f>
        <v>72600</v>
      </c>
      <c r="AR22" s="5">
        <f>求节点(U$6:U$44,$H$67:$H$105,$AA22)</f>
        <v>76608.723514480196</v>
      </c>
      <c r="AS22" s="5">
        <f>求节点(V$6:V$44,$H$67:$H$105,$AA22)</f>
        <v>82833.735698977034</v>
      </c>
      <c r="AT22" s="5">
        <f>求节点(W$6:W$44,$H$67:$H$105,$AA22)</f>
        <v>93200.300011010739</v>
      </c>
      <c r="AU22" s="5">
        <f>求节点(X$6:X$44,$H$67:$H$105,$AA22)</f>
        <v>100743.89363987609</v>
      </c>
      <c r="AV22" s="5">
        <f>求节点(T$6:T$44,$I$67:$I$105,$AA22)</f>
        <v>198000</v>
      </c>
      <c r="AW22" s="5">
        <f>求节点(U$6:U$44,$I$67:$I$105,$AA22)</f>
        <v>208986.87185450128</v>
      </c>
      <c r="AX22" s="5">
        <f>求节点(V$6:V$44,$I$67:$I$105,$AA22)</f>
        <v>226048.01636015926</v>
      </c>
      <c r="AY22" s="5">
        <f>求节点(W$6:W$44,$I$67:$I$105,$AA22)</f>
        <v>254460.08151165908</v>
      </c>
      <c r="AZ22" s="5">
        <f>求节点(X$6:X$44,$I$67:$I$105,$AA22)</f>
        <v>276236.64311065216</v>
      </c>
      <c r="BA22" s="5">
        <f>求节点(T$6:T$44,$E$67:$E$105,$AA22)+求节点(T$6:T$44,$K$67:$K$105,$AA22)+求节点(T$67:T$105,$O$67:$O$105,$AA22)</f>
        <v>1248</v>
      </c>
      <c r="BB22" s="5">
        <f>求节点(U$6:U$44,$E$67:$E$105,$AA22)+求节点(U$6:U$44,$K$67:$K$105,$AA22)+求节点(U$67:U$105,$O$67:$O$105,$AA22)</f>
        <v>1278.8820181856252</v>
      </c>
      <c r="BC22" s="5">
        <f>求节点(V$6:V$44,$E$67:$E$105,$AA22)+求节点(V$6:V$44,$K$67:$K$105,$AA22)+求节点(V$67:V$105,$O$67:$O$105,$AA22)</f>
        <v>1326.8376676069342</v>
      </c>
      <c r="BD22" s="5">
        <f>求节点(W$6:W$44,$E$67:$E$105,$AA22)+求节点(W$6:W$44,$K$67:$K$105,$AA22)+求节点(W$67:W$105,$O$67:$O$105,$AA22)</f>
        <v>1406.6986074922311</v>
      </c>
      <c r="BE22" s="5">
        <f>求节点(X$6:X$44,$E$67:$E$105,$AA22)+求节点(X$6:X$44,$K$67:$K$105,$AA22)+求节点(X$67:X$105,$O$67:$O$105,$AA22)</f>
        <v>1464.8122176701565</v>
      </c>
      <c r="BF22" s="5">
        <f>求节点(T$6:T$44,$G$67:$G$105,$AA22)</f>
        <v>0</v>
      </c>
      <c r="BG22" s="5">
        <f>求节点(U$6:U$44,$G$67:$G$105,$AA22)</f>
        <v>0</v>
      </c>
      <c r="BH22" s="5">
        <f>求节点(V$6:V$44,$G$67:$G$105,$AA22)</f>
        <v>0</v>
      </c>
      <c r="BI22" s="5">
        <f>求节点(W$6:W$44,$G$67:$G$105,$AA22)</f>
        <v>0</v>
      </c>
      <c r="BJ22" s="5">
        <f>求节点(X$6:X$44,$G$67:$G$105,$AA22)</f>
        <v>0</v>
      </c>
      <c r="BK22" s="5">
        <f>求节点(T$6:T$44,$M$67:$M$105,$AA22)</f>
        <v>12</v>
      </c>
      <c r="BL22" s="5">
        <f>求节点(U$6:U$44,$M$67:$M$105,$AA22)</f>
        <v>12.296942482554089</v>
      </c>
      <c r="BM22" s="5">
        <f>求节点(V$6:V$44,$M$67:$M$105,$AA22)</f>
        <v>12.75805449622052</v>
      </c>
      <c r="BN22" s="5">
        <f>求节点(W$6:W$44,$M$67:$M$105,$AA22)</f>
        <v>13.525948148963758</v>
      </c>
      <c r="BO22" s="5">
        <f>求节点(X$6:X$44,$M$67:$M$105,$AA22)</f>
        <v>14.084732862213043</v>
      </c>
      <c r="BP22" s="5">
        <f>求节点(T$67:T$105,$L$67:$L$105,$AA22)</f>
        <v>0</v>
      </c>
      <c r="BQ22" s="5">
        <f>求节点(U$67:U$105,$L$67:$L$105,$AA22)</f>
        <v>0</v>
      </c>
      <c r="BR22" s="5">
        <f>求节点(V$67:V$105,$L$67:$L$105,$AA22)</f>
        <v>0</v>
      </c>
      <c r="BS22" s="5">
        <f>求节点(W$67:W$105,$L$67:$L$105,$AA22)</f>
        <v>0</v>
      </c>
      <c r="BT22" s="5">
        <f>求节点(X$67:X$105,$L$67:$L$105,$AA22)</f>
        <v>0</v>
      </c>
      <c r="BZ22" s="5">
        <v>18</v>
      </c>
      <c r="CA22" s="5">
        <f t="shared" si="9"/>
        <v>1248</v>
      </c>
      <c r="CB22" s="5">
        <f t="shared" si="10"/>
        <v>1278.8820181856252</v>
      </c>
      <c r="CC22" s="5">
        <f t="shared" si="11"/>
        <v>1326.8376676069342</v>
      </c>
      <c r="CD22" s="5">
        <f t="shared" si="12"/>
        <v>1406.6986074922311</v>
      </c>
      <c r="CE22" s="5">
        <f t="shared" si="13"/>
        <v>1464.8122176701565</v>
      </c>
      <c r="CF22" s="5">
        <f>(CA22-CA21)/节奏总纲!W21</f>
        <v>297.32209850106858</v>
      </c>
      <c r="CI22" s="5">
        <v>18</v>
      </c>
      <c r="CJ22" s="5">
        <f t="shared" si="14"/>
        <v>2880</v>
      </c>
      <c r="CK22" s="5">
        <f t="shared" si="15"/>
        <v>2951.2661958129811</v>
      </c>
      <c r="CL22" s="5">
        <f t="shared" si="16"/>
        <v>3061.9330790929248</v>
      </c>
      <c r="CM22" s="5">
        <f t="shared" si="17"/>
        <v>3246.2275557513021</v>
      </c>
      <c r="CN22" s="5">
        <f t="shared" si="18"/>
        <v>3380.3358869311305</v>
      </c>
      <c r="CO22" s="5">
        <f>(CJ22-CJ21)/节奏总纲!W21</f>
        <v>686.12791961785138</v>
      </c>
      <c r="CP22" s="5">
        <f t="shared" si="2"/>
        <v>983.45001811891996</v>
      </c>
      <c r="CR22" s="5">
        <v>18</v>
      </c>
      <c r="CS22" s="5">
        <f t="shared" si="3"/>
        <v>0</v>
      </c>
      <c r="CT22" s="5">
        <f t="shared" si="4"/>
        <v>0</v>
      </c>
      <c r="CU22" s="5">
        <f t="shared" si="5"/>
        <v>0</v>
      </c>
      <c r="CV22" s="5">
        <f t="shared" si="6"/>
        <v>0</v>
      </c>
      <c r="CW22" s="5">
        <f t="shared" si="7"/>
        <v>0</v>
      </c>
      <c r="CX22" s="5">
        <f t="shared" si="20"/>
        <v>0</v>
      </c>
      <c r="CY22" s="5">
        <f t="shared" si="21"/>
        <v>0</v>
      </c>
      <c r="CZ22" s="5">
        <f t="shared" si="22"/>
        <v>0</v>
      </c>
      <c r="DA22" s="5">
        <f t="shared" si="23"/>
        <v>0</v>
      </c>
      <c r="DB22" s="5">
        <f t="shared" si="24"/>
        <v>0</v>
      </c>
    </row>
    <row r="23" spans="2:106" x14ac:dyDescent="0.15">
      <c r="B23" s="5">
        <v>18</v>
      </c>
      <c r="D23" s="5">
        <f>ROUND(130/INDEX('[1]功能-付费相关'!$BB$6:$BB$165,基本信息!U21,1)/1200,0)*600</f>
        <v>701400</v>
      </c>
      <c r="E23" s="5">
        <v>120</v>
      </c>
      <c r="F23" s="5">
        <f>ROUND(60/INDEX('[1]功能-付费相关'!$AS$6:$AS$165,基本信息!C21,1)/600,0)*600</f>
        <v>45000</v>
      </c>
      <c r="H23" s="5">
        <v>27000</v>
      </c>
      <c r="I23" s="5">
        <f>ROUND(20*4/INDEX('[1]功能-付费相关'!$U$6:$U$165,基本信息!U21,1)/4000,0)*4000/2</f>
        <v>522000</v>
      </c>
      <c r="J23" s="5">
        <f>ROUND(50*2/INDEX('[1]功能-付费相关'!$AS$6:$AS$165,基本信息!U21,1)/2000,0)*2000</f>
        <v>74000</v>
      </c>
      <c r="K23" s="5">
        <v>88</v>
      </c>
      <c r="M23" s="5">
        <v>2</v>
      </c>
      <c r="N23" s="5">
        <v>0</v>
      </c>
      <c r="P23" s="5">
        <v>0</v>
      </c>
      <c r="Q23" s="5">
        <v>0</v>
      </c>
      <c r="S23" s="5">
        <v>18</v>
      </c>
      <c r="T23" s="5">
        <f>基本信息!C21</f>
        <v>54</v>
      </c>
      <c r="U23" s="5">
        <f>基本信息!D21</f>
        <v>53.10459741945877</v>
      </c>
      <c r="V23" s="5">
        <f>基本信息!E21</f>
        <v>50.64776435351115</v>
      </c>
      <c r="W23" s="5">
        <f>基本信息!F21</f>
        <v>47.707840717256921</v>
      </c>
      <c r="X23" s="5">
        <f>基本信息!G21</f>
        <v>45.731279310915319</v>
      </c>
      <c r="AA23" s="5">
        <v>19</v>
      </c>
      <c r="AB23" s="5">
        <f>求节点(T$6:T$44,$C$67:$C$105,$AA23)</f>
        <v>0</v>
      </c>
      <c r="AC23" s="5">
        <f>求节点(U$6:U$44,$C$67:$C$105,$AA23)</f>
        <v>0</v>
      </c>
      <c r="AD23" s="5">
        <f>求节点(V$6:V$44,$C$67:$C$105,$AA23)</f>
        <v>0</v>
      </c>
      <c r="AE23" s="5">
        <f>求节点(W$6:W$44,$C$67:$C$105,$AA23)</f>
        <v>0</v>
      </c>
      <c r="AF23" s="5">
        <f>求节点(X$6:X$44,$C$67:$C$105,$AA23)</f>
        <v>0</v>
      </c>
      <c r="AG23" s="5">
        <f>求节点(T$6:T$44,$D$67:$D$105,$AA23)+求节点(T$67:T$105,$Q$67:$Q$105,$AA23)</f>
        <v>70000</v>
      </c>
      <c r="AH23" s="5">
        <f>求节点(U$6:U$44,$D$67:$D$105,$AA23)+求节点(U$67:U$105,$Q$67:$Q$105,$AA23)</f>
        <v>74318.748748893107</v>
      </c>
      <c r="AI23" s="5">
        <f>求节点(V$6:V$44,$D$67:$D$105,$AA23)+求节点(V$67:V$105,$Q$67:$Q$105,$AA23)</f>
        <v>81476.245492434857</v>
      </c>
      <c r="AJ23" s="5">
        <f>求节点(W$6:W$44,$D$67:$D$105,$AA23)+求节点(W$67:W$105,$Q$67:$Q$105,$AA23)</f>
        <v>95003.644762593685</v>
      </c>
      <c r="AK23" s="5">
        <f>求节点(X$6:X$44,$D$67:$D$105,$AA23)+求节点(X$67:X$105,$Q$67:$Q$105,$AA23)</f>
        <v>107706.54654409598</v>
      </c>
      <c r="AL23" s="5">
        <f>求节点(T$6:T$44,$F$67:$F$105,$AA23)+求节点(T$67:T$105,$P$67:$P$105,$AA23)</f>
        <v>155000</v>
      </c>
      <c r="AM23" s="5">
        <f>求节点(U$6:U$44,$F$67:$F$105,$AA23)+求节点(U$67:U$105,$P$67:$P$105,$AA23)</f>
        <v>159232.37377391526</v>
      </c>
      <c r="AN23" s="5">
        <f>求节点(V$6:V$44,$F$67:$F$105,$AA23)+求节点(V$67:V$105,$P$67:$P$105,$AA23)</f>
        <v>166246.72058258616</v>
      </c>
      <c r="AO23" s="5">
        <f>求节点(W$6:W$44,$F$67:$F$105,$AA23)+求节点(W$67:W$105,$P$67:$P$105,$AA23)</f>
        <v>178194.16736467998</v>
      </c>
      <c r="AP23" s="5">
        <f>求节点(X$6:X$44,$F$67:$F$105,$AA23)+求节点(X$67:X$105,$P$67:$P$105,$AA23)</f>
        <v>187318.78695420979</v>
      </c>
      <c r="AQ23" s="5">
        <f>求节点(T$6:T$44,$H$67:$H$105,$AA23)</f>
        <v>81600</v>
      </c>
      <c r="AR23" s="5">
        <f>求节点(U$6:U$44,$H$67:$H$105,$AA23)</f>
        <v>85486.873874003795</v>
      </c>
      <c r="AS23" s="5">
        <f>求节点(V$6:V$44,$H$67:$H$105,$AA23)</f>
        <v>91928.620943191374</v>
      </c>
      <c r="AT23" s="5">
        <f>求节点(W$6:W$44,$H$67:$H$105,$AA23)</f>
        <v>102771.32414530586</v>
      </c>
      <c r="AU23" s="5">
        <f>求节点(X$6:X$44,$H$67:$H$105,$AA23)</f>
        <v>110822.45907724393</v>
      </c>
      <c r="AV23" s="5">
        <f>求节点(T$6:T$44,$I$67:$I$105,$AA23)</f>
        <v>222666.66666666666</v>
      </c>
      <c r="AW23" s="5">
        <f>求节点(U$6:U$44,$I$67:$I$105,$AA23)</f>
        <v>233319.58024726965</v>
      </c>
      <c r="AX23" s="5">
        <f>求节点(V$6:V$44,$I$67:$I$105,$AA23)</f>
        <v>250974.73888133929</v>
      </c>
      <c r="AY23" s="5">
        <f>求节点(W$6:W$44,$I$67:$I$105,$AA23)</f>
        <v>283745.64498261426</v>
      </c>
      <c r="AZ23" s="5">
        <f>求节点(X$6:X$44,$I$67:$I$105,$AA23)</f>
        <v>313564.66324905161</v>
      </c>
      <c r="BA23" s="5">
        <f>求节点(T$6:T$44,$E$67:$E$105,$AA23)+求节点(T$6:T$44,$K$67:$K$105,$AA23)+求节点(T$67:T$105,$O$67:$O$105,$AA23)</f>
        <v>1317.3333333333335</v>
      </c>
      <c r="BB23" s="5">
        <f>求节点(U$6:U$44,$E$67:$E$105,$AA23)+求节点(U$6:U$44,$K$67:$K$105,$AA23)+求节点(U$67:U$105,$O$67:$O$105,$AA23)</f>
        <v>1347.2766579923255</v>
      </c>
      <c r="BC23" s="5">
        <f>求节点(V$6:V$44,$E$67:$E$105,$AA23)+求节点(V$6:V$44,$K$67:$K$105,$AA23)+求节点(V$67:V$105,$O$67:$O$105,$AA23)</f>
        <v>1396.9019687475484</v>
      </c>
      <c r="BD23" s="5">
        <f>求节点(W$6:W$44,$E$67:$E$105,$AA23)+求节点(W$6:W$44,$K$67:$K$105,$AA23)+求节点(W$67:W$105,$O$67:$O$105,$AA23)</f>
        <v>1480.4309415638377</v>
      </c>
      <c r="BE23" s="5">
        <f>求节点(X$6:X$44,$E$67:$E$105,$AA23)+求节点(X$6:X$44,$K$67:$K$105,$AA23)+求节点(X$67:X$105,$O$67:$O$105,$AA23)</f>
        <v>1542.4544995580272</v>
      </c>
      <c r="BF23" s="5">
        <f>求节点(T$6:T$44,$G$67:$G$105,$AA23)</f>
        <v>0</v>
      </c>
      <c r="BG23" s="5">
        <f>求节点(U$6:U$44,$G$67:$G$105,$AA23)</f>
        <v>0</v>
      </c>
      <c r="BH23" s="5">
        <f>求节点(V$6:V$44,$G$67:$G$105,$AA23)</f>
        <v>0</v>
      </c>
      <c r="BI23" s="5">
        <f>求节点(W$6:W$44,$G$67:$G$105,$AA23)</f>
        <v>0</v>
      </c>
      <c r="BJ23" s="5">
        <f>求节点(X$6:X$44,$G$67:$G$105,$AA23)</f>
        <v>0</v>
      </c>
      <c r="BK23" s="5">
        <f>求节点(T$6:T$44,$M$67:$M$105,$AA23)</f>
        <v>12.666666666666666</v>
      </c>
      <c r="BL23" s="5">
        <f>求节点(U$6:U$44,$M$67:$M$105,$AA23)</f>
        <v>12.954583249926207</v>
      </c>
      <c r="BM23" s="5">
        <f>求节点(V$6:V$44,$M$67:$M$105,$AA23)</f>
        <v>13.431749699495656</v>
      </c>
      <c r="BN23" s="5">
        <f>求节点(W$6:W$44,$M$67:$M$105,$AA23)</f>
        <v>14.234912899652286</v>
      </c>
      <c r="BO23" s="5">
        <f>求节点(X$6:X$44,$M$67:$M$105,$AA23)</f>
        <v>14.831293264981031</v>
      </c>
      <c r="BP23" s="5">
        <f>求节点(T$67:T$105,$L$67:$L$105,$AA23)</f>
        <v>0</v>
      </c>
      <c r="BQ23" s="5">
        <f>求节点(U$67:U$105,$L$67:$L$105,$AA23)</f>
        <v>0</v>
      </c>
      <c r="BR23" s="5">
        <f>求节点(V$67:V$105,$L$67:$L$105,$AA23)</f>
        <v>0</v>
      </c>
      <c r="BS23" s="5">
        <f>求节点(W$67:W$105,$L$67:$L$105,$AA23)</f>
        <v>0</v>
      </c>
      <c r="BT23" s="5">
        <f>求节点(X$67:X$105,$L$67:$L$105,$AA23)</f>
        <v>0</v>
      </c>
      <c r="BZ23" s="5">
        <v>19</v>
      </c>
      <c r="CA23" s="5">
        <f t="shared" si="9"/>
        <v>1317.3333333333335</v>
      </c>
      <c r="CB23" s="5">
        <f t="shared" si="10"/>
        <v>1347.2766579923255</v>
      </c>
      <c r="CC23" s="5">
        <f t="shared" si="11"/>
        <v>1396.9019687475484</v>
      </c>
      <c r="CD23" s="5">
        <f t="shared" si="12"/>
        <v>1480.4309415638377</v>
      </c>
      <c r="CE23" s="5">
        <f t="shared" si="13"/>
        <v>1542.4544995580272</v>
      </c>
      <c r="CF23" s="5">
        <f>(CA23-CA22)/节奏总纲!W22</f>
        <v>277.4113270144544</v>
      </c>
      <c r="CI23" s="5">
        <v>19</v>
      </c>
      <c r="CJ23" s="5">
        <f t="shared" si="14"/>
        <v>3040</v>
      </c>
      <c r="CK23" s="5">
        <f t="shared" si="15"/>
        <v>3109.0999799822898</v>
      </c>
      <c r="CL23" s="5">
        <f t="shared" si="16"/>
        <v>3223.6199278789572</v>
      </c>
      <c r="CM23" s="5">
        <f t="shared" si="17"/>
        <v>3416.379095916549</v>
      </c>
      <c r="CN23" s="5">
        <f t="shared" si="18"/>
        <v>3559.5103835954474</v>
      </c>
      <c r="CO23" s="5">
        <f>(CJ23-CJ22)/节奏总纲!W22</f>
        <v>640.17998541797033</v>
      </c>
      <c r="CP23" s="5">
        <f t="shared" si="2"/>
        <v>917.59131243242473</v>
      </c>
      <c r="CR23" s="5">
        <v>19</v>
      </c>
      <c r="CS23" s="5">
        <f t="shared" si="3"/>
        <v>0</v>
      </c>
      <c r="CT23" s="5">
        <f t="shared" si="4"/>
        <v>0</v>
      </c>
      <c r="CU23" s="5">
        <f t="shared" si="5"/>
        <v>0</v>
      </c>
      <c r="CV23" s="5">
        <f t="shared" si="6"/>
        <v>0</v>
      </c>
      <c r="CW23" s="5">
        <f t="shared" si="7"/>
        <v>0</v>
      </c>
      <c r="CX23" s="5">
        <f t="shared" si="20"/>
        <v>0</v>
      </c>
      <c r="CY23" s="5">
        <f t="shared" si="21"/>
        <v>0</v>
      </c>
      <c r="CZ23" s="5">
        <f t="shared" si="22"/>
        <v>0</v>
      </c>
      <c r="DA23" s="5">
        <f t="shared" si="23"/>
        <v>0</v>
      </c>
      <c r="DB23" s="5">
        <f t="shared" si="24"/>
        <v>0</v>
      </c>
    </row>
    <row r="24" spans="2:106" x14ac:dyDescent="0.15">
      <c r="B24" s="5">
        <v>19</v>
      </c>
      <c r="D24" s="5">
        <f>ROUND(130/INDEX('[1]功能-付费相关'!$BB$6:$BB$165,基本信息!U22,1)/1200,0)*600</f>
        <v>849000</v>
      </c>
      <c r="E24" s="5">
        <v>120</v>
      </c>
      <c r="F24" s="5">
        <f>ROUND(60/INDEX('[1]功能-付费相关'!$AS$6:$AS$165,基本信息!C22,1)/600,0)*600</f>
        <v>46800</v>
      </c>
      <c r="H24" s="5">
        <v>27000</v>
      </c>
      <c r="I24" s="5">
        <f>ROUND(20*4/INDEX('[1]功能-付费相关'!$U$6:$U$165,基本信息!U22,1)/4000,0)*4000/2</f>
        <v>582000</v>
      </c>
      <c r="J24" s="5">
        <f>ROUND(50*2/INDEX('[1]功能-付费相关'!$AS$6:$AS$165,基本信息!U22,1)/2000,0)*2000</f>
        <v>76000</v>
      </c>
      <c r="K24" s="5">
        <v>88</v>
      </c>
      <c r="M24" s="5">
        <v>2</v>
      </c>
      <c r="N24" s="5">
        <v>0</v>
      </c>
      <c r="P24" s="5">
        <v>0</v>
      </c>
      <c r="Q24" s="5">
        <v>0</v>
      </c>
      <c r="S24" s="5">
        <v>19</v>
      </c>
      <c r="T24" s="5">
        <f>基本信息!C22</f>
        <v>57</v>
      </c>
      <c r="U24" s="5">
        <f>基本信息!D22</f>
        <v>56.122203150228408</v>
      </c>
      <c r="V24" s="5">
        <f>基本信息!E22</f>
        <v>52.720756910363008</v>
      </c>
      <c r="W24" s="5">
        <f>基本信息!F22</f>
        <v>50.93185632612898</v>
      </c>
      <c r="X24" s="5">
        <f>基本信息!G22</f>
        <v>49.491771378560095</v>
      </c>
      <c r="AA24" s="5">
        <v>20</v>
      </c>
      <c r="AB24" s="5">
        <f>求节点(T$6:T$44,$C$67:$C$105,$AA24)</f>
        <v>0</v>
      </c>
      <c r="AC24" s="5">
        <f>求节点(U$6:U$44,$C$67:$C$105,$AA24)</f>
        <v>0</v>
      </c>
      <c r="AD24" s="5">
        <f>求节点(V$6:V$44,$C$67:$C$105,$AA24)</f>
        <v>0</v>
      </c>
      <c r="AE24" s="5">
        <f>求节点(W$6:W$44,$C$67:$C$105,$AA24)</f>
        <v>0</v>
      </c>
      <c r="AF24" s="5">
        <f>求节点(X$6:X$44,$C$67:$C$105,$AA24)</f>
        <v>0</v>
      </c>
      <c r="AG24" s="5">
        <f>求节点(T$6:T$44,$D$67:$D$105,$AA24)+求节点(T$67:T$105,$Q$67:$Q$105,$AA24)</f>
        <v>80000</v>
      </c>
      <c r="AH24" s="5">
        <f>求节点(U$6:U$44,$D$67:$D$105,$AA24)+求节点(U$67:U$105,$Q$67:$Q$105,$AA24)</f>
        <v>84183.360259474881</v>
      </c>
      <c r="AI24" s="5">
        <f>求节点(V$6:V$44,$D$67:$D$105,$AA24)+求节点(V$67:V$105,$Q$67:$Q$105,$AA24)</f>
        <v>92387.843664175656</v>
      </c>
      <c r="AJ24" s="5">
        <f>求节点(W$6:W$44,$D$67:$D$105,$AA24)+求节点(W$67:W$105,$Q$67:$Q$105,$AA24)</f>
        <v>110442.51608212526</v>
      </c>
      <c r="AK24" s="5">
        <f>求节点(X$6:X$44,$D$67:$D$105,$AA24)+求节点(X$67:X$105,$Q$67:$Q$105,$AA24)</f>
        <v>123608.28312305413</v>
      </c>
      <c r="AL24" s="5">
        <f>求节点(T$6:T$44,$F$67:$F$105,$AA24)+求节点(T$67:T$105,$P$67:$P$105,$AA24)</f>
        <v>164800</v>
      </c>
      <c r="AM24" s="5">
        <f>求节点(U$6:U$44,$F$67:$F$105,$AA24)+求节点(U$67:U$105,$P$67:$P$105,$AA24)</f>
        <v>168899.69305428537</v>
      </c>
      <c r="AN24" s="5">
        <f>求节点(V$6:V$44,$F$67:$F$105,$AA24)+求节点(V$67:V$105,$P$67:$P$105,$AA24)</f>
        <v>176315.211646098</v>
      </c>
      <c r="AO24" s="5">
        <f>求节点(W$6:W$44,$F$67:$F$105,$AA24)+求节点(W$67:W$105,$P$67:$P$105,$AA24)</f>
        <v>189284.06084772377</v>
      </c>
      <c r="AP24" s="5">
        <f>求节点(X$6:X$44,$F$67:$F$105,$AA24)+求节点(X$67:X$105,$P$67:$P$105,$AA24)</f>
        <v>198741.16111656002</v>
      </c>
      <c r="AQ24" s="5">
        <f>求节点(T$6:T$44,$H$67:$H$105,$AA24)</f>
        <v>90600</v>
      </c>
      <c r="AR24" s="5">
        <f>求节点(U$6:U$44,$H$67:$H$105,$AA24)</f>
        <v>94365.024233527394</v>
      </c>
      <c r="AS24" s="5">
        <f>求节点(V$6:V$44,$H$67:$H$105,$AA24)</f>
        <v>101113.4220406747</v>
      </c>
      <c r="AT24" s="5">
        <f>求节点(W$6:W$44,$H$67:$H$105,$AA24)</f>
        <v>112556.52427740334</v>
      </c>
      <c r="AU24" s="5">
        <f>求节点(X$6:X$44,$H$67:$H$105,$AA24)</f>
        <v>120901.02451461178</v>
      </c>
      <c r="AV24" s="5">
        <f>求节点(T$6:T$44,$I$67:$I$105,$AA24)</f>
        <v>247333.33333333334</v>
      </c>
      <c r="AW24" s="5">
        <f>求节点(U$6:U$44,$I$67:$I$105,$AA24)</f>
        <v>257652.28864003802</v>
      </c>
      <c r="AX24" s="5">
        <f>求节点(V$6:V$44,$I$67:$I$105,$AA24)</f>
        <v>277605.26681731374</v>
      </c>
      <c r="AY24" s="5">
        <f>求节点(W$6:W$44,$I$67:$I$105,$AA24)</f>
        <v>319987.12695334567</v>
      </c>
      <c r="AZ24" s="5">
        <f>求节点(X$6:X$44,$I$67:$I$105,$AA24)</f>
        <v>350892.68338745099</v>
      </c>
      <c r="BA24" s="5">
        <f>求节点(T$6:T$44,$E$67:$E$105,$AA24)+求节点(T$6:T$44,$K$67:$K$105,$AA24)+求节点(T$67:T$105,$O$67:$O$105,$AA24)</f>
        <v>1386.6666666666665</v>
      </c>
      <c r="BB24" s="5">
        <f>求节点(U$6:U$44,$E$67:$E$105,$AA24)+求节点(U$6:U$44,$K$67:$K$105,$AA24)+求节点(U$67:U$105,$O$67:$O$105,$AA24)</f>
        <v>1415.671297799026</v>
      </c>
      <c r="BC24" s="5">
        <f>求节点(V$6:V$44,$E$67:$E$105,$AA24)+求节点(V$6:V$44,$K$67:$K$105,$AA24)+求节点(V$67:V$105,$O$67:$O$105,$AA24)</f>
        <v>1467.6589549800126</v>
      </c>
      <c r="BD24" s="5">
        <f>求节点(W$6:W$44,$E$67:$E$105,$AA24)+求节点(W$6:W$44,$K$67:$K$105,$AA24)+求节点(W$67:W$105,$O$67:$O$105,$AA24)</f>
        <v>1555.8132240629589</v>
      </c>
      <c r="BE24" s="5">
        <f>求节点(X$6:X$44,$E$67:$E$105,$AA24)+求节点(X$6:X$44,$K$67:$K$105,$AA24)+求节点(X$67:X$105,$O$67:$O$105,$AA24)</f>
        <v>1620.0967814458982</v>
      </c>
      <c r="BF24" s="5">
        <f>求节点(T$6:T$44,$G$67:$G$105,$AA24)</f>
        <v>0</v>
      </c>
      <c r="BG24" s="5">
        <f>求节点(U$6:U$44,$G$67:$G$105,$AA24)</f>
        <v>0</v>
      </c>
      <c r="BH24" s="5">
        <f>求节点(V$6:V$44,$G$67:$G$105,$AA24)</f>
        <v>0</v>
      </c>
      <c r="BI24" s="5">
        <f>求节点(W$6:W$44,$G$67:$G$105,$AA24)</f>
        <v>0</v>
      </c>
      <c r="BJ24" s="5">
        <f>求节点(X$6:X$44,$G$67:$G$105,$AA24)</f>
        <v>0</v>
      </c>
      <c r="BK24" s="5">
        <f>求节点(T$6:T$44,$M$67:$M$105,$AA24)</f>
        <v>13.333333333333334</v>
      </c>
      <c r="BL24" s="5">
        <f>求节点(U$6:U$44,$M$67:$M$105,$AA24)</f>
        <v>13.612224017298326</v>
      </c>
      <c r="BM24" s="5">
        <f>求节点(V$6:V$44,$M$67:$M$105,$AA24)</f>
        <v>14.112105336346275</v>
      </c>
      <c r="BN24" s="5">
        <f>求节点(W$6:W$44,$M$67:$M$105,$AA24)</f>
        <v>14.959742539066914</v>
      </c>
      <c r="BO24" s="5">
        <f>求节点(X$6:X$44,$M$67:$M$105,$AA24)</f>
        <v>15.57785366774902</v>
      </c>
      <c r="BP24" s="5">
        <f>求节点(T$67:T$105,$L$67:$L$105,$AA24)</f>
        <v>0</v>
      </c>
      <c r="BQ24" s="5">
        <f>求节点(U$67:U$105,$L$67:$L$105,$AA24)</f>
        <v>0</v>
      </c>
      <c r="BR24" s="5">
        <f>求节点(V$67:V$105,$L$67:$L$105,$AA24)</f>
        <v>0</v>
      </c>
      <c r="BS24" s="5">
        <f>求节点(W$67:W$105,$L$67:$L$105,$AA24)</f>
        <v>0</v>
      </c>
      <c r="BT24" s="5">
        <f>求节点(X$67:X$105,$L$67:$L$105,$AA24)</f>
        <v>0</v>
      </c>
      <c r="BZ24" s="5">
        <v>20</v>
      </c>
      <c r="CA24" s="5">
        <f t="shared" si="9"/>
        <v>1386.6666666666665</v>
      </c>
      <c r="CB24" s="5">
        <f t="shared" si="10"/>
        <v>1415.671297799026</v>
      </c>
      <c r="CC24" s="5">
        <f t="shared" si="11"/>
        <v>1467.6589549800126</v>
      </c>
      <c r="CD24" s="5">
        <f t="shared" si="12"/>
        <v>1555.8132240629589</v>
      </c>
      <c r="CE24" s="5">
        <f t="shared" si="13"/>
        <v>1620.0967814458982</v>
      </c>
      <c r="CF24" s="5">
        <f>(CA24-CA23)/节奏总纲!W23</f>
        <v>258.83392033049023</v>
      </c>
      <c r="CI24" s="5">
        <v>20</v>
      </c>
      <c r="CJ24" s="5">
        <f t="shared" si="14"/>
        <v>3200</v>
      </c>
      <c r="CK24" s="5">
        <f t="shared" si="15"/>
        <v>3266.9337641515981</v>
      </c>
      <c r="CL24" s="5">
        <f t="shared" si="16"/>
        <v>3386.905280723106</v>
      </c>
      <c r="CM24" s="5">
        <f t="shared" si="17"/>
        <v>3590.3382093760592</v>
      </c>
      <c r="CN24" s="5">
        <f t="shared" si="18"/>
        <v>3738.6848802597647</v>
      </c>
      <c r="CO24" s="5">
        <f>(CJ24-CJ23)/节奏总纲!W23</f>
        <v>597.30904691651858</v>
      </c>
      <c r="CP24" s="5">
        <f t="shared" si="2"/>
        <v>856.14296724700876</v>
      </c>
      <c r="CR24" s="5">
        <v>20</v>
      </c>
      <c r="CS24" s="5">
        <f t="shared" si="3"/>
        <v>0</v>
      </c>
      <c r="CT24" s="5">
        <f t="shared" si="4"/>
        <v>0</v>
      </c>
      <c r="CU24" s="5">
        <f t="shared" si="5"/>
        <v>0</v>
      </c>
      <c r="CV24" s="5">
        <f t="shared" si="6"/>
        <v>0</v>
      </c>
      <c r="CW24" s="5">
        <f t="shared" si="7"/>
        <v>0</v>
      </c>
      <c r="CX24" s="5">
        <f t="shared" si="20"/>
        <v>0</v>
      </c>
      <c r="CY24" s="5">
        <f t="shared" si="21"/>
        <v>0</v>
      </c>
      <c r="CZ24" s="5">
        <f t="shared" si="22"/>
        <v>0</v>
      </c>
      <c r="DA24" s="5">
        <f t="shared" si="23"/>
        <v>0</v>
      </c>
      <c r="DB24" s="5">
        <f t="shared" si="24"/>
        <v>0</v>
      </c>
    </row>
    <row r="25" spans="2:106" x14ac:dyDescent="0.15">
      <c r="B25" s="5">
        <v>20</v>
      </c>
      <c r="D25" s="5">
        <f>ROUND(130/INDEX('[1]功能-付费相关'!$BB$6:$BB$165,基本信息!U23,1)/1200,0)*600</f>
        <v>1027200</v>
      </c>
      <c r="E25" s="5">
        <v>120</v>
      </c>
      <c r="F25" s="5">
        <f>ROUND(60/INDEX('[1]功能-付费相关'!$AS$6:$AS$165,基本信息!C23,1)/600,0)*600</f>
        <v>48000</v>
      </c>
      <c r="H25" s="5">
        <v>27000</v>
      </c>
      <c r="I25" s="5">
        <f>ROUND(20*4/INDEX('[1]功能-付费相关'!$U$6:$U$165,基本信息!U23,1)/4000,0)*4000/2</f>
        <v>644000</v>
      </c>
      <c r="J25" s="5">
        <f>ROUND(50*2/INDEX('[1]功能-付费相关'!$AS$6:$AS$165,基本信息!U23,1)/2000,0)*2000</f>
        <v>76000</v>
      </c>
      <c r="K25" s="5">
        <v>88</v>
      </c>
      <c r="M25" s="5">
        <v>2</v>
      </c>
      <c r="N25" s="5">
        <v>0</v>
      </c>
      <c r="P25" s="5">
        <v>0</v>
      </c>
      <c r="Q25" s="5">
        <v>0</v>
      </c>
      <c r="S25" s="5">
        <v>20</v>
      </c>
      <c r="T25" s="5">
        <f>基本信息!C23</f>
        <v>60</v>
      </c>
      <c r="U25" s="5">
        <f>基本信息!D23</f>
        <v>59.205358406697492</v>
      </c>
      <c r="V25" s="5">
        <f>基本信息!E23</f>
        <v>56.737858137093006</v>
      </c>
      <c r="W25" s="5">
        <f>基本信息!F23</f>
        <v>53.763092981878088</v>
      </c>
      <c r="X25" s="5">
        <f>基本信息!G23</f>
        <v>52.338371395299703</v>
      </c>
      <c r="AA25" s="5">
        <v>21</v>
      </c>
      <c r="AB25" s="5">
        <f>求节点(T$6:T$44,$C$67:$C$105,$AA25)</f>
        <v>0</v>
      </c>
      <c r="AC25" s="5">
        <f>求节点(U$6:U$44,$C$67:$C$105,$AA25)</f>
        <v>0</v>
      </c>
      <c r="AD25" s="5">
        <f>求节点(V$6:V$44,$C$67:$C$105,$AA25)</f>
        <v>0</v>
      </c>
      <c r="AE25" s="5">
        <f>求节点(W$6:W$44,$C$67:$C$105,$AA25)</f>
        <v>0</v>
      </c>
      <c r="AF25" s="5">
        <f>求节点(X$6:X$44,$C$67:$C$105,$AA25)</f>
        <v>0</v>
      </c>
      <c r="AG25" s="5">
        <f>求节点(T$6:T$44,$D$67:$D$105,$AA25)+求节点(T$67:T$105,$Q$67:$Q$105,$AA25)</f>
        <v>90000</v>
      </c>
      <c r="AH25" s="5">
        <f>求节点(U$6:U$44,$D$67:$D$105,$AA25)+求节点(U$67:U$105,$Q$67:$Q$105,$AA25)</f>
        <v>96007.547369182706</v>
      </c>
      <c r="AI25" s="5">
        <f>求节点(V$6:V$44,$D$67:$D$105,$AA25)+求节点(V$67:V$105,$Q$67:$Q$105,$AA25)</f>
        <v>107643.95164525919</v>
      </c>
      <c r="AJ25" s="5">
        <f>求节点(W$6:W$44,$D$67:$D$105,$AA25)+求节点(W$67:W$105,$Q$67:$Q$105,$AA25)</f>
        <v>125881.38740165683</v>
      </c>
      <c r="AK25" s="5">
        <f>求节点(X$6:X$44,$D$67:$D$105,$AA25)+求节点(X$67:X$105,$Q$67:$Q$105,$AA25)</f>
        <v>143474.29580981127</v>
      </c>
      <c r="AL25" s="5">
        <f>求节点(T$6:T$44,$F$67:$F$105,$AA25)+求节点(T$67:T$105,$P$67:$P$105,$AA25)</f>
        <v>174600</v>
      </c>
      <c r="AM25" s="5">
        <f>求节点(U$6:U$44,$F$67:$F$105,$AA25)+求节点(U$67:U$105,$P$67:$P$105,$AA25)</f>
        <v>178915.28050462421</v>
      </c>
      <c r="AN25" s="5">
        <f>求节点(V$6:V$44,$F$67:$F$105,$AA25)+求节点(V$67:V$105,$P$67:$P$105,$AA25)</f>
        <v>187273.82442124252</v>
      </c>
      <c r="AO25" s="5">
        <f>求节点(W$6:W$44,$F$67:$F$105,$AA25)+求节点(W$67:W$105,$P$67:$P$105,$AA25)</f>
        <v>200373.95433076759</v>
      </c>
      <c r="AP25" s="5">
        <f>求节点(X$6:X$44,$F$67:$F$105,$AA25)+求节点(X$67:X$105,$P$67:$P$105,$AA25)</f>
        <v>211072.11973729808</v>
      </c>
      <c r="AQ25" s="5">
        <f>求节点(T$6:T$44,$H$67:$H$105,$AA25)</f>
        <v>99600</v>
      </c>
      <c r="AR25" s="5">
        <f>求节点(U$6:U$44,$H$67:$H$105,$AA25)</f>
        <v>103407.60044525666</v>
      </c>
      <c r="AS25" s="5">
        <f>求节点(V$6:V$44,$H$67:$H$105,$AA25)</f>
        <v>110782.78625403752</v>
      </c>
      <c r="AT25" s="5">
        <f>求节点(W$6:W$44,$H$67:$H$105,$AA25)</f>
        <v>122341.72440950081</v>
      </c>
      <c r="AU25" s="5">
        <f>求节点(X$6:X$44,$H$67:$H$105,$AA25)</f>
        <v>131493.43311441506</v>
      </c>
      <c r="AV25" s="5">
        <f>求节点(T$6:T$44,$I$67:$I$105,$AA25)</f>
        <v>272000</v>
      </c>
      <c r="AW25" s="5">
        <f>求节点(U$6:U$44,$I$67:$I$105,$AA25)</f>
        <v>286102.22387132095</v>
      </c>
      <c r="AX25" s="5">
        <f>求节点(V$6:V$44,$I$67:$I$105,$AA25)</f>
        <v>313417.72686680558</v>
      </c>
      <c r="AY25" s="5">
        <f>求节点(W$6:W$44,$I$67:$I$105,$AA25)</f>
        <v>356228.60892407707</v>
      </c>
      <c r="AZ25" s="5">
        <f>求节点(X$6:X$44,$I$67:$I$105,$AA25)</f>
        <v>393748.59161962254</v>
      </c>
      <c r="BA25" s="5">
        <f>求节点(T$6:T$44,$E$67:$E$105,$AA25)+求节点(T$6:T$44,$K$67:$K$105,$AA25)+求节点(T$67:T$105,$O$67:$O$105,$AA25)</f>
        <v>1456</v>
      </c>
      <c r="BB25" s="5">
        <f>求节点(U$6:U$44,$E$67:$E$105,$AA25)+求节点(U$6:U$44,$K$67:$K$105,$AA25)+求节点(U$67:U$105,$O$67:$O$105,$AA25)</f>
        <v>1485.3326256523474</v>
      </c>
      <c r="BC25" s="5">
        <f>求节点(V$6:V$44,$E$67:$E$105,$AA25)+求节点(V$6:V$44,$K$67:$K$105,$AA25)+求节点(V$67:V$105,$O$67:$O$105,$AA25)</f>
        <v>1542.1488718829557</v>
      </c>
      <c r="BD25" s="5">
        <f>求节点(W$6:W$44,$E$67:$E$105,$AA25)+求节点(W$6:W$44,$K$67:$K$105,$AA25)+求节点(W$67:W$105,$O$67:$O$105,$AA25)</f>
        <v>1631.1955065620805</v>
      </c>
      <c r="BE25" s="5">
        <f>求节点(X$6:X$44,$E$67:$E$105,$AA25)+求节点(X$6:X$44,$K$67:$K$105,$AA25)+求节点(X$67:X$105,$O$67:$O$105,$AA25)</f>
        <v>1701.6975588073456</v>
      </c>
      <c r="BF25" s="5">
        <f>求节点(T$6:T$44,$G$67:$G$105,$AA25)</f>
        <v>0</v>
      </c>
      <c r="BG25" s="5">
        <f>求节点(U$6:U$44,$G$67:$G$105,$AA25)</f>
        <v>0</v>
      </c>
      <c r="BH25" s="5">
        <f>求节点(V$6:V$44,$G$67:$G$105,$AA25)</f>
        <v>0</v>
      </c>
      <c r="BI25" s="5">
        <f>求节点(W$6:W$44,$G$67:$G$105,$AA25)</f>
        <v>0</v>
      </c>
      <c r="BJ25" s="5">
        <f>求节点(X$6:X$44,$G$67:$G$105,$AA25)</f>
        <v>0</v>
      </c>
      <c r="BK25" s="5">
        <f>求节点(T$6:T$44,$M$67:$M$105,$AA25)</f>
        <v>14</v>
      </c>
      <c r="BL25" s="5">
        <f>求节点(U$6:U$44,$M$67:$M$105,$AA25)</f>
        <v>14.282044477426419</v>
      </c>
      <c r="BM25" s="5">
        <f>求节点(V$6:V$44,$M$67:$M$105,$AA25)</f>
        <v>14.828354537336113</v>
      </c>
      <c r="BN25" s="5">
        <f>求节点(W$6:W$44,$M$67:$M$105,$AA25)</f>
        <v>15.684572178481542</v>
      </c>
      <c r="BO25" s="5">
        <f>求节点(X$6:X$44,$M$67:$M$105,$AA25)</f>
        <v>16.36247652699371</v>
      </c>
      <c r="BP25" s="5">
        <f>求节点(T$67:T$105,$L$67:$L$105,$AA25)</f>
        <v>0</v>
      </c>
      <c r="BQ25" s="5">
        <f>求节点(U$67:U$105,$L$67:$L$105,$AA25)</f>
        <v>0</v>
      </c>
      <c r="BR25" s="5">
        <f>求节点(V$67:V$105,$L$67:$L$105,$AA25)</f>
        <v>0</v>
      </c>
      <c r="BS25" s="5">
        <f>求节点(W$67:W$105,$L$67:$L$105,$AA25)</f>
        <v>0</v>
      </c>
      <c r="BT25" s="5">
        <f>求节点(X$67:X$105,$L$67:$L$105,$AA25)</f>
        <v>0</v>
      </c>
      <c r="BZ25" s="5">
        <v>21</v>
      </c>
      <c r="CA25" s="5">
        <f t="shared" si="9"/>
        <v>1456</v>
      </c>
      <c r="CB25" s="5">
        <f t="shared" si="10"/>
        <v>1485.3326256523474</v>
      </c>
      <c r="CC25" s="5">
        <f t="shared" si="11"/>
        <v>1542.1488718829557</v>
      </c>
      <c r="CD25" s="5">
        <f t="shared" si="12"/>
        <v>1631.1955065620805</v>
      </c>
      <c r="CE25" s="5">
        <f t="shared" si="13"/>
        <v>1701.6975588073456</v>
      </c>
      <c r="CF25" s="5">
        <f>(CA25-CA24)/节奏总纲!W24</f>
        <v>241.50058699715871</v>
      </c>
      <c r="CI25" s="5">
        <v>21</v>
      </c>
      <c r="CJ25" s="5">
        <f t="shared" si="14"/>
        <v>3360</v>
      </c>
      <c r="CK25" s="5">
        <f t="shared" si="15"/>
        <v>3427.6906745823408</v>
      </c>
      <c r="CL25" s="5">
        <f t="shared" si="16"/>
        <v>3558.805088960667</v>
      </c>
      <c r="CM25" s="5">
        <f t="shared" si="17"/>
        <v>3764.29732283557</v>
      </c>
      <c r="CN25" s="5">
        <f t="shared" si="18"/>
        <v>3926.9943664784905</v>
      </c>
      <c r="CO25" s="5">
        <f>(CJ25-CJ24)/节奏总纲!W24</f>
        <v>557.30904691651892</v>
      </c>
      <c r="CP25" s="5">
        <f t="shared" si="2"/>
        <v>798.80963391367766</v>
      </c>
      <c r="CR25" s="5">
        <v>21</v>
      </c>
      <c r="CS25" s="5">
        <f t="shared" si="3"/>
        <v>0</v>
      </c>
      <c r="CT25" s="5">
        <f t="shared" si="4"/>
        <v>0</v>
      </c>
      <c r="CU25" s="5">
        <f t="shared" si="5"/>
        <v>0</v>
      </c>
      <c r="CV25" s="5">
        <f t="shared" si="6"/>
        <v>0</v>
      </c>
      <c r="CW25" s="5">
        <f t="shared" si="7"/>
        <v>0</v>
      </c>
      <c r="CX25" s="5">
        <f t="shared" si="20"/>
        <v>0</v>
      </c>
      <c r="CY25" s="5">
        <f t="shared" si="21"/>
        <v>0</v>
      </c>
      <c r="CZ25" s="5">
        <f t="shared" si="22"/>
        <v>0</v>
      </c>
      <c r="DA25" s="5">
        <f t="shared" si="23"/>
        <v>0</v>
      </c>
      <c r="DB25" s="5">
        <f t="shared" si="24"/>
        <v>0</v>
      </c>
    </row>
    <row r="26" spans="2:106" x14ac:dyDescent="0.15">
      <c r="B26" s="5">
        <v>21</v>
      </c>
      <c r="D26" s="5">
        <f>ROUND(130/INDEX('[1]功能-付费相关'!$BB$6:$BB$165,基本信息!U24,1)/1200,0)*600</f>
        <v>1242600</v>
      </c>
      <c r="E26" s="5">
        <v>120</v>
      </c>
      <c r="F26" s="5">
        <f>ROUND(60/INDEX('[1]功能-付费相关'!$AS$6:$AS$165,基本信息!C24,1)/600,0)*600</f>
        <v>49200</v>
      </c>
      <c r="H26" s="5">
        <v>27000</v>
      </c>
      <c r="I26" s="5">
        <f>ROUND(20*4/INDEX('[1]功能-付费相关'!$U$6:$U$165,基本信息!U24,1)/4000,0)*4000/2</f>
        <v>786000</v>
      </c>
      <c r="J26" s="5">
        <f>ROUND(50*2/INDEX('[1]功能-付费相关'!$AS$6:$AS$165,基本信息!U24,1)/2000,0)*2000</f>
        <v>78000</v>
      </c>
      <c r="K26" s="5">
        <v>88</v>
      </c>
      <c r="M26" s="5">
        <v>2</v>
      </c>
      <c r="N26" s="5">
        <v>0</v>
      </c>
      <c r="P26" s="5">
        <v>0</v>
      </c>
      <c r="Q26" s="5">
        <v>0</v>
      </c>
      <c r="S26" s="5">
        <v>21</v>
      </c>
      <c r="T26" s="5">
        <f>基本信息!C24</f>
        <v>63</v>
      </c>
      <c r="U26" s="5">
        <f>基本信息!D24</f>
        <v>61.860622789459953</v>
      </c>
      <c r="V26" s="5">
        <f>基本信息!E24</f>
        <v>60.521685096626115</v>
      </c>
      <c r="W26" s="5">
        <f>基本信息!F24</f>
        <v>57.344123721260431</v>
      </c>
      <c r="X26" s="5">
        <f>基本信息!G24</f>
        <v>55.994542261986723</v>
      </c>
      <c r="AA26" s="5">
        <v>22</v>
      </c>
      <c r="AB26" s="5">
        <f>求节点(T$6:T$44,$C$67:$C$105,$AA26)</f>
        <v>0</v>
      </c>
      <c r="AC26" s="5">
        <f>求节点(U$6:U$44,$C$67:$C$105,$AA26)</f>
        <v>0</v>
      </c>
      <c r="AD26" s="5">
        <f>求节点(V$6:V$44,$C$67:$C$105,$AA26)</f>
        <v>0</v>
      </c>
      <c r="AE26" s="5">
        <f>求节点(W$6:W$44,$C$67:$C$105,$AA26)</f>
        <v>0</v>
      </c>
      <c r="AF26" s="5">
        <f>求节点(X$6:X$44,$C$67:$C$105,$AA26)</f>
        <v>0</v>
      </c>
      <c r="AG26" s="5">
        <f>求节点(T$6:T$44,$D$67:$D$105,$AA26)+求节点(T$67:T$105,$Q$67:$Q$105,$AA26)</f>
        <v>104200</v>
      </c>
      <c r="AH26" s="5">
        <f>求节点(U$6:U$44,$D$67:$D$105,$AA26)+求节点(U$67:U$105,$Q$67:$Q$105,$AA26)</f>
        <v>110647.50147330327</v>
      </c>
      <c r="AI26" s="5">
        <f>求节点(V$6:V$44,$D$67:$D$105,$AA26)+求节点(V$67:V$105,$Q$67:$Q$105,$AA26)</f>
        <v>122900.05962634273</v>
      </c>
      <c r="AJ26" s="5">
        <f>求节点(W$6:W$44,$D$67:$D$105,$AA26)+求节点(W$67:W$105,$Q$67:$Q$105,$AA26)</f>
        <v>145660.31753782733</v>
      </c>
      <c r="AK26" s="5">
        <f>求节点(X$6:X$44,$D$67:$D$105,$AA26)+求节点(X$67:X$105,$Q$67:$Q$105,$AA26)</f>
        <v>168498.85361229203</v>
      </c>
      <c r="AL26" s="5">
        <f>求节点(T$6:T$44,$F$67:$F$105,$AA26)+求节点(T$67:T$105,$P$67:$P$105,$AA26)</f>
        <v>184800</v>
      </c>
      <c r="AM26" s="5">
        <f>求节点(U$6:U$44,$F$67:$F$105,$AA26)+求节点(U$67:U$105,$P$67:$P$105,$AA26)</f>
        <v>189431.30387518968</v>
      </c>
      <c r="AN26" s="5">
        <f>求节点(V$6:V$44,$F$67:$F$105,$AA26)+求节点(V$67:V$105,$P$67:$P$105,$AA26)</f>
        <v>198232.43719638704</v>
      </c>
      <c r="AO26" s="5">
        <f>求节点(W$6:W$44,$F$67:$F$105,$AA26)+求节点(W$67:W$105,$P$67:$P$105,$AA26)</f>
        <v>212252.57147042674</v>
      </c>
      <c r="AP26" s="5">
        <f>求节点(X$6:X$44,$F$67:$F$105,$AA26)+求节点(X$67:X$105,$P$67:$P$105,$AA26)</f>
        <v>224585.38095063769</v>
      </c>
      <c r="AQ26" s="5">
        <f>求节点(T$6:T$44,$H$67:$H$105,$AA26)</f>
        <v>108600</v>
      </c>
      <c r="AR26" s="5">
        <f>求节点(U$6:U$44,$H$67:$H$105,$AA26)</f>
        <v>112686.4445957556</v>
      </c>
      <c r="AS26" s="5">
        <f>求节点(V$6:V$44,$H$67:$H$105,$AA26)</f>
        <v>120452.15046740032</v>
      </c>
      <c r="AT26" s="5">
        <f>求节点(W$6:W$44,$H$67:$H$105,$AA26)</f>
        <v>132477.1428920223</v>
      </c>
      <c r="AU26" s="5">
        <f>求节点(X$6:X$44,$H$67:$H$105,$AA26)</f>
        <v>142754.48412553139</v>
      </c>
      <c r="AV26" s="5">
        <f>求节点(T$6:T$44,$I$67:$I$105,$AA26)</f>
        <v>305333.33333333331</v>
      </c>
      <c r="AW26" s="5">
        <f>求节点(U$6:U$44,$I$67:$I$105,$AA26)</f>
        <v>320468.31331761333</v>
      </c>
      <c r="AX26" s="5">
        <f>求节点(V$6:V$44,$I$67:$I$105,$AA26)</f>
        <v>349230.18691629748</v>
      </c>
      <c r="AY26" s="5">
        <f>求节点(W$6:W$44,$I$67:$I$105,$AA26)</f>
        <v>398120.63507565466</v>
      </c>
      <c r="AZ26" s="5">
        <f>求节点(X$6:X$44,$I$67:$I$105,$AA26)</f>
        <v>443797.70722458407</v>
      </c>
      <c r="BA26" s="5">
        <f>求节点(T$6:T$44,$E$67:$E$105,$AA26)+求节点(T$6:T$44,$K$67:$K$105,$AA26)+求节点(T$67:T$105,$O$67:$O$105,$AA26)</f>
        <v>1525.3333333333335</v>
      </c>
      <c r="BB26" s="5">
        <f>求节点(U$6:U$44,$E$67:$E$105,$AA26)+求节点(U$6:U$44,$K$67:$K$105,$AA26)+求节点(U$67:U$105,$O$67:$O$105,$AA26)</f>
        <v>1556.8140917006358</v>
      </c>
      <c r="BC26" s="5">
        <f>求节点(V$6:V$44,$E$67:$E$105,$AA26)+求节点(V$6:V$44,$K$67:$K$105,$AA26)+求节点(V$67:V$105,$O$67:$O$105,$AA26)</f>
        <v>1616.6387887858987</v>
      </c>
      <c r="BD26" s="5">
        <f>求节点(W$6:W$44,$E$67:$E$105,$AA26)+求节点(W$6:W$44,$K$67:$K$105,$AA26)+求节点(W$67:W$105,$O$67:$O$105,$AA26)</f>
        <v>1709.2757674644681</v>
      </c>
      <c r="BE26" s="5">
        <f>求节点(X$6:X$44,$E$67:$E$105,$AA26)+求节点(X$6:X$44,$K$67:$K$105,$AA26)+求节点(X$67:X$105,$O$67:$O$105,$AA26)</f>
        <v>1788.4493591892788</v>
      </c>
      <c r="BF26" s="5">
        <f>求节点(T$6:T$44,$G$67:$G$105,$AA26)</f>
        <v>0</v>
      </c>
      <c r="BG26" s="5">
        <f>求节点(U$6:U$44,$G$67:$G$105,$AA26)</f>
        <v>0</v>
      </c>
      <c r="BH26" s="5">
        <f>求节点(V$6:V$44,$G$67:$G$105,$AA26)</f>
        <v>0</v>
      </c>
      <c r="BI26" s="5">
        <f>求节点(W$6:W$44,$G$67:$G$105,$AA26)</f>
        <v>0</v>
      </c>
      <c r="BJ26" s="5">
        <f>求节点(X$6:X$44,$G$67:$G$105,$AA26)</f>
        <v>0</v>
      </c>
      <c r="BK26" s="5">
        <f>求节点(T$6:T$44,$M$67:$M$105,$AA26)</f>
        <v>14.666666666666666</v>
      </c>
      <c r="BL26" s="5">
        <f>求节点(U$6:U$44,$M$67:$M$105,$AA26)</f>
        <v>14.969366266352267</v>
      </c>
      <c r="BM26" s="5">
        <f>求节点(V$6:V$44,$M$67:$M$105,$AA26)</f>
        <v>15.54460373832595</v>
      </c>
      <c r="BN26" s="5">
        <f>求节点(W$6:W$44,$M$67:$M$105,$AA26)</f>
        <v>16.435343917927579</v>
      </c>
      <c r="BO26" s="5">
        <f>求节点(X$6:X$44,$M$67:$M$105,$AA26)</f>
        <v>17.196628453743067</v>
      </c>
      <c r="BP26" s="5">
        <f>求节点(T$67:T$105,$L$67:$L$105,$AA26)</f>
        <v>0</v>
      </c>
      <c r="BQ26" s="5">
        <f>求节点(U$67:U$105,$L$67:$L$105,$AA26)</f>
        <v>0</v>
      </c>
      <c r="BR26" s="5">
        <f>求节点(V$67:V$105,$L$67:$L$105,$AA26)</f>
        <v>0</v>
      </c>
      <c r="BS26" s="5">
        <f>求节点(W$67:W$105,$L$67:$L$105,$AA26)</f>
        <v>0</v>
      </c>
      <c r="BT26" s="5">
        <f>求节点(X$67:X$105,$L$67:$L$105,$AA26)</f>
        <v>0</v>
      </c>
      <c r="BZ26" s="5">
        <v>22</v>
      </c>
      <c r="CA26" s="5">
        <f t="shared" si="9"/>
        <v>1525.3333333333335</v>
      </c>
      <c r="CB26" s="5">
        <f t="shared" si="10"/>
        <v>1556.8140917006358</v>
      </c>
      <c r="CC26" s="5">
        <f t="shared" si="11"/>
        <v>1616.6387887858987</v>
      </c>
      <c r="CD26" s="5">
        <f t="shared" si="12"/>
        <v>1709.2757674644681</v>
      </c>
      <c r="CE26" s="5">
        <f t="shared" si="13"/>
        <v>1788.4493591892788</v>
      </c>
      <c r="CF26" s="5">
        <f>(CA26-CA25)/节奏总纲!W25</f>
        <v>225.3280151438542</v>
      </c>
      <c r="CI26" s="5">
        <v>22</v>
      </c>
      <c r="CJ26" s="5">
        <f t="shared" si="14"/>
        <v>3520</v>
      </c>
      <c r="CK26" s="5">
        <f t="shared" si="15"/>
        <v>3592.6479039245442</v>
      </c>
      <c r="CL26" s="5">
        <f t="shared" si="16"/>
        <v>3730.7048971982281</v>
      </c>
      <c r="CM26" s="5">
        <f t="shared" si="17"/>
        <v>3944.4825403026189</v>
      </c>
      <c r="CN26" s="5">
        <f t="shared" si="18"/>
        <v>4127.1908288983359</v>
      </c>
      <c r="CO26" s="5">
        <f>(CJ26-CJ25)/节奏总纲!W25</f>
        <v>519.98772725504705</v>
      </c>
      <c r="CP26" s="5">
        <f t="shared" si="2"/>
        <v>745.31574239890119</v>
      </c>
      <c r="CR26" s="5">
        <v>22</v>
      </c>
      <c r="CS26" s="5">
        <f t="shared" si="3"/>
        <v>0</v>
      </c>
      <c r="CT26" s="5">
        <f t="shared" si="4"/>
        <v>0</v>
      </c>
      <c r="CU26" s="5">
        <f t="shared" si="5"/>
        <v>0</v>
      </c>
      <c r="CV26" s="5">
        <f t="shared" si="6"/>
        <v>0</v>
      </c>
      <c r="CW26" s="5">
        <f t="shared" si="7"/>
        <v>0</v>
      </c>
      <c r="CX26" s="5">
        <f t="shared" si="20"/>
        <v>0</v>
      </c>
      <c r="CY26" s="5">
        <f t="shared" si="21"/>
        <v>0</v>
      </c>
      <c r="CZ26" s="5">
        <f t="shared" si="22"/>
        <v>0</v>
      </c>
      <c r="DA26" s="5">
        <f t="shared" si="23"/>
        <v>0</v>
      </c>
      <c r="DB26" s="5">
        <f t="shared" si="24"/>
        <v>0</v>
      </c>
    </row>
    <row r="27" spans="2:106" x14ac:dyDescent="0.15">
      <c r="B27" s="5">
        <v>22</v>
      </c>
      <c r="D27" s="5">
        <f>ROUND(130/INDEX('[1]功能-付费相关'!$BB$6:$BB$165,基本信息!U25,1)/1200,0)*600</f>
        <v>1503600</v>
      </c>
      <c r="E27" s="5">
        <v>120</v>
      </c>
      <c r="F27" s="5">
        <f>ROUND(60/INDEX('[1]功能-付费相关'!$AS$6:$AS$165,基本信息!C25,1)/600,0)*600</f>
        <v>51000</v>
      </c>
      <c r="H27" s="5">
        <v>27000</v>
      </c>
      <c r="I27" s="5">
        <f>ROUND(20*4/INDEX('[1]功能-付费相关'!$U$6:$U$165,基本信息!U25,1)/4000,0)*4000/2</f>
        <v>864000</v>
      </c>
      <c r="J27" s="5">
        <f>ROUND(50*2/INDEX('[1]功能-付费相关'!$AS$6:$AS$165,基本信息!U25,1)/2000,0)*2000</f>
        <v>80000</v>
      </c>
      <c r="K27" s="5">
        <v>88</v>
      </c>
      <c r="M27" s="5">
        <v>2</v>
      </c>
      <c r="N27" s="5">
        <v>0</v>
      </c>
      <c r="P27" s="5">
        <v>0</v>
      </c>
      <c r="Q27" s="5">
        <v>0</v>
      </c>
      <c r="S27" s="5">
        <v>22</v>
      </c>
      <c r="T27" s="5">
        <f>基本信息!C25</f>
        <v>66</v>
      </c>
      <c r="U27" s="5">
        <f>基本信息!D25</f>
        <v>64.361886729921849</v>
      </c>
      <c r="V27" s="5">
        <f>基本信息!E25</f>
        <v>62.886620963673955</v>
      </c>
      <c r="W27" s="5">
        <f>基本信息!F25</f>
        <v>60.123711679237957</v>
      </c>
      <c r="X27" s="5">
        <f>基本信息!G25</f>
        <v>59.00871277769766</v>
      </c>
      <c r="AA27" s="5">
        <v>23</v>
      </c>
      <c r="AB27" s="5">
        <f>求节点(T$6:T$44,$C$67:$C$105,$AA27)</f>
        <v>0</v>
      </c>
      <c r="AC27" s="5">
        <f>求节点(U$6:U$44,$C$67:$C$105,$AA27)</f>
        <v>0</v>
      </c>
      <c r="AD27" s="5">
        <f>求节点(V$6:V$44,$C$67:$C$105,$AA27)</f>
        <v>0</v>
      </c>
      <c r="AE27" s="5">
        <f>求节点(W$6:W$44,$C$67:$C$105,$AA27)</f>
        <v>0</v>
      </c>
      <c r="AF27" s="5">
        <f>求节点(X$6:X$44,$C$67:$C$105,$AA27)</f>
        <v>0</v>
      </c>
      <c r="AG27" s="5">
        <f>求节点(T$6:T$44,$D$67:$D$105,$AA27)+求节点(T$67:T$105,$Q$67:$Q$105,$AA27)</f>
        <v>118400</v>
      </c>
      <c r="AH27" s="5">
        <f>求节点(U$6:U$44,$D$67:$D$105,$AA27)+求节点(U$67:U$105,$Q$67:$Q$105,$AA27)</f>
        <v>125287.45557742383</v>
      </c>
      <c r="AI27" s="5">
        <f>求节点(V$6:V$44,$D$67:$D$105,$AA27)+求节点(V$67:V$105,$Q$67:$Q$105,$AA27)</f>
        <v>140570.39119361056</v>
      </c>
      <c r="AJ27" s="5">
        <f>求节点(W$6:W$44,$D$67:$D$105,$AA27)+求节点(W$67:W$105,$Q$67:$Q$105,$AA27)</f>
        <v>168783.09041712308</v>
      </c>
      <c r="AK27" s="5">
        <f>求节点(X$6:X$44,$D$67:$D$105,$AA27)+求节点(X$67:X$105,$Q$67:$Q$105,$AA27)</f>
        <v>193747.35756954833</v>
      </c>
      <c r="AL27" s="5">
        <f>求节点(T$6:T$44,$F$67:$F$105,$AA27)+求节点(T$67:T$105,$P$67:$P$105,$AA27)</f>
        <v>195000</v>
      </c>
      <c r="AM27" s="5">
        <f>求节点(U$6:U$44,$F$67:$F$105,$AA27)+求节点(U$67:U$105,$P$67:$P$105,$AA27)</f>
        <v>199947.32724575515</v>
      </c>
      <c r="AN27" s="5">
        <f>求节点(V$6:V$44,$F$67:$F$105,$AA27)+求节点(V$67:V$105,$P$67:$P$105,$AA27)</f>
        <v>209504.01124454971</v>
      </c>
      <c r="AO27" s="5">
        <f>求节点(W$6:W$44,$F$67:$F$105,$AA27)+求节点(W$67:W$105,$P$67:$P$105,$AA27)</f>
        <v>224738.86882524646</v>
      </c>
      <c r="AP27" s="5">
        <f>求节点(X$6:X$44,$F$67:$F$105,$AA27)+求节点(X$67:X$105,$P$67:$P$105,$AA27)</f>
        <v>238058.94302781933</v>
      </c>
      <c r="AQ27" s="5">
        <f>求节点(T$6:T$44,$H$67:$H$105,$AA27)</f>
        <v>117600</v>
      </c>
      <c r="AR27" s="5">
        <f>求节点(U$6:U$44,$H$67:$H$105,$AA27)</f>
        <v>121965.28874625455</v>
      </c>
      <c r="AS27" s="5">
        <f>求节点(V$6:V$44,$H$67:$H$105,$AA27)</f>
        <v>130186.67603712475</v>
      </c>
      <c r="AT27" s="5">
        <f>求节点(W$6:W$44,$H$67:$H$105,$AA27)</f>
        <v>142882.3906877054</v>
      </c>
      <c r="AU27" s="5">
        <f>求节点(X$6:X$44,$H$67:$H$105,$AA27)</f>
        <v>153968.79350449768</v>
      </c>
      <c r="AV27" s="5">
        <f>求节点(T$6:T$44,$I$67:$I$105,$AA27)</f>
        <v>338666.66666666669</v>
      </c>
      <c r="AW27" s="5">
        <f>求节点(U$6:U$44,$I$67:$I$105,$AA27)</f>
        <v>354834.4027639057</v>
      </c>
      <c r="AX27" s="5">
        <f>求节点(V$6:V$44,$I$67:$I$105,$AA27)</f>
        <v>387940.78238722112</v>
      </c>
      <c r="AY27" s="5">
        <f>求节点(W$6:W$44,$I$67:$I$105,$AA27)</f>
        <v>444366.18083424616</v>
      </c>
      <c r="AZ27" s="5">
        <f>求节点(X$6:X$44,$I$67:$I$105,$AA27)</f>
        <v>493939.58065328409</v>
      </c>
      <c r="BA27" s="5">
        <f>求节点(T$6:T$44,$E$67:$E$105,$AA27)+求节点(T$6:T$44,$K$67:$K$105,$AA27)+求节点(T$67:T$105,$O$67:$O$105,$AA27)</f>
        <v>1594.6666666666665</v>
      </c>
      <c r="BB27" s="5">
        <f>求节点(U$6:U$44,$E$67:$E$105,$AA27)+求节点(U$6:U$44,$K$67:$K$105,$AA27)+求节点(U$67:U$105,$O$67:$O$105,$AA27)</f>
        <v>1628.2955577489238</v>
      </c>
      <c r="BC27" s="5">
        <f>求节点(V$6:V$44,$E$67:$E$105,$AA27)+求节点(V$6:V$44,$K$67:$K$105,$AA27)+求节点(V$67:V$105,$O$67:$O$105,$AA27)</f>
        <v>1691.6306894711834</v>
      </c>
      <c r="BD27" s="5">
        <f>求节点(W$6:W$44,$E$67:$E$105,$AA27)+求节点(W$6:W$44,$K$67:$K$105,$AA27)+求节点(W$67:W$105,$O$67:$O$105,$AA27)</f>
        <v>1789.4347134460265</v>
      </c>
      <c r="BE27" s="5">
        <f>求节点(X$6:X$44,$E$67:$E$105,$AA27)+求节点(X$6:X$44,$K$67:$K$105,$AA27)+求节点(X$67:X$105,$O$67:$O$105,$AA27)</f>
        <v>1874.8410758865007</v>
      </c>
      <c r="BF27" s="5">
        <f>求节点(T$6:T$44,$G$67:$G$105,$AA27)</f>
        <v>0</v>
      </c>
      <c r="BG27" s="5">
        <f>求节点(U$6:U$44,$G$67:$G$105,$AA27)</f>
        <v>0</v>
      </c>
      <c r="BH27" s="5">
        <f>求节点(V$6:V$44,$G$67:$G$105,$AA27)</f>
        <v>0</v>
      </c>
      <c r="BI27" s="5">
        <f>求节点(W$6:W$44,$G$67:$G$105,$AA27)</f>
        <v>0</v>
      </c>
      <c r="BJ27" s="5">
        <f>求节点(X$6:X$44,$G$67:$G$105,$AA27)</f>
        <v>0</v>
      </c>
      <c r="BK27" s="5">
        <f>求节点(T$6:T$44,$M$67:$M$105,$AA27)</f>
        <v>15.333333333333334</v>
      </c>
      <c r="BL27" s="5">
        <f>求节点(U$6:U$44,$M$67:$M$105,$AA27)</f>
        <v>15.656688055278114</v>
      </c>
      <c r="BM27" s="5">
        <f>求节点(V$6:V$44,$M$67:$M$105,$AA27)</f>
        <v>16.265679706453685</v>
      </c>
      <c r="BN27" s="5">
        <f>求节点(W$6:W$44,$M$67:$M$105,$AA27)</f>
        <v>17.206103013904102</v>
      </c>
      <c r="BO27" s="5">
        <f>求节点(X$6:X$44,$M$67:$M$105,$AA27)</f>
        <v>18.027318037370197</v>
      </c>
      <c r="BP27" s="5">
        <f>求节点(T$67:T$105,$L$67:$L$105,$AA27)</f>
        <v>0</v>
      </c>
      <c r="BQ27" s="5">
        <f>求节点(U$67:U$105,$L$67:$L$105,$AA27)</f>
        <v>0</v>
      </c>
      <c r="BR27" s="5">
        <f>求节点(V$67:V$105,$L$67:$L$105,$AA27)</f>
        <v>0</v>
      </c>
      <c r="BS27" s="5">
        <f>求节点(W$67:W$105,$L$67:$L$105,$AA27)</f>
        <v>0</v>
      </c>
      <c r="BT27" s="5">
        <f>求节点(X$67:X$105,$L$67:$L$105,$AA27)</f>
        <v>0</v>
      </c>
      <c r="BZ27" s="5">
        <v>23</v>
      </c>
      <c r="CA27" s="5">
        <f t="shared" si="9"/>
        <v>1594.6666666666665</v>
      </c>
      <c r="CB27" s="5">
        <f t="shared" si="10"/>
        <v>1628.2955577489238</v>
      </c>
      <c r="CC27" s="5">
        <f t="shared" si="11"/>
        <v>1691.6306894711834</v>
      </c>
      <c r="CD27" s="5">
        <f t="shared" si="12"/>
        <v>1789.4347134460265</v>
      </c>
      <c r="CE27" s="5">
        <f t="shared" si="13"/>
        <v>1874.8410758865007</v>
      </c>
      <c r="CF27" s="5">
        <f>(CA27-CA26)/节奏总纲!W26</f>
        <v>210.23847204671983</v>
      </c>
      <c r="CI27" s="5">
        <v>23</v>
      </c>
      <c r="CJ27" s="5">
        <f t="shared" si="14"/>
        <v>3680</v>
      </c>
      <c r="CK27" s="5">
        <f t="shared" si="15"/>
        <v>3757.6051332667471</v>
      </c>
      <c r="CL27" s="5">
        <f t="shared" si="16"/>
        <v>3903.7631295488845</v>
      </c>
      <c r="CM27" s="5">
        <f t="shared" si="17"/>
        <v>4129.4647233369842</v>
      </c>
      <c r="CN27" s="5">
        <f t="shared" si="18"/>
        <v>4326.5563289688471</v>
      </c>
      <c r="CO27" s="5">
        <f>(CJ27-CJ26)/节奏总纲!W26</f>
        <v>485.16570472320177</v>
      </c>
      <c r="CP27" s="5">
        <f t="shared" si="2"/>
        <v>695.40417676992161</v>
      </c>
      <c r="CR27" s="5">
        <v>23</v>
      </c>
      <c r="CS27" s="5">
        <f t="shared" si="3"/>
        <v>0</v>
      </c>
      <c r="CT27" s="5">
        <f t="shared" si="4"/>
        <v>0</v>
      </c>
      <c r="CU27" s="5">
        <f t="shared" si="5"/>
        <v>0</v>
      </c>
      <c r="CV27" s="5">
        <f t="shared" si="6"/>
        <v>0</v>
      </c>
      <c r="CW27" s="5">
        <f t="shared" si="7"/>
        <v>0</v>
      </c>
      <c r="CX27" s="5">
        <f t="shared" si="20"/>
        <v>0</v>
      </c>
      <c r="CY27" s="5">
        <f t="shared" si="21"/>
        <v>0</v>
      </c>
      <c r="CZ27" s="5">
        <f t="shared" si="22"/>
        <v>0</v>
      </c>
      <c r="DA27" s="5">
        <f t="shared" si="23"/>
        <v>0</v>
      </c>
      <c r="DB27" s="5">
        <f t="shared" si="24"/>
        <v>0</v>
      </c>
    </row>
    <row r="28" spans="2:106" x14ac:dyDescent="0.15">
      <c r="B28" s="5">
        <v>23</v>
      </c>
      <c r="D28" s="5">
        <f>ROUND(130/INDEX('[1]功能-付费相关'!$BB$6:$BB$165,基本信息!U26,1)/1200,0)*600</f>
        <v>1819800</v>
      </c>
      <c r="E28" s="5">
        <v>120</v>
      </c>
      <c r="F28" s="5">
        <f>ROUND(60/INDEX('[1]功能-付费相关'!$AS$6:$AS$165,基本信息!C26,1)/600,0)*600</f>
        <v>52200</v>
      </c>
      <c r="H28" s="5">
        <v>27000</v>
      </c>
      <c r="I28" s="5">
        <f>ROUND(20*4/INDEX('[1]功能-付费相关'!$U$6:$U$165,基本信息!U26,1)/4000,0)*4000/2</f>
        <v>902000</v>
      </c>
      <c r="J28" s="5">
        <f>ROUND(50*2/INDEX('[1]功能-付费相关'!$AS$6:$AS$165,基本信息!U26,1)/2000,0)*2000</f>
        <v>82000</v>
      </c>
      <c r="K28" s="5">
        <v>88</v>
      </c>
      <c r="M28" s="5">
        <v>2</v>
      </c>
      <c r="N28" s="5">
        <v>0</v>
      </c>
      <c r="P28" s="5">
        <v>0</v>
      </c>
      <c r="Q28" s="5">
        <v>0</v>
      </c>
      <c r="S28" s="5">
        <v>23</v>
      </c>
      <c r="T28" s="5">
        <f>基本信息!C26</f>
        <v>69</v>
      </c>
      <c r="U28" s="5">
        <f>基本信息!D26</f>
        <v>66.772631853290434</v>
      </c>
      <c r="V28" s="5">
        <f>基本信息!E26</f>
        <v>65.039789270281958</v>
      </c>
      <c r="W28" s="5">
        <f>基本信息!F26</f>
        <v>62.240560410994611</v>
      </c>
      <c r="X28" s="5">
        <f>基本信息!G26</f>
        <v>60.95040937320038</v>
      </c>
      <c r="AA28" s="5">
        <v>24</v>
      </c>
      <c r="AB28" s="5">
        <f>求节点(T$6:T$44,$C$67:$C$105,$AA28)</f>
        <v>0</v>
      </c>
      <c r="AC28" s="5">
        <f>求节点(U$6:U$44,$C$67:$C$105,$AA28)</f>
        <v>0</v>
      </c>
      <c r="AD28" s="5">
        <f>求节点(V$6:V$44,$C$67:$C$105,$AA28)</f>
        <v>0</v>
      </c>
      <c r="AE28" s="5">
        <f>求节点(W$6:W$44,$C$67:$C$105,$AA28)</f>
        <v>0</v>
      </c>
      <c r="AF28" s="5">
        <f>求节点(X$6:X$44,$C$67:$C$105,$AA28)</f>
        <v>0</v>
      </c>
      <c r="AG28" s="5">
        <f>求节点(T$6:T$44,$D$67:$D$105,$AA28)+求节点(T$67:T$105,$Q$67:$Q$105,$AA28)</f>
        <v>132600</v>
      </c>
      <c r="AH28" s="5">
        <f>求节点(U$6:U$44,$D$67:$D$105,$AA28)+求节点(U$67:U$105,$Q$67:$Q$105,$AA28)</f>
        <v>143063.67895287336</v>
      </c>
      <c r="AI28" s="5">
        <f>求节点(V$6:V$44,$D$67:$D$105,$AA28)+求节点(V$67:V$105,$Q$67:$Q$105,$AA28)</f>
        <v>162455.46689555221</v>
      </c>
      <c r="AJ28" s="5">
        <f>求节点(W$6:W$44,$D$67:$D$105,$AA28)+求节点(W$67:W$105,$Q$67:$Q$105,$AA28)</f>
        <v>191905.86329641883</v>
      </c>
      <c r="AK28" s="5">
        <f>求节点(X$6:X$44,$D$67:$D$105,$AA28)+求节点(X$67:X$105,$Q$67:$Q$105,$AA28)</f>
        <v>224840.88247073413</v>
      </c>
      <c r="AL28" s="5">
        <f>求节点(T$6:T$44,$F$67:$F$105,$AA28)+求节点(T$67:T$105,$P$67:$P$105,$AA28)</f>
        <v>205200</v>
      </c>
      <c r="AM28" s="5">
        <f>求节点(U$6:U$44,$F$67:$F$105,$AA28)+求节点(U$67:U$105,$P$67:$P$105,$AA28)</f>
        <v>210850.3866345516</v>
      </c>
      <c r="AN28" s="5">
        <f>求节点(V$6:V$44,$F$67:$F$105,$AA28)+求节点(V$67:V$105,$P$67:$P$105,$AA28)</f>
        <v>221321.9521235982</v>
      </c>
      <c r="AO28" s="5">
        <f>求节点(W$6:W$44,$F$67:$F$105,$AA28)+求节点(W$67:W$105,$P$67:$P$105,$AA28)</f>
        <v>237225.16618006615</v>
      </c>
      <c r="AP28" s="5">
        <f>求节点(X$6:X$44,$F$67:$F$105,$AA28)+求节点(X$67:X$105,$P$67:$P$105,$AA28)</f>
        <v>250496.35298829366</v>
      </c>
      <c r="AQ28" s="5">
        <f>求节点(T$6:T$44,$H$67:$H$105,$AA28)</f>
        <v>126600</v>
      </c>
      <c r="AR28" s="5">
        <f>求节点(U$6:U$44,$H$67:$H$105,$AA28)</f>
        <v>131308.655528793</v>
      </c>
      <c r="AS28" s="5">
        <f>求节点(V$6:V$44,$H$67:$H$105,$AA28)</f>
        <v>140034.96010299848</v>
      </c>
      <c r="AT28" s="5">
        <f>求节点(W$6:W$44,$H$67:$H$105,$AA28)</f>
        <v>153287.63848338847</v>
      </c>
      <c r="AU28" s="5">
        <f>求节点(X$6:X$44,$H$67:$H$105,$AA28)</f>
        <v>163963.14079416453</v>
      </c>
      <c r="AV28" s="5">
        <f>求节点(T$6:T$44,$I$67:$I$105,$AA28)</f>
        <v>372000</v>
      </c>
      <c r="AW28" s="5">
        <f>求节点(U$6:U$44,$I$67:$I$105,$AA28)</f>
        <v>392927.35790574673</v>
      </c>
      <c r="AX28" s="5">
        <f>求节点(V$6:V$44,$I$67:$I$105,$AA28)</f>
        <v>431710.93379110441</v>
      </c>
      <c r="AY28" s="5">
        <f>求节点(W$6:W$44,$I$67:$I$105,$AA28)</f>
        <v>490611.72659283766</v>
      </c>
      <c r="AZ28" s="5">
        <f>求节点(X$6:X$44,$I$67:$I$105,$AA28)</f>
        <v>546502.4441767172</v>
      </c>
      <c r="BA28" s="5">
        <f>求节点(T$6:T$44,$E$67:$E$105,$AA28)+求节点(T$6:T$44,$K$67:$K$105,$AA28)+求节点(T$67:T$105,$O$67:$O$105,$AA28)</f>
        <v>1664</v>
      </c>
      <c r="BB28" s="5">
        <f>求节点(U$6:U$44,$E$67:$E$105,$AA28)+求节点(U$6:U$44,$K$67:$K$105,$AA28)+求节点(U$67:U$105,$O$67:$O$105,$AA28)</f>
        <v>1700.2740870366276</v>
      </c>
      <c r="BC28" s="5">
        <f>求节点(V$6:V$44,$E$67:$E$105,$AA28)+求节点(V$6:V$44,$K$67:$K$105,$AA28)+求节点(V$67:V$105,$O$67:$O$105,$AA28)</f>
        <v>1767.498951904581</v>
      </c>
      <c r="BD28" s="5">
        <f>求节点(W$6:W$44,$E$67:$E$105,$AA28)+求节点(W$6:W$44,$K$67:$K$105,$AA28)+求节点(W$67:W$105,$O$67:$O$105,$AA28)</f>
        <v>1869.5936594275852</v>
      </c>
      <c r="BE28" s="5">
        <f>求节点(X$6:X$44,$E$67:$E$105,$AA28)+求节点(X$6:X$44,$K$67:$K$105,$AA28)+求节点(X$67:X$105,$O$67:$O$105,$AA28)</f>
        <v>1951.8345661180083</v>
      </c>
      <c r="BF28" s="5">
        <f>求节点(T$6:T$44,$G$67:$G$105,$AA28)</f>
        <v>0</v>
      </c>
      <c r="BG28" s="5">
        <f>求节点(U$6:U$44,$G$67:$G$105,$AA28)</f>
        <v>0</v>
      </c>
      <c r="BH28" s="5">
        <f>求节点(V$6:V$44,$G$67:$G$105,$AA28)</f>
        <v>0</v>
      </c>
      <c r="BI28" s="5">
        <f>求节点(W$6:W$44,$G$67:$G$105,$AA28)</f>
        <v>0</v>
      </c>
      <c r="BJ28" s="5">
        <f>求节点(X$6:X$44,$G$67:$G$105,$AA28)</f>
        <v>0</v>
      </c>
      <c r="BK28" s="5">
        <f>求节点(T$6:T$44,$M$67:$M$105,$AA28)</f>
        <v>16</v>
      </c>
      <c r="BL28" s="5">
        <f>求节点(U$6:U$44,$M$67:$M$105,$AA28)</f>
        <v>16.348789298429111</v>
      </c>
      <c r="BM28" s="5">
        <f>求节点(V$6:V$44,$M$67:$M$105,$AA28)</f>
        <v>16.995182229851739</v>
      </c>
      <c r="BN28" s="5">
        <f>求节点(W$6:W$44,$M$67:$M$105,$AA28)</f>
        <v>17.976862109880628</v>
      </c>
      <c r="BO28" s="5">
        <f>求节点(X$6:X$44,$M$67:$M$105,$AA28)</f>
        <v>18.767640058827002</v>
      </c>
      <c r="BP28" s="5">
        <f>求节点(T$67:T$105,$L$67:$L$105,$AA28)</f>
        <v>0</v>
      </c>
      <c r="BQ28" s="5">
        <f>求节点(U$67:U$105,$L$67:$L$105,$AA28)</f>
        <v>0</v>
      </c>
      <c r="BR28" s="5">
        <f>求节点(V$67:V$105,$L$67:$L$105,$AA28)</f>
        <v>0</v>
      </c>
      <c r="BS28" s="5">
        <f>求节点(W$67:W$105,$L$67:$L$105,$AA28)</f>
        <v>0</v>
      </c>
      <c r="BT28" s="5">
        <f>求节点(X$67:X$105,$L$67:$L$105,$AA28)</f>
        <v>0</v>
      </c>
      <c r="BZ28" s="5">
        <v>24</v>
      </c>
      <c r="CA28" s="5">
        <f t="shared" si="9"/>
        <v>1664</v>
      </c>
      <c r="CB28" s="5">
        <f t="shared" si="10"/>
        <v>1700.2740870366276</v>
      </c>
      <c r="CC28" s="5">
        <f t="shared" si="11"/>
        <v>1767.498951904581</v>
      </c>
      <c r="CD28" s="5">
        <f t="shared" si="12"/>
        <v>1869.5936594275852</v>
      </c>
      <c r="CE28" s="5">
        <f t="shared" si="13"/>
        <v>1951.8345661180083</v>
      </c>
      <c r="CF28" s="5">
        <f>(CA28-CA27)/节奏总纲!W27</f>
        <v>196.15943050987931</v>
      </c>
      <c r="CI28" s="5">
        <v>24</v>
      </c>
      <c r="CJ28" s="5">
        <f t="shared" si="14"/>
        <v>3840</v>
      </c>
      <c r="CK28" s="5">
        <f t="shared" si="15"/>
        <v>3923.7094316229868</v>
      </c>
      <c r="CL28" s="5">
        <f t="shared" si="16"/>
        <v>4078.8437351644175</v>
      </c>
      <c r="CM28" s="5">
        <f t="shared" si="17"/>
        <v>4314.4469063713505</v>
      </c>
      <c r="CN28" s="5">
        <f t="shared" si="18"/>
        <v>4504.2336141184805</v>
      </c>
      <c r="CO28" s="5">
        <f>(CJ28-CJ27)/节奏总纲!W27</f>
        <v>452.67560886895126</v>
      </c>
      <c r="CP28" s="5">
        <f t="shared" si="2"/>
        <v>648.83503937883052</v>
      </c>
      <c r="CR28" s="5">
        <v>24</v>
      </c>
      <c r="CS28" s="5">
        <f t="shared" si="3"/>
        <v>0</v>
      </c>
      <c r="CT28" s="5">
        <f t="shared" si="4"/>
        <v>0</v>
      </c>
      <c r="CU28" s="5">
        <f t="shared" si="5"/>
        <v>0</v>
      </c>
      <c r="CV28" s="5">
        <f t="shared" si="6"/>
        <v>0</v>
      </c>
      <c r="CW28" s="5">
        <f t="shared" si="7"/>
        <v>0</v>
      </c>
      <c r="CX28" s="5">
        <f t="shared" si="20"/>
        <v>0</v>
      </c>
      <c r="CY28" s="5">
        <f t="shared" si="21"/>
        <v>0</v>
      </c>
      <c r="CZ28" s="5">
        <f t="shared" si="22"/>
        <v>0</v>
      </c>
      <c r="DA28" s="5">
        <f t="shared" si="23"/>
        <v>0</v>
      </c>
      <c r="DB28" s="5">
        <f t="shared" si="24"/>
        <v>0</v>
      </c>
    </row>
    <row r="29" spans="2:106" x14ac:dyDescent="0.15">
      <c r="B29" s="5">
        <v>24</v>
      </c>
      <c r="D29" s="5">
        <f>ROUND(130/INDEX('[1]功能-付费相关'!$BB$6:$BB$165,基本信息!U27,1)/1200,0)*600</f>
        <v>2202000</v>
      </c>
      <c r="E29" s="5">
        <v>120</v>
      </c>
      <c r="F29" s="5">
        <f>ROUND(60/INDEX('[1]功能-付费相关'!$AS$6:$AS$165,基本信息!C27,1)/600,0)*600</f>
        <v>54000</v>
      </c>
      <c r="H29" s="5">
        <v>27000</v>
      </c>
      <c r="I29" s="5">
        <f>ROUND(20*4/INDEX('[1]功能-付费相关'!$U$6:$U$165,基本信息!U27,1)/4000,0)*4000/2</f>
        <v>940000</v>
      </c>
      <c r="J29" s="5">
        <f>ROUND(50*2/INDEX('[1]功能-付费相关'!$AS$6:$AS$165,基本信息!U27,1)/2000,0)*2000</f>
        <v>84000</v>
      </c>
      <c r="K29" s="5">
        <v>88</v>
      </c>
      <c r="M29" s="5">
        <v>2</v>
      </c>
      <c r="N29" s="5">
        <v>0</v>
      </c>
      <c r="P29" s="5">
        <v>0</v>
      </c>
      <c r="Q29" s="5">
        <v>0</v>
      </c>
      <c r="S29" s="5">
        <v>24</v>
      </c>
      <c r="T29" s="5">
        <f>基本信息!C27</f>
        <v>72</v>
      </c>
      <c r="U29" s="5">
        <f>基本信息!D27</f>
        <v>69.440609632737917</v>
      </c>
      <c r="V29" s="5">
        <f>基本信息!E27</f>
        <v>67.445554373072483</v>
      </c>
      <c r="W29" s="5">
        <f>基本信息!F27</f>
        <v>64.565962793836292</v>
      </c>
      <c r="X29" s="5">
        <f>基本信息!G27</f>
        <v>63.36294273402045</v>
      </c>
      <c r="AA29" s="5">
        <v>25</v>
      </c>
      <c r="AB29" s="5">
        <f>求节点(T$6:T$44,$C$67:$C$105,$AA29)</f>
        <v>0</v>
      </c>
      <c r="AC29" s="5">
        <f>求节点(U$6:U$44,$C$67:$C$105,$AA29)</f>
        <v>0</v>
      </c>
      <c r="AD29" s="5">
        <f>求节点(V$6:V$44,$C$67:$C$105,$AA29)</f>
        <v>0</v>
      </c>
      <c r="AE29" s="5">
        <f>求节点(W$6:W$44,$C$67:$C$105,$AA29)</f>
        <v>0</v>
      </c>
      <c r="AF29" s="5">
        <f>求节点(X$6:X$44,$C$67:$C$105,$AA29)</f>
        <v>0</v>
      </c>
      <c r="AG29" s="5">
        <f>求节点(T$6:T$44,$D$67:$D$105,$AA29)+求节点(T$67:T$105,$Q$67:$Q$105,$AA29)</f>
        <v>152600</v>
      </c>
      <c r="AH29" s="5">
        <f>求节点(U$6:U$44,$D$67:$D$105,$AA29)+求节点(U$67:U$105,$Q$67:$Q$105,$AA29)</f>
        <v>163969.80898899696</v>
      </c>
      <c r="AI29" s="5">
        <f>求节点(V$6:V$44,$D$67:$D$105,$AA29)+求节点(V$67:V$105,$Q$67:$Q$105,$AA29)</f>
        <v>184340.54259749386</v>
      </c>
      <c r="AJ29" s="5">
        <f>求节点(W$6:W$44,$D$67:$D$105,$AA29)+求节点(W$67:W$105,$Q$67:$Q$105,$AA29)</f>
        <v>220981.41517881345</v>
      </c>
      <c r="AK29" s="5">
        <f>求节点(X$6:X$44,$D$67:$D$105,$AA29)+求节点(X$67:X$105,$Q$67:$Q$105,$AA29)</f>
        <v>255934.40737191992</v>
      </c>
      <c r="AL29" s="5">
        <f>求节点(T$6:T$44,$F$67:$F$105,$AA29)+求节点(T$67:T$105,$P$67:$P$105,$AA29)</f>
        <v>216000</v>
      </c>
      <c r="AM29" s="5">
        <f>求节点(U$6:U$44,$F$67:$F$105,$AA29)+求节点(U$67:U$105,$P$67:$P$105,$AA29)</f>
        <v>222139.69685405836</v>
      </c>
      <c r="AN29" s="5">
        <f>求节点(V$6:V$44,$F$67:$F$105,$AA29)+求节点(V$67:V$105,$P$67:$P$105,$AA29)</f>
        <v>233139.89300264668</v>
      </c>
      <c r="AO29" s="5">
        <f>求节点(W$6:W$44,$F$67:$F$105,$AA29)+求节点(W$67:W$105,$P$67:$P$105,$AA29)</f>
        <v>248952.56607152539</v>
      </c>
      <c r="AP29" s="5">
        <f>求节点(X$6:X$44,$F$67:$F$105,$AA29)+求节点(X$67:X$105,$P$67:$P$105,$AA29)</f>
        <v>262933.76294876798</v>
      </c>
      <c r="AQ29" s="5">
        <f>求节点(T$6:T$44,$H$67:$H$105,$AA29)</f>
        <v>135600</v>
      </c>
      <c r="AR29" s="5">
        <f>求节点(U$6:U$44,$H$67:$H$105,$AA29)</f>
        <v>140716.41404504864</v>
      </c>
      <c r="AS29" s="5">
        <f>求节点(V$6:V$44,$H$67:$H$105,$AA29)</f>
        <v>149883.24416887225</v>
      </c>
      <c r="AT29" s="5">
        <f>求节点(W$6:W$44,$H$67:$H$105,$AA29)</f>
        <v>162722.59773604717</v>
      </c>
      <c r="AU29" s="5">
        <f>求节点(X$6:X$44,$H$67:$H$105,$AA29)</f>
        <v>173957.48808383141</v>
      </c>
      <c r="AV29" s="5">
        <f>求节点(T$6:T$44,$I$67:$I$105,$AA29)</f>
        <v>412000</v>
      </c>
      <c r="AW29" s="5">
        <f>求节点(U$6:U$44,$I$67:$I$105,$AA29)</f>
        <v>434739.61797799391</v>
      </c>
      <c r="AX29" s="5">
        <f>求节点(V$6:V$44,$I$67:$I$105,$AA29)</f>
        <v>475481.08519498771</v>
      </c>
      <c r="AY29" s="5">
        <f>求节点(W$6:W$44,$I$67:$I$105,$AA29)</f>
        <v>539978.10661180364</v>
      </c>
      <c r="AZ29" s="5">
        <f>求节点(X$6:X$44,$I$67:$I$105,$AA29)</f>
        <v>599065.3077001503</v>
      </c>
      <c r="BA29" s="5">
        <f>求节点(T$6:T$44,$E$67:$E$105,$AA29)+求节点(T$6:T$44,$K$67:$K$105,$AA29)+求节点(T$67:T$105,$O$67:$O$105,$AA29)</f>
        <v>1733.3333333333335</v>
      </c>
      <c r="BB29" s="5">
        <f>求节点(U$6:U$44,$E$67:$E$105,$AA29)+求节点(U$6:U$44,$K$67:$K$105,$AA29)+求节点(U$67:U$105,$O$67:$O$105,$AA29)</f>
        <v>1772.7486711618562</v>
      </c>
      <c r="BC29" s="5">
        <f>求节点(V$6:V$44,$E$67:$E$105,$AA29)+求节点(V$6:V$44,$K$67:$K$105,$AA29)+求节点(V$67:V$105,$O$67:$O$105,$AA29)</f>
        <v>1843.3672143379788</v>
      </c>
      <c r="BD29" s="5">
        <f>求节点(W$6:W$44,$E$67:$E$105,$AA29)+求节点(W$6:W$44,$K$67:$K$105,$AA29)+求节点(W$67:W$105,$O$67:$O$105,$AA29)</f>
        <v>1942.2777899665857</v>
      </c>
      <c r="BE29" s="5">
        <f>求节点(X$6:X$44,$E$67:$E$105,$AA29)+求节点(X$6:X$44,$K$67:$K$105,$AA29)+求节点(X$67:X$105,$O$67:$O$105,$AA29)</f>
        <v>2028.8280563495159</v>
      </c>
      <c r="BF29" s="5">
        <f>求节点(T$6:T$44,$G$67:$G$105,$AA29)</f>
        <v>0</v>
      </c>
      <c r="BG29" s="5">
        <f>求节点(U$6:U$44,$G$67:$G$105,$AA29)</f>
        <v>0</v>
      </c>
      <c r="BH29" s="5">
        <f>求节点(V$6:V$44,$G$67:$G$105,$AA29)</f>
        <v>0</v>
      </c>
      <c r="BI29" s="5">
        <f>求节点(W$6:W$44,$G$67:$G$105,$AA29)</f>
        <v>0</v>
      </c>
      <c r="BJ29" s="5">
        <f>求节点(X$6:X$44,$G$67:$G$105,$AA29)</f>
        <v>0</v>
      </c>
      <c r="BK29" s="5">
        <f>求节点(T$6:T$44,$M$67:$M$105,$AA29)</f>
        <v>16.666666666666668</v>
      </c>
      <c r="BL29" s="5">
        <f>求节点(U$6:U$44,$M$67:$M$105,$AA29)</f>
        <v>17.045660299633234</v>
      </c>
      <c r="BM29" s="5">
        <f>求节点(V$6:V$44,$M$67:$M$105,$AA29)</f>
        <v>17.724684753249797</v>
      </c>
      <c r="BN29" s="5">
        <f>求节点(W$6:W$44,$M$67:$M$105,$AA29)</f>
        <v>18.675747980447941</v>
      </c>
      <c r="BO29" s="5">
        <f>求节点(X$6:X$44,$M$67:$M$105,$AA29)</f>
        <v>19.507962080283807</v>
      </c>
      <c r="BP29" s="5">
        <f>求节点(T$67:T$105,$L$67:$L$105,$AA29)</f>
        <v>0</v>
      </c>
      <c r="BQ29" s="5">
        <f>求节点(U$67:U$105,$L$67:$L$105,$AA29)</f>
        <v>0</v>
      </c>
      <c r="BR29" s="5">
        <f>求节点(V$67:V$105,$L$67:$L$105,$AA29)</f>
        <v>0</v>
      </c>
      <c r="BS29" s="5">
        <f>求节点(W$67:W$105,$L$67:$L$105,$AA29)</f>
        <v>0</v>
      </c>
      <c r="BT29" s="5">
        <f>求节点(X$67:X$105,$L$67:$L$105,$AA29)</f>
        <v>0</v>
      </c>
      <c r="BZ29" s="5">
        <v>25</v>
      </c>
      <c r="CA29" s="5">
        <f t="shared" si="9"/>
        <v>1733.3333333333335</v>
      </c>
      <c r="CB29" s="5">
        <f t="shared" si="10"/>
        <v>1772.7486711618562</v>
      </c>
      <c r="CC29" s="5">
        <f t="shared" si="11"/>
        <v>1843.3672143379788</v>
      </c>
      <c r="CD29" s="5">
        <f t="shared" si="12"/>
        <v>1942.2777899665857</v>
      </c>
      <c r="CE29" s="5">
        <f t="shared" si="13"/>
        <v>2028.8280563495159</v>
      </c>
      <c r="CF29" s="5">
        <f>(CA29-CA28)/节奏总纲!W28</f>
        <v>183.02322026678917</v>
      </c>
      <c r="CI29" s="5">
        <v>25</v>
      </c>
      <c r="CJ29" s="5">
        <f t="shared" si="14"/>
        <v>4000.0000000000005</v>
      </c>
      <c r="CK29" s="5">
        <f t="shared" si="15"/>
        <v>4090.9584719119762</v>
      </c>
      <c r="CL29" s="5">
        <f t="shared" si="16"/>
        <v>4253.9243407799513</v>
      </c>
      <c r="CM29" s="5">
        <f t="shared" si="17"/>
        <v>4482.1795153075054</v>
      </c>
      <c r="CN29" s="5">
        <f t="shared" si="18"/>
        <v>4681.910899268114</v>
      </c>
      <c r="CO29" s="5">
        <f>(CJ29-CJ28)/节奏总纲!W28</f>
        <v>422.3612775387445</v>
      </c>
      <c r="CP29" s="5">
        <f t="shared" si="2"/>
        <v>605.38449780553367</v>
      </c>
      <c r="CR29" s="5">
        <v>25</v>
      </c>
      <c r="CS29" s="5">
        <f t="shared" si="3"/>
        <v>0</v>
      </c>
      <c r="CT29" s="5">
        <f t="shared" si="4"/>
        <v>0</v>
      </c>
      <c r="CU29" s="5">
        <f t="shared" si="5"/>
        <v>0</v>
      </c>
      <c r="CV29" s="5">
        <f t="shared" si="6"/>
        <v>0</v>
      </c>
      <c r="CW29" s="5">
        <f t="shared" si="7"/>
        <v>0</v>
      </c>
      <c r="CX29" s="5">
        <f t="shared" si="20"/>
        <v>0</v>
      </c>
      <c r="CY29" s="5">
        <f t="shared" si="21"/>
        <v>0</v>
      </c>
      <c r="CZ29" s="5">
        <f t="shared" si="22"/>
        <v>0</v>
      </c>
      <c r="DA29" s="5">
        <f t="shared" si="23"/>
        <v>0</v>
      </c>
      <c r="DB29" s="5">
        <f t="shared" si="24"/>
        <v>0</v>
      </c>
    </row>
    <row r="30" spans="2:106" x14ac:dyDescent="0.15">
      <c r="B30" s="5">
        <v>25</v>
      </c>
      <c r="D30" s="5">
        <f>ROUND(130/INDEX('[1]功能-付费相关'!$BB$6:$BB$165,基本信息!U28,1)/1200,0)*600</f>
        <v>2664000</v>
      </c>
      <c r="E30" s="5">
        <v>120</v>
      </c>
      <c r="F30" s="5">
        <f>ROUND(60/INDEX('[1]功能-付费相关'!$AS$6:$AS$165,基本信息!C28,1)/600,0)*600</f>
        <v>55200</v>
      </c>
      <c r="H30" s="5">
        <v>27000</v>
      </c>
      <c r="I30" s="5">
        <f>ROUND(20*4/INDEX('[1]功能-付费相关'!$U$6:$U$165,基本信息!U28,1)/4000,0)*4000/2</f>
        <v>982000</v>
      </c>
      <c r="J30" s="5">
        <f>ROUND(50*2/INDEX('[1]功能-付费相关'!$AS$6:$AS$165,基本信息!U28,1)/2000,0)*2000</f>
        <v>84000</v>
      </c>
      <c r="K30" s="5">
        <v>88</v>
      </c>
      <c r="M30" s="5">
        <v>2</v>
      </c>
      <c r="N30" s="5">
        <v>0</v>
      </c>
      <c r="P30" s="5">
        <v>0</v>
      </c>
      <c r="Q30" s="5">
        <v>0</v>
      </c>
      <c r="S30" s="5">
        <v>25</v>
      </c>
      <c r="T30" s="5">
        <f>基本信息!C28</f>
        <v>75</v>
      </c>
      <c r="U30" s="5">
        <f>基本信息!D28</f>
        <v>72.551287870200269</v>
      </c>
      <c r="V30" s="5">
        <f>基本信息!E28</f>
        <v>70.146468785313871</v>
      </c>
      <c r="W30" s="5">
        <f>基本信息!F28</f>
        <v>67.229111128152894</v>
      </c>
      <c r="X30" s="5">
        <f>基本信息!G28</f>
        <v>66.084076643123851</v>
      </c>
      <c r="AA30" s="5">
        <v>26</v>
      </c>
      <c r="AB30" s="5">
        <f>求节点(T$6:T$44,$C$67:$C$105,$AA30)</f>
        <v>0</v>
      </c>
      <c r="AC30" s="5">
        <f>求节点(U$6:U$44,$C$67:$C$105,$AA30)</f>
        <v>0</v>
      </c>
      <c r="AD30" s="5">
        <f>求节点(V$6:V$44,$C$67:$C$105,$AA30)</f>
        <v>0</v>
      </c>
      <c r="AE30" s="5">
        <f>求节点(W$6:W$44,$C$67:$C$105,$AA30)</f>
        <v>0</v>
      </c>
      <c r="AF30" s="5">
        <f>求节点(X$6:X$44,$C$67:$C$105,$AA30)</f>
        <v>0</v>
      </c>
      <c r="AG30" s="5">
        <f>求节点(T$6:T$44,$D$67:$D$105,$AA30)+求节点(T$67:T$105,$Q$67:$Q$105,$AA30)</f>
        <v>172600</v>
      </c>
      <c r="AH30" s="5">
        <f>求节点(U$6:U$44,$D$67:$D$105,$AA30)+求节点(U$67:U$105,$Q$67:$Q$105,$AA30)</f>
        <v>184875.93902512058</v>
      </c>
      <c r="AI30" s="5">
        <f>求节点(V$6:V$44,$D$67:$D$105,$AA30)+求节点(V$67:V$105,$Q$67:$Q$105,$AA30)</f>
        <v>210857.48539147287</v>
      </c>
      <c r="AJ30" s="5">
        <f>求节点(W$6:W$44,$D$67:$D$105,$AA30)+求节点(W$67:W$105,$Q$67:$Q$105,$AA30)</f>
        <v>250241.19771892557</v>
      </c>
      <c r="AK30" s="5">
        <f>求节点(X$6:X$44,$D$67:$D$105,$AA30)+求节点(X$67:X$105,$Q$67:$Q$105,$AA30)</f>
        <v>290916.22254808969</v>
      </c>
      <c r="AL30" s="5">
        <f>求节点(T$6:T$44,$F$67:$F$105,$AA30)+求节点(T$67:T$105,$P$67:$P$105,$AA30)</f>
        <v>226800</v>
      </c>
      <c r="AM30" s="5">
        <f>求节点(U$6:U$44,$F$67:$F$105,$AA30)+求节点(U$67:U$105,$P$67:$P$105,$AA30)</f>
        <v>233429.0070735651</v>
      </c>
      <c r="AN30" s="5">
        <f>求节点(V$6:V$44,$F$67:$F$105,$AA30)+求节点(V$67:V$105,$P$67:$P$105,$AA30)</f>
        <v>244902.99415658915</v>
      </c>
      <c r="AO30" s="5">
        <f>求节点(W$6:W$44,$F$67:$F$105,$AA30)+求节点(W$67:W$105,$P$67:$P$105,$AA30)</f>
        <v>260656.47908757022</v>
      </c>
      <c r="AP30" s="5">
        <f>求节点(X$6:X$44,$F$67:$F$105,$AA30)+求节点(X$67:X$105,$P$67:$P$105,$AA30)</f>
        <v>275547.33459575498</v>
      </c>
      <c r="AQ30" s="5">
        <f>求节点(T$6:T$44,$H$67:$H$105,$AA30)</f>
        <v>144600</v>
      </c>
      <c r="AR30" s="5">
        <f>求节点(U$6:U$44,$H$67:$H$105,$AA30)</f>
        <v>150124.17256130427</v>
      </c>
      <c r="AS30" s="5">
        <f>求节点(V$6:V$44,$H$67:$H$105,$AA30)</f>
        <v>159468.47744725915</v>
      </c>
      <c r="AT30" s="5">
        <f>求节点(W$6:W$44,$H$67:$H$105,$AA30)</f>
        <v>172127.52783822609</v>
      </c>
      <c r="AU30" s="5">
        <f>求节点(X$6:X$44,$H$67:$H$105,$AA30)</f>
        <v>183972.93201394784</v>
      </c>
      <c r="AV30" s="5">
        <f>求节点(T$6:T$44,$I$67:$I$105,$AA30)</f>
        <v>452000</v>
      </c>
      <c r="AW30" s="5">
        <f>求节点(U$6:U$44,$I$67:$I$105,$AA30)</f>
        <v>476551.87805024115</v>
      </c>
      <c r="AX30" s="5">
        <f>求节点(V$6:V$44,$I$67:$I$105,$AA30)</f>
        <v>522863.84435225179</v>
      </c>
      <c r="AY30" s="5">
        <f>求节点(W$6:W$44,$I$67:$I$105,$AA30)</f>
        <v>589441.07233437418</v>
      </c>
      <c r="AZ30" s="5">
        <f>求节点(X$6:X$44,$I$67:$I$105,$AA30)</f>
        <v>655236.97934707894</v>
      </c>
      <c r="BA30" s="5">
        <f>求节点(T$6:T$44,$E$67:$E$105,$AA30)+求节点(T$6:T$44,$K$67:$K$105,$AA30)+求节点(T$67:T$105,$O$67:$O$105,$AA30)</f>
        <v>1802.6666666666665</v>
      </c>
      <c r="BB30" s="5">
        <f>求节点(U$6:U$44,$E$67:$E$105,$AA30)+求节点(U$6:U$44,$K$67:$K$105,$AA30)+求节点(U$67:U$105,$O$67:$O$105,$AA30)</f>
        <v>1845.2232552870846</v>
      </c>
      <c r="BC30" s="5">
        <f>求节点(V$6:V$44,$E$67:$E$105,$AA30)+求节点(V$6:V$44,$K$67:$K$105,$AA30)+求节点(V$67:V$105,$O$67:$O$105,$AA30)</f>
        <v>1917.2090114455518</v>
      </c>
      <c r="BD30" s="5">
        <f>求节点(W$6:W$44,$E$67:$E$105,$AA30)+求节点(W$6:W$44,$K$67:$K$105,$AA30)+求节点(W$67:W$105,$O$67:$O$105,$AA30)</f>
        <v>2014.7305848278156</v>
      </c>
      <c r="BE30" s="5">
        <f>求节点(X$6:X$44,$E$67:$E$105,$AA30)+求节点(X$6:X$44,$K$67:$K$105,$AA30)+求节点(X$67:X$105,$O$67:$O$105,$AA30)</f>
        <v>2105.9840688481909</v>
      </c>
      <c r="BF30" s="5">
        <f>求节点(T$6:T$44,$G$67:$G$105,$AA30)</f>
        <v>0</v>
      </c>
      <c r="BG30" s="5">
        <f>求节点(U$6:U$44,$G$67:$G$105,$AA30)</f>
        <v>0</v>
      </c>
      <c r="BH30" s="5">
        <f>求节点(V$6:V$44,$G$67:$G$105,$AA30)</f>
        <v>0</v>
      </c>
      <c r="BI30" s="5">
        <f>求节点(W$6:W$44,$G$67:$G$105,$AA30)</f>
        <v>0</v>
      </c>
      <c r="BJ30" s="5">
        <f>求节点(X$6:X$44,$G$67:$G$105,$AA30)</f>
        <v>0</v>
      </c>
      <c r="BK30" s="5">
        <f>求节点(T$6:T$44,$M$67:$M$105,$AA30)</f>
        <v>17.333333333333332</v>
      </c>
      <c r="BL30" s="5">
        <f>求节点(U$6:U$44,$M$67:$M$105,$AA30)</f>
        <v>17.742531300837353</v>
      </c>
      <c r="BM30" s="5">
        <f>求节点(V$6:V$44,$M$67:$M$105,$AA30)</f>
        <v>18.434702033130307</v>
      </c>
      <c r="BN30" s="5">
        <f>求节点(W$6:W$44,$M$67:$M$105,$AA30)</f>
        <v>19.37240946949823</v>
      </c>
      <c r="BO30" s="5">
        <f>求节点(X$6:X$44,$M$67:$M$105,$AA30)</f>
        <v>20.249846815847988</v>
      </c>
      <c r="BP30" s="5">
        <f>求节点(T$67:T$105,$L$67:$L$105,$AA30)</f>
        <v>0</v>
      </c>
      <c r="BQ30" s="5">
        <f>求节点(U$67:U$105,$L$67:$L$105,$AA30)</f>
        <v>0</v>
      </c>
      <c r="BR30" s="5">
        <f>求节点(V$67:V$105,$L$67:$L$105,$AA30)</f>
        <v>0</v>
      </c>
      <c r="BS30" s="5">
        <f>求节点(W$67:W$105,$L$67:$L$105,$AA30)</f>
        <v>0</v>
      </c>
      <c r="BT30" s="5">
        <f>求节点(X$67:X$105,$L$67:$L$105,$AA30)</f>
        <v>0</v>
      </c>
      <c r="BZ30" s="5">
        <v>26</v>
      </c>
      <c r="CA30" s="5">
        <f t="shared" si="9"/>
        <v>1802.6666666666665</v>
      </c>
      <c r="CB30" s="5">
        <f t="shared" si="10"/>
        <v>1845.2232552870846</v>
      </c>
      <c r="CC30" s="5">
        <f t="shared" si="11"/>
        <v>1917.2090114455518</v>
      </c>
      <c r="CD30" s="5">
        <f t="shared" si="12"/>
        <v>2014.7305848278156</v>
      </c>
      <c r="CE30" s="5">
        <f t="shared" si="13"/>
        <v>2105.9840688481909</v>
      </c>
      <c r="CF30" s="5">
        <f>(CA30-CA29)/节奏总纲!W29</f>
        <v>170.76670272622181</v>
      </c>
      <c r="CI30" s="5">
        <v>26</v>
      </c>
      <c r="CJ30" s="5">
        <f t="shared" si="14"/>
        <v>4160</v>
      </c>
      <c r="CK30" s="5">
        <f t="shared" si="15"/>
        <v>4258.2075122009646</v>
      </c>
      <c r="CL30" s="5">
        <f t="shared" si="16"/>
        <v>4424.3284879512739</v>
      </c>
      <c r="CM30" s="5">
        <f t="shared" si="17"/>
        <v>4649.3782726795753</v>
      </c>
      <c r="CN30" s="5">
        <f t="shared" si="18"/>
        <v>4859.9632358035169</v>
      </c>
      <c r="CO30" s="5">
        <f>(CJ30-CJ29)/节奏总纲!W29</f>
        <v>394.07700629128169</v>
      </c>
      <c r="CP30" s="5">
        <f t="shared" si="2"/>
        <v>564.84370901750344</v>
      </c>
      <c r="CR30" s="5">
        <v>26</v>
      </c>
      <c r="CS30" s="5">
        <f t="shared" si="3"/>
        <v>0</v>
      </c>
      <c r="CT30" s="5">
        <f t="shared" si="4"/>
        <v>0</v>
      </c>
      <c r="CU30" s="5">
        <f t="shared" si="5"/>
        <v>0</v>
      </c>
      <c r="CV30" s="5">
        <f t="shared" si="6"/>
        <v>0</v>
      </c>
      <c r="CW30" s="5">
        <f t="shared" si="7"/>
        <v>0</v>
      </c>
      <c r="CX30" s="5">
        <f t="shared" si="20"/>
        <v>0</v>
      </c>
      <c r="CY30" s="5">
        <f t="shared" si="21"/>
        <v>0</v>
      </c>
      <c r="CZ30" s="5">
        <f t="shared" si="22"/>
        <v>0</v>
      </c>
      <c r="DA30" s="5">
        <f t="shared" si="23"/>
        <v>0</v>
      </c>
      <c r="DB30" s="5">
        <f t="shared" si="24"/>
        <v>0</v>
      </c>
    </row>
    <row r="31" spans="2:106" x14ac:dyDescent="0.15">
      <c r="B31" s="5">
        <v>26</v>
      </c>
      <c r="D31" s="5">
        <f>ROUND(130/INDEX('[1]功能-付费相关'!$BB$6:$BB$165,基本信息!U29,1)/1200,0)*600</f>
        <v>3223800</v>
      </c>
      <c r="E31" s="5">
        <v>120</v>
      </c>
      <c r="F31" s="5">
        <f>ROUND(60/INDEX('[1]功能-付费相关'!$AS$6:$AS$165,基本信息!C29,1)/600,0)*600</f>
        <v>56400</v>
      </c>
      <c r="H31" s="5">
        <v>27000</v>
      </c>
      <c r="I31" s="5">
        <f>ROUND(20*4/INDEX('[1]功能-付费相关'!$U$6:$U$165,基本信息!U29,1)/4000,0)*4000/2</f>
        <v>1024000</v>
      </c>
      <c r="J31" s="5">
        <f>ROUND(50*2/INDEX('[1]功能-付费相关'!$AS$6:$AS$165,基本信息!U29,1)/2000,0)*2000</f>
        <v>86000</v>
      </c>
      <c r="K31" s="5">
        <v>88</v>
      </c>
      <c r="M31" s="5">
        <v>2</v>
      </c>
      <c r="N31" s="5">
        <v>0</v>
      </c>
      <c r="P31" s="5">
        <v>0</v>
      </c>
      <c r="Q31" s="5">
        <v>0</v>
      </c>
      <c r="S31" s="5">
        <v>26</v>
      </c>
      <c r="T31" s="5">
        <f>基本信息!C29</f>
        <v>78</v>
      </c>
      <c r="U31" s="5">
        <f>基本信息!D29</f>
        <v>75.603800187926879</v>
      </c>
      <c r="V31" s="5">
        <f>基本信息!E29</f>
        <v>73.405577469188358</v>
      </c>
      <c r="W31" s="5">
        <f>基本信息!F29</f>
        <v>69.877865220905022</v>
      </c>
      <c r="X31" s="5">
        <f>基本信息!G29</f>
        <v>68.722086327728192</v>
      </c>
      <c r="AA31" s="5">
        <v>27</v>
      </c>
      <c r="AB31" s="5">
        <f>求节点(T$6:T$44,$C$67:$C$105,$AA31)</f>
        <v>0</v>
      </c>
      <c r="AC31" s="5">
        <f>求节点(U$6:U$44,$C$67:$C$105,$AA31)</f>
        <v>0</v>
      </c>
      <c r="AD31" s="5">
        <f>求节点(V$6:V$44,$C$67:$C$105,$AA31)</f>
        <v>0</v>
      </c>
      <c r="AE31" s="5">
        <f>求节点(W$6:W$44,$C$67:$C$105,$AA31)</f>
        <v>0</v>
      </c>
      <c r="AF31" s="5">
        <f>求节点(X$6:X$44,$C$67:$C$105,$AA31)</f>
        <v>0</v>
      </c>
      <c r="AG31" s="5">
        <f>求节点(T$6:T$44,$D$67:$D$105,$AA31)+求节点(T$67:T$105,$Q$67:$Q$105,$AA31)</f>
        <v>192600</v>
      </c>
      <c r="AH31" s="5">
        <f>求节点(U$6:U$44,$D$67:$D$105,$AA31)+求节点(U$67:U$105,$Q$67:$Q$105,$AA31)</f>
        <v>211272.94097923758</v>
      </c>
      <c r="AI31" s="5">
        <f>求节点(V$6:V$44,$D$67:$D$105,$AA31)+求节点(V$67:V$105,$Q$67:$Q$105,$AA31)</f>
        <v>240182.13262131868</v>
      </c>
      <c r="AJ31" s="5">
        <f>求节点(W$6:W$44,$D$67:$D$105,$AA31)+求节点(W$67:W$105,$Q$67:$Q$105,$AA31)</f>
        <v>281258.50308574387</v>
      </c>
      <c r="AK31" s="5">
        <f>求节点(X$6:X$44,$D$67:$D$105,$AA31)+求节点(X$67:X$105,$Q$67:$Q$105,$AA31)</f>
        <v>333603.67108839081</v>
      </c>
      <c r="AL31" s="5">
        <f>求节点(T$6:T$44,$F$67:$F$105,$AA31)+求节点(T$67:T$105,$P$67:$P$105,$AA31)</f>
        <v>237600</v>
      </c>
      <c r="AM31" s="5">
        <f>求节点(U$6:U$44,$F$67:$F$105,$AA31)+求节点(U$67:U$105,$P$67:$P$105,$AA31)</f>
        <v>245069.17639169504</v>
      </c>
      <c r="AN31" s="5">
        <f>求节点(V$6:V$44,$F$67:$F$105,$AA31)+求节点(V$67:V$105,$P$67:$P$105,$AA31)</f>
        <v>256632.85304852747</v>
      </c>
      <c r="AO31" s="5">
        <f>求节点(W$6:W$44,$F$67:$F$105,$AA31)+求节点(W$67:W$105,$P$67:$P$105,$AA31)</f>
        <v>272614.62397368136</v>
      </c>
      <c r="AP31" s="5">
        <f>求节点(X$6:X$44,$F$67:$F$105,$AA31)+求节点(X$67:X$105,$P$67:$P$105,$AA31)</f>
        <v>288510.01530432812</v>
      </c>
      <c r="AQ31" s="5">
        <f>求节点(T$6:T$44,$H$67:$H$105,$AA31)</f>
        <v>153600</v>
      </c>
      <c r="AR31" s="5">
        <f>求节点(U$6:U$44,$H$67:$H$105,$AA31)</f>
        <v>159602.01674332636</v>
      </c>
      <c r="AS31" s="5">
        <f>求节点(V$6:V$44,$H$67:$H$105,$AA31)</f>
        <v>168894.25691399528</v>
      </c>
      <c r="AT31" s="5">
        <f>求节点(W$6:W$44,$H$67:$H$105,$AA31)</f>
        <v>181697.55308302864</v>
      </c>
      <c r="AU31" s="5">
        <f>求节点(X$6:X$44,$H$67:$H$105,$AA31)</f>
        <v>194030.18428784076</v>
      </c>
      <c r="AV31" s="5">
        <f>求节点(T$6:T$44,$I$67:$I$105,$AA31)</f>
        <v>492000</v>
      </c>
      <c r="AW31" s="5">
        <f>求节点(U$6:U$44,$I$67:$I$105,$AA31)</f>
        <v>523566.1621315683</v>
      </c>
      <c r="AX31" s="5">
        <f>求节点(V$6:V$44,$I$67:$I$105,$AA31)</f>
        <v>572436.46228841972</v>
      </c>
      <c r="AY31" s="5">
        <f>求节点(W$6:W$44,$I$67:$I$105,$AA31)</f>
        <v>640910.51941166189</v>
      </c>
      <c r="AZ31" s="5">
        <f>求节点(X$6:X$44,$I$67:$I$105,$AA31)</f>
        <v>718560.41959010856</v>
      </c>
      <c r="BA31" s="5">
        <f>求节点(T$6:T$44,$E$67:$E$105,$AA31)+求节点(T$6:T$44,$K$67:$K$105,$AA31)+求节点(T$67:T$105,$O$67:$O$105,$AA31)</f>
        <v>1872</v>
      </c>
      <c r="BB31" s="5">
        <f>求节点(U$6:U$44,$E$67:$E$105,$AA31)+求节点(U$6:U$44,$K$67:$K$105,$AA31)+求节点(U$67:U$105,$O$67:$O$105,$AA31)</f>
        <v>1918.2377586152552</v>
      </c>
      <c r="BC31" s="5">
        <f>求节点(V$6:V$44,$E$67:$E$105,$AA31)+求节点(V$6:V$44,$K$67:$K$105,$AA31)+求节点(V$67:V$105,$O$67:$O$105,$AA31)</f>
        <v>1989.8224236337414</v>
      </c>
      <c r="BD31" s="5">
        <f>求节点(W$6:W$44,$E$67:$E$105,$AA31)+求节点(W$6:W$44,$K$67:$K$105,$AA31)+求节点(W$67:W$105,$O$67:$O$105,$AA31)</f>
        <v>2088.4552237507392</v>
      </c>
      <c r="BE31" s="5">
        <f>求节点(X$6:X$44,$E$67:$E$105,$AA31)+求节点(X$6:X$44,$K$67:$K$105,$AA31)+求节点(X$67:X$105,$O$67:$O$105,$AA31)</f>
        <v>2183.4621604396621</v>
      </c>
      <c r="BF31" s="5">
        <f>求节点(T$6:T$44,$G$67:$G$105,$AA31)</f>
        <v>0</v>
      </c>
      <c r="BG31" s="5">
        <f>求节点(U$6:U$44,$G$67:$G$105,$AA31)</f>
        <v>0</v>
      </c>
      <c r="BH31" s="5">
        <f>求节点(V$6:V$44,$G$67:$G$105,$AA31)</f>
        <v>0</v>
      </c>
      <c r="BI31" s="5">
        <f>求节点(W$6:W$44,$G$67:$G$105,$AA31)</f>
        <v>0</v>
      </c>
      <c r="BJ31" s="5">
        <f>求节点(X$6:X$44,$G$67:$G$105,$AA31)</f>
        <v>0</v>
      </c>
      <c r="BK31" s="5">
        <f>求节点(T$6:T$44,$M$67:$M$105,$AA31)</f>
        <v>18</v>
      </c>
      <c r="BL31" s="5">
        <f>求节点(U$6:U$44,$M$67:$M$105,$AA31)</f>
        <v>18.44459383283899</v>
      </c>
      <c r="BM31" s="5">
        <f>求节点(V$6:V$44,$M$67:$M$105,$AA31)</f>
        <v>19.132907919555208</v>
      </c>
      <c r="BN31" s="5">
        <f>求节点(W$6:W$44,$M$67:$M$105,$AA31)</f>
        <v>20.081300228372491</v>
      </c>
      <c r="BO31" s="5">
        <f>求节点(X$6:X$44,$M$67:$M$105,$AA31)</f>
        <v>20.994828465765984</v>
      </c>
      <c r="BP31" s="5">
        <f>求节点(T$67:T$105,$L$67:$L$105,$AA31)</f>
        <v>0</v>
      </c>
      <c r="BQ31" s="5">
        <f>求节点(U$67:U$105,$L$67:$L$105,$AA31)</f>
        <v>0</v>
      </c>
      <c r="BR31" s="5">
        <f>求节点(V$67:V$105,$L$67:$L$105,$AA31)</f>
        <v>0</v>
      </c>
      <c r="BS31" s="5">
        <f>求节点(W$67:W$105,$L$67:$L$105,$AA31)</f>
        <v>0</v>
      </c>
      <c r="BT31" s="5">
        <f>求节点(X$67:X$105,$L$67:$L$105,$AA31)</f>
        <v>0</v>
      </c>
      <c r="BZ31" s="5">
        <v>27</v>
      </c>
      <c r="CA31" s="5">
        <f t="shared" si="9"/>
        <v>1872</v>
      </c>
      <c r="CB31" s="5">
        <f t="shared" si="10"/>
        <v>1918.2377586152552</v>
      </c>
      <c r="CC31" s="5">
        <f t="shared" si="11"/>
        <v>1989.8224236337414</v>
      </c>
      <c r="CD31" s="5">
        <f t="shared" si="12"/>
        <v>2088.4552237507392</v>
      </c>
      <c r="CE31" s="5">
        <f t="shared" si="13"/>
        <v>2183.4621604396621</v>
      </c>
      <c r="CF31" s="5">
        <f>(CA31-CA30)/节奏总纲!W30</f>
        <v>159.33096749952387</v>
      </c>
      <c r="CI31" s="5">
        <v>27</v>
      </c>
      <c r="CJ31" s="5">
        <f t="shared" si="14"/>
        <v>4320</v>
      </c>
      <c r="CK31" s="5">
        <f t="shared" si="15"/>
        <v>4426.7025198813571</v>
      </c>
      <c r="CL31" s="5">
        <f t="shared" si="16"/>
        <v>4591.8979006932495</v>
      </c>
      <c r="CM31" s="5">
        <f t="shared" si="17"/>
        <v>4819.5120548093983</v>
      </c>
      <c r="CN31" s="5">
        <f t="shared" si="18"/>
        <v>5038.7588317838363</v>
      </c>
      <c r="CO31" s="5">
        <f>(CJ31-CJ30)/节奏总纲!W30</f>
        <v>367.68684807582349</v>
      </c>
      <c r="CP31" s="5">
        <f t="shared" si="2"/>
        <v>527.01781557534741</v>
      </c>
      <c r="CR31" s="5">
        <v>27</v>
      </c>
      <c r="CS31" s="5">
        <f t="shared" si="3"/>
        <v>0</v>
      </c>
      <c r="CT31" s="5">
        <f t="shared" si="4"/>
        <v>0</v>
      </c>
      <c r="CU31" s="5">
        <f t="shared" si="5"/>
        <v>0</v>
      </c>
      <c r="CV31" s="5">
        <f t="shared" si="6"/>
        <v>0</v>
      </c>
      <c r="CW31" s="5">
        <f t="shared" si="7"/>
        <v>0</v>
      </c>
      <c r="CX31" s="5">
        <f t="shared" si="20"/>
        <v>0</v>
      </c>
      <c r="CY31" s="5">
        <f t="shared" si="21"/>
        <v>0</v>
      </c>
      <c r="CZ31" s="5">
        <f t="shared" si="22"/>
        <v>0</v>
      </c>
      <c r="DA31" s="5">
        <f t="shared" si="23"/>
        <v>0</v>
      </c>
      <c r="DB31" s="5">
        <f t="shared" si="24"/>
        <v>0</v>
      </c>
    </row>
    <row r="32" spans="2:106" x14ac:dyDescent="0.15">
      <c r="B32" s="5">
        <v>27</v>
      </c>
      <c r="D32" s="5">
        <f>ROUND(130/INDEX('[1]功能-付费相关'!$BB$6:$BB$165,基本信息!U30,1)/1200,0)*600</f>
        <v>3900600</v>
      </c>
      <c r="E32" s="5">
        <v>120</v>
      </c>
      <c r="F32" s="5">
        <f>ROUND(60/INDEX('[1]功能-付费相关'!$AS$6:$AS$165,基本信息!C30,1)/600,0)*600</f>
        <v>58200</v>
      </c>
      <c r="H32" s="5">
        <v>27000</v>
      </c>
      <c r="I32" s="5">
        <f>ROUND(20*4/INDEX('[1]功能-付费相关'!$U$6:$U$165,基本信息!U30,1)/4000,0)*4000/2</f>
        <v>1066000</v>
      </c>
      <c r="J32" s="5">
        <f>ROUND(50*2/INDEX('[1]功能-付费相关'!$AS$6:$AS$165,基本信息!U30,1)/2000,0)*2000</f>
        <v>88000</v>
      </c>
      <c r="K32" s="5">
        <v>88</v>
      </c>
      <c r="M32" s="5">
        <v>2</v>
      </c>
      <c r="N32" s="5">
        <v>0</v>
      </c>
      <c r="P32" s="5">
        <v>0</v>
      </c>
      <c r="Q32" s="5">
        <v>0</v>
      </c>
      <c r="S32" s="5">
        <v>27</v>
      </c>
      <c r="T32" s="5">
        <f>基本信息!C30</f>
        <v>81</v>
      </c>
      <c r="U32" s="5">
        <f>基本信息!D30</f>
        <v>78.206030820276141</v>
      </c>
      <c r="V32" s="5">
        <f>基本信息!E30</f>
        <v>75.937589384648476</v>
      </c>
      <c r="W32" s="5">
        <f>基本信息!F30</f>
        <v>72.356875978489199</v>
      </c>
      <c r="X32" s="5">
        <f>基本信息!G30</f>
        <v>71.038773752306952</v>
      </c>
      <c r="AA32" s="5">
        <v>28</v>
      </c>
      <c r="AB32" s="5">
        <f>求节点(T$6:T$44,$C$67:$C$105,$AA32)</f>
        <v>0</v>
      </c>
      <c r="AC32" s="5">
        <f>求节点(U$6:U$44,$C$67:$C$105,$AA32)</f>
        <v>0</v>
      </c>
      <c r="AD32" s="5">
        <f>求节点(V$6:V$44,$C$67:$C$105,$AA32)</f>
        <v>0</v>
      </c>
      <c r="AE32" s="5">
        <f>求节点(W$6:W$44,$C$67:$C$105,$AA32)</f>
        <v>0</v>
      </c>
      <c r="AF32" s="5">
        <f>求节点(X$6:X$44,$C$67:$C$105,$AA32)</f>
        <v>0</v>
      </c>
      <c r="AG32" s="5">
        <f>求节点(T$6:T$44,$D$67:$D$105,$AA32)+求节点(T$67:T$105,$Q$67:$Q$105,$AA32)</f>
        <v>220600</v>
      </c>
      <c r="AH32" s="5">
        <f>求节点(U$6:U$44,$D$67:$D$105,$AA32)+求节点(U$67:U$105,$Q$67:$Q$105,$AA32)</f>
        <v>240887.33083375086</v>
      </c>
      <c r="AI32" s="5">
        <f>求节点(V$6:V$44,$D$67:$D$105,$AA32)+求节点(V$67:V$105,$Q$67:$Q$105,$AA32)</f>
        <v>269506.77985116444</v>
      </c>
      <c r="AJ32" s="5">
        <f>求节点(W$6:W$44,$D$67:$D$105,$AA32)+求节点(W$67:W$105,$Q$67:$Q$105,$AA32)</f>
        <v>328244.96113786486</v>
      </c>
      <c r="AK32" s="5">
        <f>求节点(X$6:X$44,$D$67:$D$105,$AA32)+求节点(X$67:X$105,$Q$67:$Q$105,$AA32)</f>
        <v>376291.11962869187</v>
      </c>
      <c r="AL32" s="5">
        <f>求节点(T$6:T$44,$F$67:$F$105,$AA32)+求节点(T$67:T$105,$P$67:$P$105,$AA32)</f>
        <v>248800</v>
      </c>
      <c r="AM32" s="5">
        <f>求节点(U$6:U$44,$F$67:$F$105,$AA32)+求节点(U$67:U$105,$P$67:$P$105,$AA32)</f>
        <v>256914.93233350036</v>
      </c>
      <c r="AN32" s="5">
        <f>求节点(V$6:V$44,$F$67:$F$105,$AA32)+求节点(V$67:V$105,$P$67:$P$105,$AA32)</f>
        <v>268362.71194046579</v>
      </c>
      <c r="AO32" s="5">
        <f>求节点(W$6:W$44,$F$67:$F$105,$AA32)+求节点(W$67:W$105,$P$67:$P$105,$AA32)</f>
        <v>286882.76306804275</v>
      </c>
      <c r="AP32" s="5">
        <f>求节点(X$6:X$44,$F$67:$F$105,$AA32)+求节点(X$67:X$105,$P$67:$P$105,$AA32)</f>
        <v>301472.6960129012</v>
      </c>
      <c r="AQ32" s="5">
        <f>求节点(T$6:T$44,$H$67:$H$105,$AA32)</f>
        <v>162600</v>
      </c>
      <c r="AR32" s="5">
        <f>求节点(U$6:U$44,$H$67:$H$105,$AA32)</f>
        <v>169120.92776799135</v>
      </c>
      <c r="AS32" s="5">
        <f>求节点(V$6:V$44,$H$67:$H$105,$AA32)</f>
        <v>178320.03638073144</v>
      </c>
      <c r="AT32" s="5">
        <f>求节点(W$6:W$44,$H$67:$H$105,$AA32)</f>
        <v>192767.66100106764</v>
      </c>
      <c r="AU32" s="5">
        <f>求节点(X$6:X$44,$H$67:$H$105,$AA32)</f>
        <v>204087.43656173369</v>
      </c>
      <c r="AV32" s="5">
        <f>求节点(T$6:T$44,$I$67:$I$105,$AA32)</f>
        <v>539333.33333333337</v>
      </c>
      <c r="AW32" s="5">
        <f>求节点(U$6:U$44,$I$67:$I$105,$AA32)</f>
        <v>573628.58307610266</v>
      </c>
      <c r="AX32" s="5">
        <f>求节点(V$6:V$44,$I$67:$I$105,$AA32)</f>
        <v>622009.08022458758</v>
      </c>
      <c r="AY32" s="5">
        <f>求节点(W$6:W$44,$I$67:$I$105,$AA32)</f>
        <v>710611.19889561099</v>
      </c>
      <c r="AZ32" s="5">
        <f>求节点(X$6:X$44,$I$67:$I$105,$AA32)</f>
        <v>781883.85983313806</v>
      </c>
      <c r="BA32" s="5">
        <f>求节点(T$6:T$44,$E$67:$E$105,$AA32)+求节点(T$6:T$44,$K$67:$K$105,$AA32)+求节点(T$67:T$105,$O$67:$O$105,$AA32)</f>
        <v>1941.3333333333335</v>
      </c>
      <c r="BB32" s="5">
        <f>求节点(U$6:U$44,$E$67:$E$105,$AA32)+求节点(U$6:U$44,$K$67:$K$105,$AA32)+求节点(U$67:U$105,$O$67:$O$105,$AA32)</f>
        <v>1991.5686287311926</v>
      </c>
      <c r="BC32" s="5">
        <f>求节点(V$6:V$44,$E$67:$E$105,$AA32)+求节点(V$6:V$44,$K$67:$K$105,$AA32)+求节点(V$67:V$105,$O$67:$O$105,$AA32)</f>
        <v>2062.4358358219311</v>
      </c>
      <c r="BD32" s="5">
        <f>求节点(W$6:W$44,$E$67:$E$105,$AA32)+求节点(W$6:W$44,$K$67:$K$105,$AA32)+求节点(W$67:W$105,$O$67:$O$105,$AA32)</f>
        <v>2173.736055119336</v>
      </c>
      <c r="BE32" s="5">
        <f>求节点(X$6:X$44,$E$67:$E$105,$AA32)+求节点(X$6:X$44,$K$67:$K$105,$AA32)+求节点(X$67:X$105,$O$67:$O$105,$AA32)</f>
        <v>2260.9402520311337</v>
      </c>
      <c r="BF32" s="5">
        <f>求节点(T$6:T$44,$G$67:$G$105,$AA32)</f>
        <v>0</v>
      </c>
      <c r="BG32" s="5">
        <f>求节点(U$6:U$44,$G$67:$G$105,$AA32)</f>
        <v>0</v>
      </c>
      <c r="BH32" s="5">
        <f>求节点(V$6:V$44,$G$67:$G$105,$AA32)</f>
        <v>0</v>
      </c>
      <c r="BI32" s="5">
        <f>求节点(W$6:W$44,$G$67:$G$105,$AA32)</f>
        <v>0</v>
      </c>
      <c r="BJ32" s="5">
        <f>求节点(X$6:X$44,$G$67:$G$105,$AA32)</f>
        <v>0</v>
      </c>
      <c r="BK32" s="5">
        <f>求节点(T$6:T$44,$M$67:$M$105,$AA32)</f>
        <v>18.666666666666668</v>
      </c>
      <c r="BL32" s="5">
        <f>求节点(U$6:U$44,$M$67:$M$105,$AA32)</f>
        <v>19.149698353184544</v>
      </c>
      <c r="BM32" s="5">
        <f>求节点(V$6:V$44,$M$67:$M$105,$AA32)</f>
        <v>19.831113805980106</v>
      </c>
      <c r="BN32" s="5">
        <f>求节点(W$6:W$44,$M$67:$M$105,$AA32)</f>
        <v>20.901308222301306</v>
      </c>
      <c r="BO32" s="5">
        <f>求节点(X$6:X$44,$M$67:$M$105,$AA32)</f>
        <v>21.739810115683976</v>
      </c>
      <c r="BP32" s="5">
        <f>求节点(T$67:T$105,$L$67:$L$105,$AA32)</f>
        <v>0</v>
      </c>
      <c r="BQ32" s="5">
        <f>求节点(U$67:U$105,$L$67:$L$105,$AA32)</f>
        <v>0</v>
      </c>
      <c r="BR32" s="5">
        <f>求节点(V$67:V$105,$L$67:$L$105,$AA32)</f>
        <v>0</v>
      </c>
      <c r="BS32" s="5">
        <f>求节点(W$67:W$105,$L$67:$L$105,$AA32)</f>
        <v>0</v>
      </c>
      <c r="BT32" s="5">
        <f>求节点(X$67:X$105,$L$67:$L$105,$AA32)</f>
        <v>0</v>
      </c>
      <c r="BZ32" s="5">
        <v>28</v>
      </c>
      <c r="CA32" s="5">
        <f t="shared" si="9"/>
        <v>1941.3333333333335</v>
      </c>
      <c r="CB32" s="5">
        <f t="shared" si="10"/>
        <v>1991.5686287311926</v>
      </c>
      <c r="CC32" s="5">
        <f t="shared" si="11"/>
        <v>2062.4358358219311</v>
      </c>
      <c r="CD32" s="5">
        <f t="shared" si="12"/>
        <v>2173.736055119336</v>
      </c>
      <c r="CE32" s="5">
        <f t="shared" si="13"/>
        <v>2260.9402520311337</v>
      </c>
      <c r="CF32" s="5">
        <f>(CA32-CA31)/节奏总纲!W31</f>
        <v>148.66104925053534</v>
      </c>
      <c r="CI32" s="5">
        <v>28</v>
      </c>
      <c r="CJ32" s="5">
        <f t="shared" si="14"/>
        <v>4480</v>
      </c>
      <c r="CK32" s="5">
        <f t="shared" si="15"/>
        <v>4595.9276047642907</v>
      </c>
      <c r="CL32" s="5">
        <f t="shared" si="16"/>
        <v>4759.4673134352252</v>
      </c>
      <c r="CM32" s="5">
        <f t="shared" si="17"/>
        <v>5016.313973352314</v>
      </c>
      <c r="CN32" s="5">
        <f t="shared" si="18"/>
        <v>5217.5544277641548</v>
      </c>
      <c r="CO32" s="5">
        <f>(CJ32-CJ31)/节奏总纲!W31</f>
        <v>343.063959808927</v>
      </c>
      <c r="CP32" s="5">
        <f t="shared" si="2"/>
        <v>491.72500905946231</v>
      </c>
      <c r="CR32" s="5">
        <v>28</v>
      </c>
      <c r="CS32" s="5">
        <f t="shared" si="3"/>
        <v>0</v>
      </c>
      <c r="CT32" s="5">
        <f t="shared" si="4"/>
        <v>0</v>
      </c>
      <c r="CU32" s="5">
        <f t="shared" si="5"/>
        <v>0</v>
      </c>
      <c r="CV32" s="5">
        <f t="shared" si="6"/>
        <v>0</v>
      </c>
      <c r="CW32" s="5">
        <f t="shared" si="7"/>
        <v>0</v>
      </c>
      <c r="CX32" s="5">
        <f t="shared" si="20"/>
        <v>0</v>
      </c>
      <c r="CY32" s="5">
        <f t="shared" si="21"/>
        <v>0</v>
      </c>
      <c r="CZ32" s="5">
        <f t="shared" si="22"/>
        <v>0</v>
      </c>
      <c r="DA32" s="5">
        <f t="shared" si="23"/>
        <v>0</v>
      </c>
      <c r="DB32" s="5">
        <f t="shared" si="24"/>
        <v>0</v>
      </c>
    </row>
    <row r="33" spans="2:106" x14ac:dyDescent="0.15">
      <c r="B33" s="5">
        <v>28</v>
      </c>
      <c r="D33" s="5">
        <f>ROUND(130/INDEX('[1]功能-付费相关'!$BB$6:$BB$165,基本信息!U31,1)/1200,0)*600</f>
        <v>4290600</v>
      </c>
      <c r="E33" s="5">
        <v>120</v>
      </c>
      <c r="F33" s="5">
        <f>ROUND(60/INDEX('[1]功能-付费相关'!$AS$6:$AS$165,基本信息!C31,1)/600,0)*600</f>
        <v>59400</v>
      </c>
      <c r="H33" s="5">
        <v>27000</v>
      </c>
      <c r="I33" s="5">
        <f>ROUND(20*4/INDEX('[1]功能-付费相关'!$U$6:$U$165,基本信息!U31,1)/4000,0)*4000/2</f>
        <v>1086000</v>
      </c>
      <c r="J33" s="5">
        <f>ROUND(50*2/INDEX('[1]功能-付费相关'!$AS$6:$AS$165,基本信息!U31,1)/2000,0)*2000</f>
        <v>88000</v>
      </c>
      <c r="K33" s="5">
        <v>88</v>
      </c>
      <c r="M33" s="5">
        <v>2</v>
      </c>
      <c r="N33" s="5">
        <v>0</v>
      </c>
      <c r="P33" s="5">
        <v>0</v>
      </c>
      <c r="Q33" s="5">
        <v>0</v>
      </c>
      <c r="S33" s="5">
        <v>28</v>
      </c>
      <c r="T33" s="5">
        <f>基本信息!C31</f>
        <v>84</v>
      </c>
      <c r="U33" s="5">
        <f>基本信息!D31</f>
        <v>80.770825020579196</v>
      </c>
      <c r="V33" s="5">
        <f>基本信息!E31</f>
        <v>78.446808845444806</v>
      </c>
      <c r="W33" s="5">
        <f>基本信息!F31</f>
        <v>74.624309926393636</v>
      </c>
      <c r="X33" s="5">
        <f>基本信息!G31</f>
        <v>73.339870572309351</v>
      </c>
      <c r="AA33" s="5">
        <v>29</v>
      </c>
      <c r="AB33" s="5">
        <f>求节点(T$6:T$44,$C$67:$C$105,$AA33)</f>
        <v>0</v>
      </c>
      <c r="AC33" s="5">
        <f>求节点(U$6:U$44,$C$67:$C$105,$AA33)</f>
        <v>0</v>
      </c>
      <c r="AD33" s="5">
        <f>求节点(V$6:V$44,$C$67:$C$105,$AA33)</f>
        <v>0</v>
      </c>
      <c r="AE33" s="5">
        <f>求节点(W$6:W$44,$C$67:$C$105,$AA33)</f>
        <v>0</v>
      </c>
      <c r="AF33" s="5">
        <f>求节点(X$6:X$44,$C$67:$C$105,$AA33)</f>
        <v>0</v>
      </c>
      <c r="AG33" s="5">
        <f>求节点(T$6:T$44,$D$67:$D$105,$AA33)+求节点(T$67:T$105,$Q$67:$Q$105,$AA33)</f>
        <v>248600</v>
      </c>
      <c r="AH33" s="5">
        <f>求节点(U$6:U$44,$D$67:$D$105,$AA33)+求节点(U$67:U$105,$Q$67:$Q$105,$AA33)</f>
        <v>270501.72068826412</v>
      </c>
      <c r="AI33" s="5">
        <f>求节点(V$6:V$44,$D$67:$D$105,$AA33)+求节点(V$67:V$105,$Q$67:$Q$105,$AA33)</f>
        <v>310732.42462773225</v>
      </c>
      <c r="AJ33" s="5">
        <f>求节点(W$6:W$44,$D$67:$D$105,$AA33)+求节点(W$67:W$105,$Q$67:$Q$105,$AA33)</f>
        <v>375231.41918998584</v>
      </c>
      <c r="AK33" s="5">
        <f>求节点(X$6:X$44,$D$67:$D$105,$AA33)+求节点(X$67:X$105,$Q$67:$Q$105,$AA33)</f>
        <v>433435.77506991802</v>
      </c>
      <c r="AL33" s="5">
        <f>求节点(T$6:T$44,$F$67:$F$105,$AA33)+求节点(T$67:T$105,$P$67:$P$105,$AA33)</f>
        <v>260000</v>
      </c>
      <c r="AM33" s="5">
        <f>求节点(U$6:U$44,$F$67:$F$105,$AA33)+求节点(U$67:U$105,$P$67:$P$105,$AA33)</f>
        <v>268760.68827530567</v>
      </c>
      <c r="AN33" s="5">
        <f>求节点(V$6:V$44,$F$67:$F$105,$AA33)+求节点(V$67:V$105,$P$67:$P$105,$AA33)</f>
        <v>281564.82004402339</v>
      </c>
      <c r="AO33" s="5">
        <f>求节点(W$6:W$44,$F$67:$F$105,$AA33)+求节点(W$67:W$105,$P$67:$P$105,$AA33)</f>
        <v>301150.90216240409</v>
      </c>
      <c r="AP33" s="5">
        <f>求节点(X$6:X$44,$F$67:$F$105,$AA33)+求节点(X$67:X$105,$P$67:$P$105,$AA33)</f>
        <v>316143.23731994093</v>
      </c>
      <c r="AQ33" s="5">
        <f>求节点(T$6:T$44,$H$67:$H$105,$AA33)</f>
        <v>171600</v>
      </c>
      <c r="AR33" s="5">
        <f>求节点(U$6:U$44,$H$67:$H$105,$AA33)</f>
        <v>178639.83879265632</v>
      </c>
      <c r="AS33" s="5">
        <f>求节点(V$6:V$44,$H$67:$H$105,$AA33)</f>
        <v>188641.67072381126</v>
      </c>
      <c r="AT33" s="5">
        <f>求节点(W$6:W$44,$H$67:$H$105,$AA33)</f>
        <v>203837.7689191066</v>
      </c>
      <c r="AU33" s="5">
        <f>求节点(X$6:X$44,$H$67:$H$105,$AA33)</f>
        <v>215082.71605569412</v>
      </c>
      <c r="AV33" s="5">
        <f>求节点(T$6:T$44,$I$67:$I$105,$AA33)</f>
        <v>586666.66666666663</v>
      </c>
      <c r="AW33" s="5">
        <f>求节点(U$6:U$44,$I$67:$I$105,$AA33)</f>
        <v>623691.0040206369</v>
      </c>
      <c r="AX33" s="5">
        <f>求节点(V$6:V$44,$I$67:$I$105,$AA33)</f>
        <v>684632.74159436719</v>
      </c>
      <c r="AY33" s="5">
        <f>求节点(W$6:W$44,$I$67:$I$105,$AA33)</f>
        <v>780311.87837956019</v>
      </c>
      <c r="AZ33" s="5">
        <f>求节点(X$6:X$44,$I$67:$I$105,$AA33)</f>
        <v>860536.07686524454</v>
      </c>
      <c r="BA33" s="5">
        <f>求节点(T$6:T$44,$E$67:$E$105,$AA33)+求节点(T$6:T$44,$K$67:$K$105,$AA33)+求节点(T$67:T$105,$O$67:$O$105,$AA33)</f>
        <v>2010.6666666666665</v>
      </c>
      <c r="BB33" s="5">
        <f>求节点(U$6:U$44,$E$67:$E$105,$AA33)+求节点(U$6:U$44,$K$67:$K$105,$AA33)+求节点(U$67:U$105,$O$67:$O$105,$AA33)</f>
        <v>2064.8994988471304</v>
      </c>
      <c r="BC33" s="5">
        <f>求节点(V$6:V$44,$E$67:$E$105,$AA33)+求节点(V$6:V$44,$K$67:$K$105,$AA33)+求节点(V$67:V$105,$O$67:$O$105,$AA33)</f>
        <v>2141.9506485389902</v>
      </c>
      <c r="BD33" s="5">
        <f>求节点(W$6:W$44,$E$67:$E$105,$AA33)+求节点(W$6:W$44,$K$67:$K$105,$AA33)+求节点(W$67:W$105,$O$67:$O$105,$AA33)</f>
        <v>2259.0168864879324</v>
      </c>
      <c r="BE33" s="5">
        <f>求节点(X$6:X$44,$E$67:$E$105,$AA33)+求节点(X$6:X$44,$K$67:$K$105,$AA33)+求节点(X$67:X$105,$O$67:$O$105,$AA33)</f>
        <v>2345.6446273920142</v>
      </c>
      <c r="BF33" s="5">
        <f>求节点(T$6:T$44,$G$67:$G$105,$AA33)</f>
        <v>0</v>
      </c>
      <c r="BG33" s="5">
        <f>求节点(U$6:U$44,$G$67:$G$105,$AA33)</f>
        <v>0</v>
      </c>
      <c r="BH33" s="5">
        <f>求节点(V$6:V$44,$G$67:$G$105,$AA33)</f>
        <v>0</v>
      </c>
      <c r="BI33" s="5">
        <f>求节点(W$6:W$44,$G$67:$G$105,$AA33)</f>
        <v>0</v>
      </c>
      <c r="BJ33" s="5">
        <f>求节点(X$6:X$44,$G$67:$G$105,$AA33)</f>
        <v>0</v>
      </c>
      <c r="BK33" s="5">
        <f>求节点(T$6:T$44,$M$67:$M$105,$AA33)</f>
        <v>19.333333333333332</v>
      </c>
      <c r="BL33" s="5">
        <f>求节点(U$6:U$44,$M$67:$M$105,$AA33)</f>
        <v>19.854802873530097</v>
      </c>
      <c r="BM33" s="5">
        <f>求节点(V$6:V$44,$M$67:$M$105,$AA33)</f>
        <v>20.595679312874907</v>
      </c>
      <c r="BN33" s="5">
        <f>求节点(W$6:W$44,$M$67:$M$105,$AA33)</f>
        <v>21.721316216230118</v>
      </c>
      <c r="BO33" s="5">
        <f>求节点(X$6:X$44,$M$67:$M$105,$AA33)</f>
        <v>22.554275263384749</v>
      </c>
      <c r="BP33" s="5">
        <f>求节点(T$67:T$105,$L$67:$L$105,$AA33)</f>
        <v>0</v>
      </c>
      <c r="BQ33" s="5">
        <f>求节点(U$67:U$105,$L$67:$L$105,$AA33)</f>
        <v>0</v>
      </c>
      <c r="BR33" s="5">
        <f>求节点(V$67:V$105,$L$67:$L$105,$AA33)</f>
        <v>0</v>
      </c>
      <c r="BS33" s="5">
        <f>求节点(W$67:W$105,$L$67:$L$105,$AA33)</f>
        <v>0</v>
      </c>
      <c r="BT33" s="5">
        <f>求节点(X$67:X$105,$L$67:$L$105,$AA33)</f>
        <v>0</v>
      </c>
      <c r="BZ33" s="5">
        <v>29</v>
      </c>
      <c r="CA33" s="5">
        <f t="shared" si="9"/>
        <v>2010.6666666666665</v>
      </c>
      <c r="CB33" s="5">
        <f t="shared" si="10"/>
        <v>2064.8994988471304</v>
      </c>
      <c r="CC33" s="5">
        <f t="shared" si="11"/>
        <v>2141.9506485389902</v>
      </c>
      <c r="CD33" s="5">
        <f t="shared" si="12"/>
        <v>2259.0168864879324</v>
      </c>
      <c r="CE33" s="5">
        <f t="shared" si="13"/>
        <v>2345.6446273920142</v>
      </c>
      <c r="CF33" s="5">
        <f>(CA33-CA32)/节奏总纲!W32</f>
        <v>138.70566350722655</v>
      </c>
      <c r="CI33" s="5">
        <v>29</v>
      </c>
      <c r="CJ33" s="5">
        <f t="shared" si="14"/>
        <v>4640</v>
      </c>
      <c r="CK33" s="5">
        <f t="shared" si="15"/>
        <v>4765.1526896472233</v>
      </c>
      <c r="CL33" s="5">
        <f t="shared" si="16"/>
        <v>4942.9630350899779</v>
      </c>
      <c r="CM33" s="5">
        <f t="shared" si="17"/>
        <v>5213.1158918952287</v>
      </c>
      <c r="CN33" s="5">
        <f t="shared" si="18"/>
        <v>5413.02606321234</v>
      </c>
      <c r="CO33" s="5">
        <f>(CJ33-CJ32)/节奏总纲!W32</f>
        <v>320.08999270898573</v>
      </c>
      <c r="CP33" s="5">
        <f t="shared" si="2"/>
        <v>458.79565621621225</v>
      </c>
      <c r="CR33" s="5">
        <v>29</v>
      </c>
      <c r="CS33" s="5">
        <f t="shared" si="3"/>
        <v>0</v>
      </c>
      <c r="CT33" s="5">
        <f t="shared" si="4"/>
        <v>0</v>
      </c>
      <c r="CU33" s="5">
        <f t="shared" si="5"/>
        <v>0</v>
      </c>
      <c r="CV33" s="5">
        <f t="shared" si="6"/>
        <v>0</v>
      </c>
      <c r="CW33" s="5">
        <f t="shared" si="7"/>
        <v>0</v>
      </c>
      <c r="CX33" s="5">
        <f t="shared" si="20"/>
        <v>0</v>
      </c>
      <c r="CY33" s="5">
        <f t="shared" si="21"/>
        <v>0</v>
      </c>
      <c r="CZ33" s="5">
        <f t="shared" si="22"/>
        <v>0</v>
      </c>
      <c r="DA33" s="5">
        <f t="shared" si="23"/>
        <v>0</v>
      </c>
      <c r="DB33" s="5">
        <f t="shared" si="24"/>
        <v>0</v>
      </c>
    </row>
    <row r="34" spans="2:106" x14ac:dyDescent="0.15">
      <c r="B34" s="5">
        <v>29</v>
      </c>
      <c r="D34" s="5">
        <f>ROUND(130/INDEX('[1]功能-付费相关'!$BB$6:$BB$165,基本信息!U32,1)/1200,0)*600</f>
        <v>4719600</v>
      </c>
      <c r="E34" s="5">
        <v>120</v>
      </c>
      <c r="F34" s="5">
        <f>ROUND(60/INDEX('[1]功能-付费相关'!$AS$6:$AS$165,基本信息!C32,1)/600,0)*600</f>
        <v>61200</v>
      </c>
      <c r="H34" s="5">
        <v>27000</v>
      </c>
      <c r="I34" s="5">
        <f>ROUND(20*4/INDEX('[1]功能-付费相关'!$U$6:$U$165,基本信息!U32,1)/4000,0)*4000/2</f>
        <v>1102000</v>
      </c>
      <c r="J34" s="5">
        <f>ROUND(50*2/INDEX('[1]功能-付费相关'!$AS$6:$AS$165,基本信息!U32,1)/2000,0)*2000</f>
        <v>90000</v>
      </c>
      <c r="K34" s="5">
        <v>88</v>
      </c>
      <c r="M34" s="5">
        <v>2</v>
      </c>
      <c r="N34" s="5">
        <v>0</v>
      </c>
      <c r="P34" s="5">
        <v>0</v>
      </c>
      <c r="Q34" s="5">
        <v>0</v>
      </c>
      <c r="S34" s="5">
        <v>29</v>
      </c>
      <c r="T34" s="5">
        <f>基本信息!C32</f>
        <v>87</v>
      </c>
      <c r="U34" s="5">
        <f>基本信息!D32</f>
        <v>83.62936923344175</v>
      </c>
      <c r="V34" s="5">
        <f>基本信息!E32</f>
        <v>81.343219854278885</v>
      </c>
      <c r="W34" s="5">
        <f>基本信息!F32</f>
        <v>77.074958005884056</v>
      </c>
      <c r="X34" s="5">
        <f>基本信息!G32</f>
        <v>75.587238423516851</v>
      </c>
      <c r="AA34" s="5">
        <v>30</v>
      </c>
      <c r="AB34" s="5">
        <f>求节点(T$6:T$44,$C$67:$C$105,$AA34)</f>
        <v>0</v>
      </c>
      <c r="AC34" s="5">
        <f>求节点(U$6:U$44,$C$67:$C$105,$AA34)</f>
        <v>0</v>
      </c>
      <c r="AD34" s="5">
        <f>求节点(V$6:V$44,$C$67:$C$105,$AA34)</f>
        <v>0</v>
      </c>
      <c r="AE34" s="5">
        <f>求节点(W$6:W$44,$C$67:$C$105,$AA34)</f>
        <v>0</v>
      </c>
      <c r="AF34" s="5">
        <f>求节点(X$6:X$44,$C$67:$C$105,$AA34)</f>
        <v>0</v>
      </c>
      <c r="AG34" s="5">
        <f>求节点(T$6:T$44,$D$67:$D$105,$AA34)+求节点(T$67:T$105,$Q$67:$Q$105,$AA34)</f>
        <v>276600</v>
      </c>
      <c r="AH34" s="5">
        <f>求节点(U$6:U$44,$D$67:$D$105,$AA34)+求节点(U$67:U$105,$Q$67:$Q$105,$AA34)</f>
        <v>308802.31167626788</v>
      </c>
      <c r="AI34" s="5">
        <f>求节点(V$6:V$44,$D$67:$D$105,$AA34)+求节点(V$67:V$105,$Q$67:$Q$105,$AA34)</f>
        <v>355755.23434931418</v>
      </c>
      <c r="AJ34" s="5">
        <f>求节点(W$6:W$44,$D$67:$D$105,$AA34)+求节点(W$67:W$105,$Q$67:$Q$105,$AA34)</f>
        <v>433944.93884140282</v>
      </c>
      <c r="AK34" s="5">
        <f>求节点(X$6:X$44,$D$67:$D$105,$AA34)+求节点(X$67:X$105,$Q$67:$Q$105,$AA34)</f>
        <v>498339.67738369294</v>
      </c>
      <c r="AL34" s="5">
        <f>求节点(T$6:T$44,$F$67:$F$105,$AA34)+求节点(T$67:T$105,$P$67:$P$105,$AA34)</f>
        <v>271200</v>
      </c>
      <c r="AM34" s="5">
        <f>求节点(U$6:U$44,$F$67:$F$105,$AA34)+求节点(U$67:U$105,$P$67:$P$105,$AA34)</f>
        <v>280978.71244619653</v>
      </c>
      <c r="AN34" s="5">
        <f>求节点(V$6:V$44,$F$67:$F$105,$AA34)+求节点(V$67:V$105,$P$67:$P$105,$AA34)</f>
        <v>295236.66802230483</v>
      </c>
      <c r="AO34" s="5">
        <f>求节点(W$6:W$44,$F$67:$F$105,$AA34)+求节点(W$67:W$105,$P$67:$P$105,$AA34)</f>
        <v>316265.51680836838</v>
      </c>
      <c r="AP34" s="5">
        <f>求节点(X$6:X$44,$F$67:$F$105,$AA34)+求节点(X$67:X$105,$P$67:$P$105,$AA34)</f>
        <v>331730.39496222546</v>
      </c>
      <c r="AQ34" s="5">
        <f>求节点(T$6:T$44,$H$67:$H$105,$AA34)</f>
        <v>180600</v>
      </c>
      <c r="AR34" s="5">
        <f>求节点(U$6:U$44,$H$67:$H$105,$AA34)</f>
        <v>188186.9320703249</v>
      </c>
      <c r="AS34" s="5">
        <f>求节点(V$6:V$44,$H$67:$H$105,$AA34)</f>
        <v>199249.13898282271</v>
      </c>
      <c r="AT34" s="5">
        <f>求节点(W$6:W$44,$H$67:$H$105,$AA34)</f>
        <v>215172.92223568162</v>
      </c>
      <c r="AU34" s="5">
        <f>求节点(X$6:X$44,$H$67:$H$105,$AA34)</f>
        <v>226581.43890655978</v>
      </c>
      <c r="AV34" s="5">
        <f>求节点(T$6:T$44,$I$67:$I$105,$AA34)</f>
        <v>634000</v>
      </c>
      <c r="AW34" s="5">
        <f>求节点(U$6:U$44,$I$67:$I$105,$AA34)</f>
        <v>681769.57229463826</v>
      </c>
      <c r="AX34" s="5">
        <f>求节点(V$6:V$44,$I$67:$I$105,$AA34)</f>
        <v>751420.50470666145</v>
      </c>
      <c r="AY34" s="5">
        <f>求节点(W$6:W$44,$I$67:$I$105,$AA34)</f>
        <v>861217.63466959435</v>
      </c>
      <c r="AZ34" s="5">
        <f>求节点(X$6:X$44,$I$67:$I$105,$AA34)</f>
        <v>947415.31618289603</v>
      </c>
      <c r="BA34" s="5">
        <f>求节点(T$6:T$44,$E$67:$E$105,$AA34)+求节点(T$6:T$44,$K$67:$K$105,$AA34)+求节点(T$67:T$105,$O$67:$O$105,$AA34)</f>
        <v>2080</v>
      </c>
      <c r="BB34" s="5">
        <f>求节点(U$6:U$44,$E$67:$E$105,$AA34)+求节点(U$6:U$44,$K$67:$K$105,$AA34)+求节点(U$67:U$105,$O$67:$O$105,$AA34)</f>
        <v>2138.4474766899102</v>
      </c>
      <c r="BC34" s="5">
        <f>求节点(V$6:V$44,$E$67:$E$105,$AA34)+求节点(V$6:V$44,$K$67:$K$105,$AA34)+求节点(V$67:V$105,$O$67:$O$105,$AA34)</f>
        <v>2223.6674410528562</v>
      </c>
      <c r="BD34" s="5">
        <f>求节点(W$6:W$44,$E$67:$E$105,$AA34)+求节点(W$6:W$44,$K$67:$K$105,$AA34)+求节点(W$67:W$105,$O$67:$O$105,$AA34)</f>
        <v>2346.3395490748808</v>
      </c>
      <c r="BE34" s="5">
        <f>求节点(X$6:X$44,$E$67:$E$105,$AA34)+求节点(X$6:X$44,$K$67:$K$105,$AA34)+求节点(X$67:X$105,$O$67:$O$105,$AA34)</f>
        <v>2434.2273812060903</v>
      </c>
      <c r="BF34" s="5">
        <f>求节点(T$6:T$44,$G$67:$G$105,$AA34)</f>
        <v>0</v>
      </c>
      <c r="BG34" s="5">
        <f>求节点(U$6:U$44,$G$67:$G$105,$AA34)</f>
        <v>0</v>
      </c>
      <c r="BH34" s="5">
        <f>求节点(V$6:V$44,$G$67:$G$105,$AA34)</f>
        <v>0</v>
      </c>
      <c r="BI34" s="5">
        <f>求节点(W$6:W$44,$G$67:$G$105,$AA34)</f>
        <v>0</v>
      </c>
      <c r="BJ34" s="5">
        <f>求节点(X$6:X$44,$G$67:$G$105,$AA34)</f>
        <v>0</v>
      </c>
      <c r="BK34" s="5">
        <f>求节点(T$6:T$44,$M$67:$M$105,$AA34)</f>
        <v>20</v>
      </c>
      <c r="BL34" s="5">
        <f>求节点(U$6:U$44,$M$67:$M$105,$AA34)</f>
        <v>20.561994968172215</v>
      </c>
      <c r="BM34" s="5">
        <f>求节点(V$6:V$44,$M$67:$M$105,$AA34)</f>
        <v>21.38141770243131</v>
      </c>
      <c r="BN34" s="5">
        <f>求节点(W$6:W$44,$M$67:$M$105,$AA34)</f>
        <v>22.560957202643081</v>
      </c>
      <c r="BO34" s="5">
        <f>求节点(X$6:X$44,$M$67:$M$105,$AA34)</f>
        <v>23.406032511597019</v>
      </c>
      <c r="BP34" s="5">
        <f>求节点(T$67:T$105,$L$67:$L$105,$AA34)</f>
        <v>0</v>
      </c>
      <c r="BQ34" s="5">
        <f>求节点(U$67:U$105,$L$67:$L$105,$AA34)</f>
        <v>0</v>
      </c>
      <c r="BR34" s="5">
        <f>求节点(V$67:V$105,$L$67:$L$105,$AA34)</f>
        <v>0</v>
      </c>
      <c r="BS34" s="5">
        <f>求节点(W$67:W$105,$L$67:$L$105,$AA34)</f>
        <v>0</v>
      </c>
      <c r="BT34" s="5">
        <f>求节点(X$67:X$105,$L$67:$L$105,$AA34)</f>
        <v>0</v>
      </c>
      <c r="BZ34" s="5">
        <v>30</v>
      </c>
      <c r="CA34" s="5">
        <f t="shared" si="9"/>
        <v>2080</v>
      </c>
      <c r="CB34" s="5">
        <f t="shared" si="10"/>
        <v>2138.4474766899102</v>
      </c>
      <c r="CC34" s="5">
        <f t="shared" si="11"/>
        <v>2223.6674410528562</v>
      </c>
      <c r="CD34" s="5">
        <f t="shared" si="12"/>
        <v>2346.3395490748808</v>
      </c>
      <c r="CE34" s="5">
        <f t="shared" si="13"/>
        <v>2434.2273812060903</v>
      </c>
      <c r="CF34" s="5">
        <f>(CA34-CA33)/节奏总纲!W33</f>
        <v>129.41696016524554</v>
      </c>
      <c r="CI34" s="5">
        <v>30</v>
      </c>
      <c r="CJ34" s="5">
        <f t="shared" si="14"/>
        <v>4800</v>
      </c>
      <c r="CK34" s="5">
        <f t="shared" si="15"/>
        <v>4934.8787923613318</v>
      </c>
      <c r="CL34" s="5">
        <f t="shared" si="16"/>
        <v>5131.5402485835148</v>
      </c>
      <c r="CM34" s="5">
        <f t="shared" si="17"/>
        <v>5414.6297286343397</v>
      </c>
      <c r="CN34" s="5">
        <f t="shared" si="18"/>
        <v>5617.4478027832847</v>
      </c>
      <c r="CO34" s="5">
        <f>(CJ34-CJ33)/节奏总纲!W33</f>
        <v>298.65452345825832</v>
      </c>
      <c r="CP34" s="5">
        <f t="shared" si="2"/>
        <v>428.07148362350387</v>
      </c>
      <c r="CR34" s="5">
        <v>30</v>
      </c>
      <c r="CS34" s="5">
        <f t="shared" si="3"/>
        <v>0</v>
      </c>
      <c r="CT34" s="5">
        <f t="shared" si="4"/>
        <v>0</v>
      </c>
      <c r="CU34" s="5">
        <f t="shared" si="5"/>
        <v>0</v>
      </c>
      <c r="CV34" s="5">
        <f t="shared" si="6"/>
        <v>0</v>
      </c>
      <c r="CW34" s="5">
        <f t="shared" si="7"/>
        <v>0</v>
      </c>
      <c r="CX34" s="5">
        <f t="shared" si="20"/>
        <v>0</v>
      </c>
      <c r="CY34" s="5">
        <f t="shared" si="21"/>
        <v>0</v>
      </c>
      <c r="CZ34" s="5">
        <f t="shared" si="22"/>
        <v>0</v>
      </c>
      <c r="DA34" s="5">
        <f t="shared" si="23"/>
        <v>0</v>
      </c>
      <c r="DB34" s="5">
        <f t="shared" si="24"/>
        <v>0</v>
      </c>
    </row>
    <row r="35" spans="2:106" x14ac:dyDescent="0.15">
      <c r="B35" s="16">
        <v>30</v>
      </c>
      <c r="C35" s="16"/>
      <c r="D35" s="5">
        <f>ROUND(130/INDEX('[1]功能-付费相关'!$BB$6:$BB$165,基本信息!U33,1)/1200,0)*600</f>
        <v>5191800</v>
      </c>
      <c r="E35" s="16">
        <v>120</v>
      </c>
      <c r="F35" s="5">
        <f>ROUND(60/INDEX('[1]功能-付费相关'!$AS$6:$AS$165,基本信息!C33,1)/600,0)*600</f>
        <v>62400</v>
      </c>
      <c r="G35" s="16"/>
      <c r="H35" s="5">
        <v>27000</v>
      </c>
      <c r="I35" s="5">
        <f>ROUND(20*4/INDEX('[1]功能-付费相关'!$U$6:$U$165,基本信息!U33,1)/4000,0)*4000/2</f>
        <v>1120000</v>
      </c>
      <c r="J35" s="5">
        <f>ROUND(50*2/INDEX('[1]功能-付费相关'!$AS$6:$AS$165,基本信息!U33,1)/2000,0)*2000</f>
        <v>90000</v>
      </c>
      <c r="K35" s="16">
        <v>88</v>
      </c>
      <c r="M35" s="5">
        <v>2</v>
      </c>
      <c r="N35" s="16">
        <v>0</v>
      </c>
      <c r="O35" s="16"/>
      <c r="P35" s="16">
        <v>0</v>
      </c>
      <c r="Q35" s="16">
        <v>0</v>
      </c>
      <c r="S35" s="16">
        <v>30</v>
      </c>
      <c r="T35" s="5">
        <f>基本信息!C33</f>
        <v>90</v>
      </c>
      <c r="U35" s="5">
        <f>基本信息!D33</f>
        <v>86.038352960430615</v>
      </c>
      <c r="V35" s="5">
        <f>基本信息!E33</f>
        <v>83.71979518782048</v>
      </c>
      <c r="W35" s="5">
        <f>基本信息!F33</f>
        <v>79.141696519273708</v>
      </c>
      <c r="X35" s="5">
        <f>基本信息!G33</f>
        <v>77.425251341180228</v>
      </c>
      <c r="AA35" s="5">
        <v>31</v>
      </c>
      <c r="AB35" s="5">
        <f>求节点(T$6:T$44,$C$67:$C$105,$AA35)</f>
        <v>0</v>
      </c>
      <c r="AC35" s="5">
        <f>求节点(U$6:U$44,$C$67:$C$105,$AA35)</f>
        <v>0</v>
      </c>
      <c r="AD35" s="5">
        <f>求节点(V$6:V$44,$C$67:$C$105,$AA35)</f>
        <v>0</v>
      </c>
      <c r="AE35" s="5">
        <f>求节点(W$6:W$44,$C$67:$C$105,$AA35)</f>
        <v>0</v>
      </c>
      <c r="AF35" s="5">
        <f>求节点(X$6:X$44,$C$67:$C$105,$AA35)</f>
        <v>0</v>
      </c>
      <c r="AG35" s="5">
        <f>求节点(T$6:T$44,$D$67:$D$105,$AA35)+求节点(T$67:T$105,$Q$67:$Q$105,$AA35)</f>
        <v>314800</v>
      </c>
      <c r="AH35" s="5">
        <f>求节点(U$6:U$44,$D$67:$D$105,$AA35)+求节点(U$67:U$105,$Q$67:$Q$105,$AA35)</f>
        <v>349355.43845557887</v>
      </c>
      <c r="AI35" s="5">
        <f>求节点(V$6:V$44,$D$67:$D$105,$AA35)+求节点(V$67:V$105,$Q$67:$Q$105,$AA35)</f>
        <v>403729.60578512045</v>
      </c>
      <c r="AJ35" s="5">
        <f>求节点(W$6:W$44,$D$67:$D$105,$AA35)+求节点(W$67:W$105,$Q$67:$Q$105,$AA35)</f>
        <v>498695.76818202576</v>
      </c>
      <c r="AK35" s="5">
        <f>求节点(X$6:X$44,$D$67:$D$105,$AA35)+求节点(X$67:X$105,$Q$67:$Q$105,$AA35)</f>
        <v>568803.5101157428</v>
      </c>
      <c r="AL35" s="5">
        <f>求节点(T$6:T$44,$F$67:$F$105,$AA35)+求节点(T$67:T$105,$P$67:$P$105,$AA35)</f>
        <v>282800</v>
      </c>
      <c r="AM35" s="5">
        <f>求节点(U$6:U$44,$F$67:$F$105,$AA35)+求节点(U$67:U$105,$P$67:$P$105,$AA35)</f>
        <v>293293.27450483548</v>
      </c>
      <c r="AN35" s="5">
        <f>求节点(V$6:V$44,$F$67:$F$105,$AA35)+求节点(V$67:V$105,$P$67:$P$105,$AA35)</f>
        <v>309009.07855469431</v>
      </c>
      <c r="AO35" s="5">
        <f>求节点(W$6:W$44,$F$67:$F$105,$AA35)+求节点(W$67:W$105,$P$67:$P$105,$AA35)</f>
        <v>331815.91283111641</v>
      </c>
      <c r="AP35" s="5">
        <f>求节点(X$6:X$44,$F$67:$F$105,$AA35)+求节点(X$67:X$105,$P$67:$P$105,$AA35)</f>
        <v>347283.83816310263</v>
      </c>
      <c r="AQ35" s="5">
        <f>求节点(T$6:T$44,$H$67:$H$105,$AA35)</f>
        <v>189600</v>
      </c>
      <c r="AR35" s="5">
        <f>求节点(U$6:U$44,$H$67:$H$105,$AA35)</f>
        <v>197741.33366754476</v>
      </c>
      <c r="AS35" s="5">
        <f>求节点(V$6:V$44,$H$67:$H$105,$AA35)</f>
        <v>209819.81204854496</v>
      </c>
      <c r="AT35" s="5">
        <f>求节点(W$6:W$44,$H$67:$H$105,$AA35)</f>
        <v>226644.5258590203</v>
      </c>
      <c r="AU35" s="5">
        <f>求节点(X$6:X$44,$H$67:$H$105,$AA35)</f>
        <v>237945.59868793047</v>
      </c>
      <c r="AV35" s="5">
        <f>求节点(T$6:T$44,$I$67:$I$105,$AA35)</f>
        <v>690666.66666666663</v>
      </c>
      <c r="AW35" s="5">
        <f>求节点(U$6:U$44,$I$67:$I$105,$AA35)</f>
        <v>741926.91568454099</v>
      </c>
      <c r="AX35" s="5">
        <f>求节点(V$6:V$44,$I$67:$I$105,$AA35)</f>
        <v>820771.91325567302</v>
      </c>
      <c r="AY35" s="5">
        <f>求节点(W$6:W$44,$I$67:$I$105,$AA35)</f>
        <v>947891.97315704229</v>
      </c>
      <c r="AZ35" s="5">
        <f>求节点(X$6:X$44,$I$67:$I$105,$AA35)</f>
        <v>1038234.2992538901</v>
      </c>
      <c r="BA35" s="5">
        <f>求节点(T$6:T$44,$E$67:$E$105,$AA35)+求节点(T$6:T$44,$K$67:$K$105,$AA35)+求节点(T$67:T$105,$O$67:$O$105,$AA35)</f>
        <v>2149.3333333333335</v>
      </c>
      <c r="BB35" s="5">
        <f>求节点(U$6:U$44,$E$67:$E$105,$AA35)+求节点(U$6:U$44,$K$67:$K$105,$AA35)+求节点(U$67:U$105,$O$67:$O$105,$AA35)</f>
        <v>2212.0517556610853</v>
      </c>
      <c r="BC35" s="5">
        <f>求节点(V$6:V$44,$E$67:$E$105,$AA35)+求节点(V$6:V$44,$K$67:$K$105,$AA35)+求节点(V$67:V$105,$O$67:$O$105,$AA35)</f>
        <v>2305.1007742999018</v>
      </c>
      <c r="BD35" s="5">
        <f>求节点(W$6:W$44,$E$67:$E$105,$AA35)+求节点(W$6:W$44,$K$67:$K$105,$AA35)+求节点(W$67:W$105,$O$67:$O$105,$AA35)</f>
        <v>2434.7133843954157</v>
      </c>
      <c r="BE35" s="5">
        <f>求节点(X$6:X$44,$E$67:$E$105,$AA35)+求节点(X$6:X$44,$K$67:$K$105,$AA35)+求节点(X$67:X$105,$O$67:$O$105,$AA35)</f>
        <v>2521.7735010033161</v>
      </c>
      <c r="BF35" s="5">
        <f>求节点(T$6:T$44,$G$67:$G$105,$AA35)</f>
        <v>0</v>
      </c>
      <c r="BG35" s="5">
        <f>求节点(U$6:U$44,$G$67:$G$105,$AA35)</f>
        <v>0</v>
      </c>
      <c r="BH35" s="5">
        <f>求节点(V$6:V$44,$G$67:$G$105,$AA35)</f>
        <v>0</v>
      </c>
      <c r="BI35" s="5">
        <f>求节点(W$6:W$44,$G$67:$G$105,$AA35)</f>
        <v>0</v>
      </c>
      <c r="BJ35" s="5">
        <f>求节点(X$6:X$44,$G$67:$G$105,$AA35)</f>
        <v>0</v>
      </c>
      <c r="BK35" s="5">
        <f>求节点(T$6:T$44,$M$67:$M$105,$AA35)</f>
        <v>20.666666666666668</v>
      </c>
      <c r="BL35" s="5">
        <f>求节点(U$6:U$44,$M$67:$M$105,$AA35)</f>
        <v>21.269728419818129</v>
      </c>
      <c r="BM35" s="5">
        <f>求节点(V$6:V$44,$M$67:$M$105,$AA35)</f>
        <v>22.164430522114444</v>
      </c>
      <c r="BN35" s="5">
        <f>求节点(W$6:W$44,$M$67:$M$105,$AA35)</f>
        <v>23.41070561918669</v>
      </c>
      <c r="BO35" s="5">
        <f>求节点(X$6:X$44,$M$67:$M$105,$AA35)</f>
        <v>24.247822125031885</v>
      </c>
      <c r="BP35" s="5">
        <f>求节点(T$67:T$105,$L$67:$L$105,$AA35)</f>
        <v>0</v>
      </c>
      <c r="BQ35" s="5">
        <f>求节点(U$67:U$105,$L$67:$L$105,$AA35)</f>
        <v>0</v>
      </c>
      <c r="BR35" s="5">
        <f>求节点(V$67:V$105,$L$67:$L$105,$AA35)</f>
        <v>0</v>
      </c>
      <c r="BS35" s="5">
        <f>求节点(W$67:W$105,$L$67:$L$105,$AA35)</f>
        <v>0</v>
      </c>
      <c r="BT35" s="5">
        <f>求节点(X$67:X$105,$L$67:$L$105,$AA35)</f>
        <v>0</v>
      </c>
      <c r="BZ35" s="5">
        <v>31</v>
      </c>
      <c r="CA35" s="5">
        <f t="shared" si="9"/>
        <v>2149.3333333333335</v>
      </c>
      <c r="CB35" s="5">
        <f t="shared" si="10"/>
        <v>2212.0517556610853</v>
      </c>
      <c r="CC35" s="5">
        <f t="shared" si="11"/>
        <v>2305.1007742999018</v>
      </c>
      <c r="CD35" s="5">
        <f t="shared" si="12"/>
        <v>2434.7133843954157</v>
      </c>
      <c r="CE35" s="5">
        <f t="shared" si="13"/>
        <v>2521.7735010033161</v>
      </c>
      <c r="CF35" s="5">
        <f>(CA35-CA34)/节奏总纲!W34</f>
        <v>120.75029349857974</v>
      </c>
      <c r="CI35" s="5">
        <v>31</v>
      </c>
      <c r="CJ35" s="5">
        <f t="shared" si="14"/>
        <v>4960</v>
      </c>
      <c r="CK35" s="5">
        <f t="shared" si="15"/>
        <v>5104.7348207563509</v>
      </c>
      <c r="CL35" s="5">
        <f t="shared" si="16"/>
        <v>5319.4633253074662</v>
      </c>
      <c r="CM35" s="5">
        <f t="shared" si="17"/>
        <v>5618.5693486048058</v>
      </c>
      <c r="CN35" s="5">
        <f t="shared" si="18"/>
        <v>5819.4773100076527</v>
      </c>
      <c r="CO35" s="5">
        <f>(CJ35-CJ34)/节奏总纲!W34</f>
        <v>278.65452345826031</v>
      </c>
      <c r="CP35" s="5">
        <f t="shared" si="2"/>
        <v>399.40481695684002</v>
      </c>
      <c r="CR35" s="5">
        <v>31</v>
      </c>
      <c r="CS35" s="5">
        <f t="shared" si="3"/>
        <v>0</v>
      </c>
      <c r="CT35" s="5">
        <f t="shared" si="4"/>
        <v>0</v>
      </c>
      <c r="CU35" s="5">
        <f t="shared" si="5"/>
        <v>0</v>
      </c>
      <c r="CV35" s="5">
        <f t="shared" si="6"/>
        <v>0</v>
      </c>
      <c r="CW35" s="5">
        <f t="shared" si="7"/>
        <v>0</v>
      </c>
      <c r="CX35" s="5">
        <f t="shared" si="20"/>
        <v>0</v>
      </c>
      <c r="CY35" s="5">
        <f t="shared" si="21"/>
        <v>0</v>
      </c>
      <c r="CZ35" s="5">
        <f t="shared" si="22"/>
        <v>0</v>
      </c>
      <c r="DA35" s="5">
        <f t="shared" si="23"/>
        <v>0</v>
      </c>
      <c r="DB35" s="5">
        <f t="shared" si="24"/>
        <v>0</v>
      </c>
    </row>
    <row r="36" spans="2:106" x14ac:dyDescent="0.15">
      <c r="B36" s="16">
        <v>31</v>
      </c>
      <c r="C36" s="16"/>
      <c r="D36" s="17">
        <f t="shared" ref="D36:D38" si="25">D35</f>
        <v>5191800</v>
      </c>
      <c r="E36" s="16">
        <v>120</v>
      </c>
      <c r="F36" s="17">
        <f t="shared" ref="F36:F39" si="26">F35</f>
        <v>62400</v>
      </c>
      <c r="G36" s="16"/>
      <c r="H36" s="5">
        <v>27000</v>
      </c>
      <c r="I36" s="5">
        <f>ROUND(20*4/INDEX('[1]功能-付费相关'!$U$6:$U$165,基本信息!U34,1)/4000,0)*4000/2</f>
        <v>1136000</v>
      </c>
      <c r="J36" s="5">
        <f>ROUND(50*2/INDEX('[1]功能-付费相关'!$AS$6:$AS$165,基本信息!U34,1)/2000,0)*2000</f>
        <v>92000</v>
      </c>
      <c r="K36" s="16">
        <v>88</v>
      </c>
      <c r="M36" s="5">
        <v>2</v>
      </c>
      <c r="N36" s="16">
        <v>0</v>
      </c>
      <c r="O36" s="16"/>
      <c r="P36" s="16">
        <v>0</v>
      </c>
      <c r="Q36" s="16">
        <v>0</v>
      </c>
      <c r="S36" s="16">
        <v>31</v>
      </c>
      <c r="T36" s="5">
        <f>基本信息!C34</f>
        <v>93</v>
      </c>
      <c r="U36" s="5">
        <f>基本信息!D34</f>
        <v>88.927784790417363</v>
      </c>
      <c r="V36" s="5">
        <f>基本信息!E34</f>
        <v>86.275765726124874</v>
      </c>
      <c r="W36" s="5">
        <f>基本信息!F34</f>
        <v>81.245922578251111</v>
      </c>
      <c r="X36" s="5">
        <f>基本信息!G34</f>
        <v>79.590620276283289</v>
      </c>
      <c r="AA36" s="5">
        <v>32</v>
      </c>
      <c r="AB36" s="5">
        <f>求节点(T$6:T$44,$C$67:$C$105,$AA36)</f>
        <v>0</v>
      </c>
      <c r="AC36" s="5">
        <f>求节点(U$6:U$44,$C$67:$C$105,$AA36)</f>
        <v>0</v>
      </c>
      <c r="AD36" s="5">
        <f>求节点(V$6:V$44,$C$67:$C$105,$AA36)</f>
        <v>0</v>
      </c>
      <c r="AE36" s="5">
        <f>求节点(W$6:W$44,$C$67:$C$105,$AA36)</f>
        <v>0</v>
      </c>
      <c r="AF36" s="5">
        <f>求节点(X$6:X$44,$C$67:$C$105,$AA36)</f>
        <v>0</v>
      </c>
      <c r="AG36" s="5">
        <f>求节点(T$6:T$44,$D$67:$D$105,$AA36)+求节点(T$67:T$105,$Q$67:$Q$105,$AA36)</f>
        <v>353000</v>
      </c>
      <c r="AH36" s="5">
        <f>求节点(U$6:U$44,$D$67:$D$105,$AA36)+求节点(U$67:U$105,$Q$67:$Q$105,$AA36)</f>
        <v>389908.5652348898</v>
      </c>
      <c r="AI36" s="5">
        <f>求节点(V$6:V$44,$D$67:$D$105,$AA36)+求节点(V$67:V$105,$Q$67:$Q$105,$AA36)</f>
        <v>462626.60531595832</v>
      </c>
      <c r="AJ36" s="5">
        <f>求节点(W$6:W$44,$D$67:$D$105,$AA36)+求节点(W$67:W$105,$Q$67:$Q$105,$AA36)</f>
        <v>567142.59297291585</v>
      </c>
      <c r="AK36" s="5">
        <f>求节点(X$6:X$44,$D$67:$D$105,$AA36)+求节点(X$67:X$105,$Q$67:$Q$105,$AA36)</f>
        <v>652077.85133610968</v>
      </c>
      <c r="AL36" s="5">
        <f>求节点(T$6:T$44,$F$67:$F$105,$AA36)+求节点(T$67:T$105,$P$67:$P$105,$AA36)</f>
        <v>294400</v>
      </c>
      <c r="AM36" s="5">
        <f>求节点(U$6:U$44,$F$67:$F$105,$AA36)+求节点(U$67:U$105,$P$67:$P$105,$AA36)</f>
        <v>305607.83656347438</v>
      </c>
      <c r="AN36" s="5">
        <f>求节点(V$6:V$44,$F$67:$F$105,$AA36)+求节点(V$67:V$105,$P$67:$P$105,$AA36)</f>
        <v>323153.63356013171</v>
      </c>
      <c r="AO36" s="5">
        <f>求节点(W$6:W$44,$F$67:$F$105,$AA36)+求节点(W$67:W$105,$P$67:$P$105,$AA36)</f>
        <v>346975.17214540916</v>
      </c>
      <c r="AP36" s="5">
        <f>求节点(X$6:X$44,$F$67:$F$105,$AA36)+求节点(X$67:X$105,$P$67:$P$105,$AA36)</f>
        <v>362759.60069078143</v>
      </c>
      <c r="AQ36" s="5">
        <f>求节点(T$6:T$44,$H$67:$H$105,$AA36)</f>
        <v>198600</v>
      </c>
      <c r="AR36" s="5">
        <f>求节点(U$6:U$44,$H$67:$H$105,$AA36)</f>
        <v>207295.7352647646</v>
      </c>
      <c r="AS36" s="5">
        <f>求节点(V$6:V$44,$H$67:$H$105,$AA36)</f>
        <v>220254.31983944142</v>
      </c>
      <c r="AT36" s="5">
        <f>求节点(W$6:W$44,$H$67:$H$105,$AA36)</f>
        <v>237725.12296100653</v>
      </c>
      <c r="AU36" s="5">
        <f>求节点(X$6:X$44,$H$67:$H$105,$AA36)</f>
        <v>248999.7147791296</v>
      </c>
      <c r="AV36" s="5">
        <f>求节点(T$6:T$44,$I$67:$I$105,$AA36)</f>
        <v>747333.33333333337</v>
      </c>
      <c r="AW36" s="5">
        <f>求节点(U$6:U$44,$I$67:$I$105,$AA36)</f>
        <v>802084.25907444383</v>
      </c>
      <c r="AX36" s="5">
        <f>求节点(V$6:V$44,$I$67:$I$105,$AA36)</f>
        <v>899610.41656466865</v>
      </c>
      <c r="AY36" s="5">
        <f>求节点(W$6:W$44,$I$67:$I$105,$AA36)</f>
        <v>1036241.8519439108</v>
      </c>
      <c r="AZ36" s="5">
        <f>求节点(X$6:X$44,$I$67:$I$105,$AA36)</f>
        <v>1138130.7557817639</v>
      </c>
      <c r="BA36" s="5">
        <f>求节点(T$6:T$44,$E$67:$E$105,$AA36)+求节点(T$6:T$44,$K$67:$K$105,$AA36)+求节点(T$67:T$105,$O$67:$O$105,$AA36)</f>
        <v>2218.6666666666665</v>
      </c>
      <c r="BB36" s="5">
        <f>求节点(U$6:U$44,$E$67:$E$105,$AA36)+求节点(U$6:U$44,$K$67:$K$105,$AA36)+求节点(U$67:U$105,$O$67:$O$105,$AA36)</f>
        <v>2285.6560346322608</v>
      </c>
      <c r="BC36" s="5">
        <f>求节点(V$6:V$44,$E$67:$E$105,$AA36)+求节点(V$6:V$44,$K$67:$K$105,$AA36)+求节点(V$67:V$105,$O$67:$O$105,$AA36)</f>
        <v>2385.4851306149562</v>
      </c>
      <c r="BD36" s="5">
        <f>求节点(W$6:W$44,$E$67:$E$105,$AA36)+求节点(W$6:W$44,$K$67:$K$105,$AA36)+求节点(W$67:W$105,$O$67:$O$105,$AA36)</f>
        <v>2520.0750213292358</v>
      </c>
      <c r="BE36" s="5">
        <f>求节点(X$6:X$44,$E$67:$E$105,$AA36)+求节点(X$6:X$44,$K$67:$K$105,$AA36)+求节点(X$67:X$105,$O$67:$O$105,$AA36)</f>
        <v>2606.9311360762576</v>
      </c>
      <c r="BF36" s="5">
        <f>求节点(T$6:T$44,$G$67:$G$105,$AA36)</f>
        <v>0</v>
      </c>
      <c r="BG36" s="5">
        <f>求节点(U$6:U$44,$G$67:$G$105,$AA36)</f>
        <v>0</v>
      </c>
      <c r="BH36" s="5">
        <f>求节点(V$6:V$44,$G$67:$G$105,$AA36)</f>
        <v>0</v>
      </c>
      <c r="BI36" s="5">
        <f>求节点(W$6:W$44,$G$67:$G$105,$AA36)</f>
        <v>0</v>
      </c>
      <c r="BJ36" s="5">
        <f>求节点(X$6:X$44,$G$67:$G$105,$AA36)</f>
        <v>0</v>
      </c>
      <c r="BK36" s="5">
        <f>求节点(T$6:T$44,$M$67:$M$105,$AA36)</f>
        <v>21.333333333333332</v>
      </c>
      <c r="BL36" s="5">
        <f>求节点(U$6:U$44,$M$67:$M$105,$AA36)</f>
        <v>21.977461871464044</v>
      </c>
      <c r="BM36" s="5">
        <f>求节点(V$6:V$44,$M$67:$M$105,$AA36)</f>
        <v>22.937357025143811</v>
      </c>
      <c r="BN36" s="5">
        <f>求节点(W$6:W$44,$M$67:$M$105,$AA36)</f>
        <v>24.231490589704187</v>
      </c>
      <c r="BO36" s="5">
        <f>求节点(X$6:X$44,$M$67:$M$105,$AA36)</f>
        <v>25.066645539194788</v>
      </c>
      <c r="BP36" s="5">
        <f>求节点(T$67:T$105,$L$67:$L$105,$AA36)</f>
        <v>0</v>
      </c>
      <c r="BQ36" s="5">
        <f>求节点(U$67:U$105,$L$67:$L$105,$AA36)</f>
        <v>0</v>
      </c>
      <c r="BR36" s="5">
        <f>求节点(V$67:V$105,$L$67:$L$105,$AA36)</f>
        <v>0</v>
      </c>
      <c r="BS36" s="5">
        <f>求节点(W$67:W$105,$L$67:$L$105,$AA36)</f>
        <v>0</v>
      </c>
      <c r="BT36" s="5">
        <f>求节点(X$67:X$105,$L$67:$L$105,$AA36)</f>
        <v>0</v>
      </c>
      <c r="BZ36" s="5">
        <v>32</v>
      </c>
      <c r="CA36" s="5">
        <f t="shared" si="9"/>
        <v>2218.6666666666665</v>
      </c>
      <c r="CB36" s="5">
        <f t="shared" si="10"/>
        <v>2285.6560346322608</v>
      </c>
      <c r="CC36" s="5">
        <f t="shared" si="11"/>
        <v>2385.4851306149562</v>
      </c>
      <c r="CD36" s="5">
        <f t="shared" si="12"/>
        <v>2520.0750213292358</v>
      </c>
      <c r="CE36" s="5">
        <f t="shared" si="13"/>
        <v>2606.9311360762576</v>
      </c>
      <c r="CF36" s="5">
        <f>(CA36-CA35)/节奏总纲!W35</f>
        <v>112.66400757192604</v>
      </c>
      <c r="CI36" s="5">
        <v>32</v>
      </c>
      <c r="CJ36" s="5">
        <f t="shared" si="14"/>
        <v>5120</v>
      </c>
      <c r="CK36" s="5">
        <f t="shared" si="15"/>
        <v>5274.590849151371</v>
      </c>
      <c r="CL36" s="5">
        <f t="shared" si="16"/>
        <v>5504.9656860345149</v>
      </c>
      <c r="CM36" s="5">
        <f t="shared" si="17"/>
        <v>5815.5577415290045</v>
      </c>
      <c r="CN36" s="5">
        <f t="shared" si="18"/>
        <v>6015.9949294067492</v>
      </c>
      <c r="CO36" s="5">
        <f>(CJ36-CJ35)/节奏总纲!W35</f>
        <v>259.99386362752273</v>
      </c>
      <c r="CP36" s="5">
        <f t="shared" si="2"/>
        <v>372.65787119944878</v>
      </c>
      <c r="CR36" s="5">
        <v>32</v>
      </c>
      <c r="CS36" s="5">
        <f t="shared" si="3"/>
        <v>0</v>
      </c>
      <c r="CT36" s="5">
        <f t="shared" si="4"/>
        <v>0</v>
      </c>
      <c r="CU36" s="5">
        <f t="shared" si="5"/>
        <v>0</v>
      </c>
      <c r="CV36" s="5">
        <f t="shared" si="6"/>
        <v>0</v>
      </c>
      <c r="CW36" s="5">
        <f t="shared" si="7"/>
        <v>0</v>
      </c>
      <c r="CX36" s="5">
        <f t="shared" si="20"/>
        <v>0</v>
      </c>
      <c r="CY36" s="5">
        <f t="shared" si="21"/>
        <v>0</v>
      </c>
      <c r="CZ36" s="5">
        <f t="shared" si="22"/>
        <v>0</v>
      </c>
      <c r="DA36" s="5">
        <f t="shared" si="23"/>
        <v>0</v>
      </c>
      <c r="DB36" s="5">
        <f t="shared" si="24"/>
        <v>0</v>
      </c>
    </row>
    <row r="37" spans="2:106" x14ac:dyDescent="0.15">
      <c r="B37" s="16">
        <v>32</v>
      </c>
      <c r="C37" s="16"/>
      <c r="D37" s="17">
        <f t="shared" si="25"/>
        <v>5191800</v>
      </c>
      <c r="E37" s="16">
        <v>120</v>
      </c>
      <c r="F37" s="17">
        <f t="shared" si="26"/>
        <v>62400</v>
      </c>
      <c r="G37" s="16"/>
      <c r="H37" s="5">
        <v>27000</v>
      </c>
      <c r="I37" s="5">
        <f>ROUND(20*4/INDEX('[1]功能-付费相关'!$U$6:$U$165,基本信息!U35,1)/4000,0)*4000/2</f>
        <v>1154000</v>
      </c>
      <c r="J37" s="5">
        <f>ROUND(50*2/INDEX('[1]功能-付费相关'!$AS$6:$AS$165,基本信息!U35,1)/2000,0)*2000</f>
        <v>92000</v>
      </c>
      <c r="K37" s="16">
        <v>88</v>
      </c>
      <c r="M37" s="5">
        <v>2</v>
      </c>
      <c r="N37" s="16">
        <v>0</v>
      </c>
      <c r="O37" s="16"/>
      <c r="P37" s="16">
        <v>0</v>
      </c>
      <c r="Q37" s="16">
        <v>0</v>
      </c>
      <c r="S37" s="16">
        <v>32</v>
      </c>
      <c r="T37" s="5">
        <f>基本信息!C35</f>
        <v>96</v>
      </c>
      <c r="U37" s="5">
        <f>基本信息!D35</f>
        <v>91.672812846011965</v>
      </c>
      <c r="V37" s="5">
        <f>基本信息!E35</f>
        <v>88.70448692011675</v>
      </c>
      <c r="W37" s="5">
        <f>基本信息!F35</f>
        <v>83.342406179560157</v>
      </c>
      <c r="X37" s="5">
        <f>基本信息!G35</f>
        <v>81.54008445601815</v>
      </c>
      <c r="AA37" s="5">
        <v>33</v>
      </c>
      <c r="AB37" s="5">
        <f>求节点(T$6:T$44,$C$67:$C$105,$AA37)</f>
        <v>0</v>
      </c>
      <c r="AC37" s="5">
        <f>求节点(U$6:U$44,$C$67:$C$105,$AA37)</f>
        <v>0</v>
      </c>
      <c r="AD37" s="5">
        <f>求节点(V$6:V$44,$C$67:$C$105,$AA37)</f>
        <v>0</v>
      </c>
      <c r="AE37" s="5">
        <f>求节点(W$6:W$44,$C$67:$C$105,$AA37)</f>
        <v>0</v>
      </c>
      <c r="AF37" s="5">
        <f>求节点(X$6:X$44,$C$67:$C$105,$AA37)</f>
        <v>0</v>
      </c>
      <c r="AG37" s="5">
        <f>求节点(T$6:T$44,$D$67:$D$105,$AA37)+求节点(T$67:T$105,$Q$67:$Q$105,$AA37)</f>
        <v>391200</v>
      </c>
      <c r="AH37" s="5">
        <f>求节点(U$6:U$44,$D$67:$D$105,$AA37)+求节点(U$67:U$105,$Q$67:$Q$105,$AA37)</f>
        <v>441005.08640357875</v>
      </c>
      <c r="AI37" s="5">
        <f>求节点(V$6:V$44,$D$67:$D$105,$AA37)+求节点(V$67:V$105,$Q$67:$Q$105,$AA37)</f>
        <v>521523.6048467962</v>
      </c>
      <c r="AJ37" s="5">
        <f>求节点(W$6:W$44,$D$67:$D$105,$AA37)+求节点(W$67:W$105,$Q$67:$Q$105,$AA37)</f>
        <v>643951.85048344883</v>
      </c>
      <c r="AK37" s="5">
        <f>求节点(X$6:X$44,$D$67:$D$105,$AA37)+求节点(X$67:X$105,$Q$67:$Q$105,$AA37)</f>
        <v>735352.19255647669</v>
      </c>
      <c r="AL37" s="5">
        <f>求节点(T$6:T$44,$F$67:$F$105,$AA37)+求节点(T$67:T$105,$P$67:$P$105,$AA37)</f>
        <v>306000</v>
      </c>
      <c r="AM37" s="5">
        <f>求节点(U$6:U$44,$F$67:$F$105,$AA37)+求节点(U$67:U$105,$P$67:$P$105,$AA37)</f>
        <v>317961.06405755237</v>
      </c>
      <c r="AN37" s="5">
        <f>求节点(V$6:V$44,$F$67:$F$105,$AA37)+求节点(V$67:V$105,$P$67:$P$105,$AA37)</f>
        <v>337298.18856556917</v>
      </c>
      <c r="AO37" s="5">
        <f>求节点(W$6:W$44,$F$67:$F$105,$AA37)+求节点(W$67:W$105,$P$67:$P$105,$AA37)</f>
        <v>361249.45893940201</v>
      </c>
      <c r="AP37" s="5">
        <f>求节点(X$6:X$44,$F$67:$F$105,$AA37)+求节点(X$67:X$105,$P$67:$P$105,$AA37)</f>
        <v>378235.36321846023</v>
      </c>
      <c r="AQ37" s="5">
        <f>求节点(T$6:T$44,$H$67:$H$105,$AA37)</f>
        <v>207600</v>
      </c>
      <c r="AR37" s="5">
        <f>求节点(U$6:U$44,$H$67:$H$105,$AA37)</f>
        <v>216423.7357801616</v>
      </c>
      <c r="AS37" s="5">
        <f>求节点(V$6:V$44,$H$67:$H$105,$AA37)</f>
        <v>230688.82763033791</v>
      </c>
      <c r="AT37" s="5">
        <f>求节点(W$6:W$44,$H$67:$H$105,$AA37)</f>
        <v>247921.04209957283</v>
      </c>
      <c r="AU37" s="5">
        <f>求节点(X$6:X$44,$H$67:$H$105,$AA37)</f>
        <v>260053.83087032876</v>
      </c>
      <c r="AV37" s="5">
        <f>求节点(T$6:T$44,$I$67:$I$105,$AA37)</f>
        <v>804000</v>
      </c>
      <c r="AW37" s="5">
        <f>求节点(U$6:U$44,$I$67:$I$105,$AA37)</f>
        <v>870668.22589455429</v>
      </c>
      <c r="AX37" s="5">
        <f>求节点(V$6:V$44,$I$67:$I$105,$AA37)</f>
        <v>978448.91987366416</v>
      </c>
      <c r="AY37" s="5">
        <f>求节点(W$6:W$44,$I$67:$I$105,$AA37)</f>
        <v>1128382.7508257695</v>
      </c>
      <c r="AZ37" s="5">
        <f>求节点(X$6:X$44,$I$67:$I$105,$AA37)</f>
        <v>1238027.2123096376</v>
      </c>
      <c r="BA37" s="5">
        <f>求节点(T$6:T$44,$E$67:$E$105,$AA37)+求节点(T$6:T$44,$K$67:$K$105,$AA37)+求节点(T$67:T$105,$O$67:$O$105,$AA37)</f>
        <v>2288</v>
      </c>
      <c r="BB37" s="5">
        <f>求节点(U$6:U$44,$E$67:$E$105,$AA37)+求节点(U$6:U$44,$K$67:$K$105,$AA37)+求节点(U$67:U$105,$O$67:$O$105,$AA37)</f>
        <v>2355.975446010134</v>
      </c>
      <c r="BC37" s="5">
        <f>求节点(V$6:V$44,$E$67:$E$105,$AA37)+求节点(V$6:V$44,$K$67:$K$105,$AA37)+求节点(V$67:V$105,$O$67:$O$105,$AA37)</f>
        <v>2465.8694869300107</v>
      </c>
      <c r="BD37" s="5">
        <f>求节点(W$6:W$44,$E$67:$E$105,$AA37)+求节点(W$6:W$44,$K$67:$K$105,$AA37)+求节点(W$67:W$105,$O$67:$O$105,$AA37)</f>
        <v>2598.6213613596719</v>
      </c>
      <c r="BE37" s="5">
        <f>求节点(X$6:X$44,$E$67:$E$105,$AA37)+求节点(X$6:X$44,$K$67:$K$105,$AA37)+求节点(X$67:X$105,$O$67:$O$105,$AA37)</f>
        <v>2692.0887711491996</v>
      </c>
      <c r="BF37" s="5">
        <f>求节点(T$6:T$44,$G$67:$G$105,$AA37)</f>
        <v>0</v>
      </c>
      <c r="BG37" s="5">
        <f>求节点(U$6:U$44,$G$67:$G$105,$AA37)</f>
        <v>0</v>
      </c>
      <c r="BH37" s="5">
        <f>求节点(V$6:V$44,$G$67:$G$105,$AA37)</f>
        <v>0</v>
      </c>
      <c r="BI37" s="5">
        <f>求节点(W$6:W$44,$G$67:$G$105,$AA37)</f>
        <v>0</v>
      </c>
      <c r="BJ37" s="5">
        <f>求节点(X$6:X$44,$G$67:$G$105,$AA37)</f>
        <v>0</v>
      </c>
      <c r="BK37" s="5">
        <f>求节点(T$6:T$44,$M$67:$M$105,$AA37)</f>
        <v>22</v>
      </c>
      <c r="BL37" s="5">
        <f>求节点(U$6:U$44,$M$67:$M$105,$AA37)</f>
        <v>22.653610057789749</v>
      </c>
      <c r="BM37" s="5">
        <f>求节点(V$6:V$44,$M$67:$M$105,$AA37)</f>
        <v>23.710283528173179</v>
      </c>
      <c r="BN37" s="5">
        <f>求节点(W$6:W$44,$M$67:$M$105,$AA37)</f>
        <v>24.986743859227619</v>
      </c>
      <c r="BO37" s="5">
        <f>求节点(X$6:X$44,$M$67:$M$105,$AA37)</f>
        <v>25.885468953357687</v>
      </c>
      <c r="BP37" s="5">
        <f>求节点(T$67:T$105,$L$67:$L$105,$AA37)</f>
        <v>0</v>
      </c>
      <c r="BQ37" s="5">
        <f>求节点(U$67:U$105,$L$67:$L$105,$AA37)</f>
        <v>0</v>
      </c>
      <c r="BR37" s="5">
        <f>求节点(V$67:V$105,$L$67:$L$105,$AA37)</f>
        <v>0</v>
      </c>
      <c r="BS37" s="5">
        <f>求节点(W$67:W$105,$L$67:$L$105,$AA37)</f>
        <v>0</v>
      </c>
      <c r="BT37" s="5">
        <f>求节点(X$67:X$105,$L$67:$L$105,$AA37)</f>
        <v>0</v>
      </c>
      <c r="BZ37" s="5">
        <v>33</v>
      </c>
      <c r="CA37" s="5">
        <f t="shared" si="9"/>
        <v>2288</v>
      </c>
      <c r="CB37" s="5">
        <f t="shared" si="10"/>
        <v>2355.975446010134</v>
      </c>
      <c r="CC37" s="5">
        <f t="shared" si="11"/>
        <v>2465.8694869300107</v>
      </c>
      <c r="CD37" s="5">
        <f t="shared" si="12"/>
        <v>2598.6213613596719</v>
      </c>
      <c r="CE37" s="5">
        <f t="shared" si="13"/>
        <v>2692.0887711491996</v>
      </c>
      <c r="CF37" s="5">
        <f>(CA37-CA36)/节奏总纲!W36</f>
        <v>105.11923602336061</v>
      </c>
      <c r="CI37" s="5">
        <v>33</v>
      </c>
      <c r="CJ37" s="5">
        <f t="shared" si="14"/>
        <v>5280</v>
      </c>
      <c r="CK37" s="5">
        <f t="shared" si="15"/>
        <v>5436.8664138695394</v>
      </c>
      <c r="CL37" s="5">
        <f t="shared" si="16"/>
        <v>5690.4680467615626</v>
      </c>
      <c r="CM37" s="5">
        <f t="shared" si="17"/>
        <v>5996.8185262146289</v>
      </c>
      <c r="CN37" s="5">
        <f t="shared" si="18"/>
        <v>6212.5125488058447</v>
      </c>
      <c r="CO37" s="5">
        <f>(CJ37-CJ36)/节奏总纲!W36</f>
        <v>242.58285236160089</v>
      </c>
      <c r="CP37" s="5">
        <f t="shared" ref="CP37:CP68" si="27">CO37+CF37</f>
        <v>347.70208838496148</v>
      </c>
      <c r="CR37" s="5">
        <v>33</v>
      </c>
      <c r="CS37" s="5">
        <f t="shared" ref="CS37:CS68" si="28">BP37</f>
        <v>0</v>
      </c>
      <c r="CT37" s="5">
        <f t="shared" ref="CT37:CT68" si="29">BQ37</f>
        <v>0</v>
      </c>
      <c r="CU37" s="5">
        <f t="shared" ref="CU37:CU68" si="30">BR37</f>
        <v>0</v>
      </c>
      <c r="CV37" s="5">
        <f t="shared" ref="CV37:CV68" si="31">BS37</f>
        <v>0</v>
      </c>
      <c r="CW37" s="5">
        <f t="shared" ref="CW37:CW68" si="32">BT37</f>
        <v>0</v>
      </c>
      <c r="CX37" s="5">
        <f t="shared" si="20"/>
        <v>0</v>
      </c>
      <c r="CY37" s="5">
        <f t="shared" si="21"/>
        <v>0</v>
      </c>
      <c r="CZ37" s="5">
        <f t="shared" si="22"/>
        <v>0</v>
      </c>
      <c r="DA37" s="5">
        <f t="shared" si="23"/>
        <v>0</v>
      </c>
      <c r="DB37" s="5">
        <f t="shared" si="24"/>
        <v>0</v>
      </c>
    </row>
    <row r="38" spans="2:106" x14ac:dyDescent="0.15">
      <c r="B38" s="16">
        <v>33</v>
      </c>
      <c r="C38" s="16"/>
      <c r="D38" s="17">
        <f t="shared" si="25"/>
        <v>5191800</v>
      </c>
      <c r="E38" s="16">
        <v>120</v>
      </c>
      <c r="F38" s="17">
        <f t="shared" si="26"/>
        <v>62400</v>
      </c>
      <c r="G38" s="16"/>
      <c r="H38" s="5">
        <v>27000</v>
      </c>
      <c r="I38" s="5">
        <f>ROUND(20*4/INDEX('[1]功能-付费相关'!$U$6:$U$165,基本信息!U36,1)/4000,0)*4000/2</f>
        <v>1172000</v>
      </c>
      <c r="J38" s="5">
        <f>ROUND(50*2/INDEX('[1]功能-付费相关'!$AS$6:$AS$165,基本信息!U36,1)/2000,0)*2000</f>
        <v>92000</v>
      </c>
      <c r="K38" s="16">
        <v>88</v>
      </c>
      <c r="M38" s="5">
        <v>2</v>
      </c>
      <c r="N38" s="16">
        <v>0</v>
      </c>
      <c r="O38" s="16"/>
      <c r="P38" s="16">
        <v>0</v>
      </c>
      <c r="Q38" s="16">
        <v>0</v>
      </c>
      <c r="S38" s="16">
        <v>33</v>
      </c>
      <c r="T38" s="5">
        <f>基本信息!C36</f>
        <v>99</v>
      </c>
      <c r="U38" s="5">
        <f>基本信息!D36</f>
        <v>94.679031394309504</v>
      </c>
      <c r="V38" s="5">
        <f>基本信息!E36</f>
        <v>91.372787090009808</v>
      </c>
      <c r="W38" s="5">
        <f>基本信息!F36</f>
        <v>86.153102206933823</v>
      </c>
      <c r="X38" s="5">
        <f>基本信息!G36</f>
        <v>84.175263525571935</v>
      </c>
      <c r="AA38" s="5">
        <v>34</v>
      </c>
      <c r="AB38" s="5">
        <f>求节点(T$6:T$44,$C$67:$C$105,$AA38)</f>
        <v>0</v>
      </c>
      <c r="AC38" s="5">
        <f>求节点(U$6:U$44,$C$67:$C$105,$AA38)</f>
        <v>0</v>
      </c>
      <c r="AD38" s="5">
        <f>求节点(V$6:V$44,$C$67:$C$105,$AA38)</f>
        <v>0</v>
      </c>
      <c r="AE38" s="5">
        <f>求节点(W$6:W$44,$C$67:$C$105,$AA38)</f>
        <v>0</v>
      </c>
      <c r="AF38" s="5">
        <f>求节点(X$6:X$44,$C$67:$C$105,$AA38)</f>
        <v>0</v>
      </c>
      <c r="AG38" s="5">
        <f>求节点(T$6:T$44,$D$67:$D$105,$AA38)+求节点(T$67:T$105,$Q$67:$Q$105,$AA38)</f>
        <v>442000</v>
      </c>
      <c r="AH38" s="5">
        <f>求节点(U$6:U$44,$D$67:$D$105,$AA38)+求节点(U$67:U$105,$Q$67:$Q$105,$AA38)</f>
        <v>492448.41142503568</v>
      </c>
      <c r="AI38" s="5">
        <f>求节点(V$6:V$44,$D$67:$D$105,$AA38)+求节点(V$67:V$105,$Q$67:$Q$105,$AA38)</f>
        <v>582509.57124197239</v>
      </c>
      <c r="AJ38" s="5">
        <f>求节点(W$6:W$44,$D$67:$D$105,$AA38)+求节点(W$67:W$105,$Q$67:$Q$105,$AA38)</f>
        <v>720761.10799398168</v>
      </c>
      <c r="AK38" s="5">
        <f>求节点(X$6:X$44,$D$67:$D$105,$AA38)+求节点(X$67:X$105,$Q$67:$Q$105,$AA38)</f>
        <v>849117.25229241408</v>
      </c>
      <c r="AL38" s="5">
        <f>求节点(T$6:T$44,$F$67:$F$105,$AA38)+求节点(T$67:T$105,$P$67:$P$105,$AA38)</f>
        <v>318200</v>
      </c>
      <c r="AM38" s="5">
        <f>求节点(U$6:U$44,$F$67:$F$105,$AA38)+求节点(U$67:U$105,$P$67:$P$105,$AA38)</f>
        <v>330315.563373729</v>
      </c>
      <c r="AN38" s="5">
        <f>求节点(V$6:V$44,$F$67:$F$105,$AA38)+求节点(V$67:V$105,$P$67:$P$105,$AA38)</f>
        <v>349830.98226620728</v>
      </c>
      <c r="AO38" s="5">
        <f>求节点(W$6:W$44,$F$67:$F$105,$AA38)+求节点(W$67:W$105,$P$67:$P$105,$AA38)</f>
        <v>375523.74573339481</v>
      </c>
      <c r="AP38" s="5">
        <f>求节点(X$6:X$44,$F$67:$F$105,$AA38)+求节点(X$67:X$105,$P$67:$P$105,$AA38)</f>
        <v>395343.98814035329</v>
      </c>
      <c r="AQ38" s="5">
        <f>求节点(T$6:T$44,$H$67:$H$105,$AA38)</f>
        <v>216600</v>
      </c>
      <c r="AR38" s="5">
        <f>求节点(U$6:U$44,$H$67:$H$105,$AA38)</f>
        <v>225537.71068553781</v>
      </c>
      <c r="AS38" s="5">
        <f>求节点(V$6:V$44,$H$67:$H$105,$AA38)</f>
        <v>239764.98733300518</v>
      </c>
      <c r="AT38" s="5">
        <f>求节点(W$6:W$44,$H$67:$H$105,$AA38)</f>
        <v>258116.96123813916</v>
      </c>
      <c r="AU38" s="5">
        <f>求节点(X$6:X$44,$H$67:$H$105,$AA38)</f>
        <v>271789.08282296814</v>
      </c>
      <c r="AV38" s="5">
        <f>求节点(T$6:T$44,$I$67:$I$105,$AA38)</f>
        <v>872000</v>
      </c>
      <c r="AW38" s="5">
        <f>求节点(U$6:U$44,$I$67:$I$105,$AA38)</f>
        <v>939529.36962406349</v>
      </c>
      <c r="AX38" s="5">
        <f>求节点(V$6:V$44,$I$67:$I$105,$AA38)</f>
        <v>1054676.181824195</v>
      </c>
      <c r="AY38" s="5">
        <f>求节点(W$6:W$44,$I$67:$I$105,$AA38)</f>
        <v>1220523.6497076279</v>
      </c>
      <c r="AZ38" s="5">
        <f>求节点(X$6:X$44,$I$67:$I$105,$AA38)</f>
        <v>1360683.5501116603</v>
      </c>
      <c r="BA38" s="5">
        <f>求节点(T$6:T$44,$E$67:$E$105,$AA38)+求节点(T$6:T$44,$K$67:$K$105,$AA38)+求节点(T$67:T$105,$O$67:$O$105,$AA38)</f>
        <v>2357.3333333333335</v>
      </c>
      <c r="BB38" s="5">
        <f>求节点(U$6:U$44,$E$67:$E$105,$AA38)+求节点(U$6:U$44,$K$67:$K$105,$AA38)+求节点(U$67:U$105,$O$67:$O$105,$AA38)</f>
        <v>2426.1868082441433</v>
      </c>
      <c r="BC38" s="5">
        <f>求节点(V$6:V$44,$E$67:$E$105,$AA38)+求节点(V$6:V$44,$K$67:$K$105,$AA38)+求节点(V$67:V$105,$O$67:$O$105,$AA38)</f>
        <v>2535.7895320468547</v>
      </c>
      <c r="BD38" s="5">
        <f>求节点(W$6:W$44,$E$67:$E$105,$AA38)+求节点(W$6:W$44,$K$67:$K$105,$AA38)+求节点(W$67:W$105,$O$67:$O$105,$AA38)</f>
        <v>2677.167701390109</v>
      </c>
      <c r="BE38" s="5">
        <f>求节点(X$6:X$44,$E$67:$E$105,$AA38)+求节点(X$6:X$44,$K$67:$K$105,$AA38)+求节点(X$67:X$105,$O$67:$O$105,$AA38)</f>
        <v>2782.4936750806437</v>
      </c>
      <c r="BF38" s="5">
        <f>求节点(T$6:T$44,$G$67:$G$105,$AA38)</f>
        <v>0</v>
      </c>
      <c r="BG38" s="5">
        <f>求节点(U$6:U$44,$G$67:$G$105,$AA38)</f>
        <v>0</v>
      </c>
      <c r="BH38" s="5">
        <f>求节点(V$6:V$44,$G$67:$G$105,$AA38)</f>
        <v>0</v>
      </c>
      <c r="BI38" s="5">
        <f>求节点(W$6:W$44,$G$67:$G$105,$AA38)</f>
        <v>0</v>
      </c>
      <c r="BJ38" s="5">
        <f>求节点(X$6:X$44,$G$67:$G$105,$AA38)</f>
        <v>0</v>
      </c>
      <c r="BK38" s="5">
        <f>求节点(T$6:T$44,$M$67:$M$105,$AA38)</f>
        <v>22.666666666666668</v>
      </c>
      <c r="BL38" s="5">
        <f>求节点(U$6:U$44,$M$67:$M$105,$AA38)</f>
        <v>23.328719310039837</v>
      </c>
      <c r="BM38" s="5">
        <f>求节点(V$6:V$44,$M$67:$M$105,$AA38)</f>
        <v>24.382591654296679</v>
      </c>
      <c r="BN38" s="5">
        <f>求节点(W$6:W$44,$M$67:$M$105,$AA38)</f>
        <v>25.741997128751049</v>
      </c>
      <c r="BO38" s="5">
        <f>求节点(X$6:X$44,$M$67:$M$105,$AA38)</f>
        <v>26.754746875775417</v>
      </c>
      <c r="BP38" s="5">
        <f>求节点(T$67:T$105,$L$67:$L$105,$AA38)</f>
        <v>0</v>
      </c>
      <c r="BQ38" s="5">
        <f>求节点(U$67:U$105,$L$67:$L$105,$AA38)</f>
        <v>0</v>
      </c>
      <c r="BR38" s="5">
        <f>求节点(V$67:V$105,$L$67:$L$105,$AA38)</f>
        <v>0</v>
      </c>
      <c r="BS38" s="5">
        <f>求节点(W$67:W$105,$L$67:$L$105,$AA38)</f>
        <v>0</v>
      </c>
      <c r="BT38" s="5">
        <f>求节点(X$67:X$105,$L$67:$L$105,$AA38)</f>
        <v>0</v>
      </c>
      <c r="BZ38" s="5">
        <v>34</v>
      </c>
      <c r="CA38" s="5">
        <f t="shared" si="9"/>
        <v>2357.3333333333335</v>
      </c>
      <c r="CB38" s="5">
        <f t="shared" si="10"/>
        <v>2426.1868082441433</v>
      </c>
      <c r="CC38" s="5">
        <f t="shared" si="11"/>
        <v>2535.7895320468547</v>
      </c>
      <c r="CD38" s="5">
        <f t="shared" si="12"/>
        <v>2677.167701390109</v>
      </c>
      <c r="CE38" s="5">
        <f t="shared" si="13"/>
        <v>2782.4936750806437</v>
      </c>
      <c r="CF38" s="5">
        <f>(CA38-CA37)/节奏总纲!W37</f>
        <v>98.079715254939899</v>
      </c>
      <c r="CI38" s="5">
        <v>34</v>
      </c>
      <c r="CJ38" s="5">
        <f t="shared" si="14"/>
        <v>5440</v>
      </c>
      <c r="CK38" s="5">
        <f t="shared" si="15"/>
        <v>5598.8926344095607</v>
      </c>
      <c r="CL38" s="5">
        <f t="shared" si="16"/>
        <v>5851.821997031203</v>
      </c>
      <c r="CM38" s="5">
        <f t="shared" si="17"/>
        <v>6178.0793109002516</v>
      </c>
      <c r="CN38" s="5">
        <f t="shared" si="18"/>
        <v>6421.1392501861001</v>
      </c>
      <c r="CO38" s="5">
        <f>(CJ38-CJ37)/节奏总纲!W37</f>
        <v>226.3378044344762</v>
      </c>
      <c r="CP38" s="5">
        <f t="shared" si="27"/>
        <v>324.41751968941611</v>
      </c>
      <c r="CR38" s="5">
        <v>34</v>
      </c>
      <c r="CS38" s="5">
        <f t="shared" si="28"/>
        <v>0</v>
      </c>
      <c r="CT38" s="5">
        <f t="shared" si="29"/>
        <v>0</v>
      </c>
      <c r="CU38" s="5">
        <f t="shared" si="30"/>
        <v>0</v>
      </c>
      <c r="CV38" s="5">
        <f t="shared" si="31"/>
        <v>0</v>
      </c>
      <c r="CW38" s="5">
        <f t="shared" si="32"/>
        <v>0</v>
      </c>
      <c r="CX38" s="5">
        <f t="shared" si="20"/>
        <v>0</v>
      </c>
      <c r="CY38" s="5">
        <f t="shared" si="21"/>
        <v>0</v>
      </c>
      <c r="CZ38" s="5">
        <f t="shared" si="22"/>
        <v>0</v>
      </c>
      <c r="DA38" s="5">
        <f t="shared" si="23"/>
        <v>0</v>
      </c>
      <c r="DB38" s="5">
        <f t="shared" si="24"/>
        <v>0</v>
      </c>
    </row>
    <row r="39" spans="2:106" x14ac:dyDescent="0.15">
      <c r="B39" s="16">
        <v>34</v>
      </c>
      <c r="C39" s="16"/>
      <c r="D39" s="18">
        <f>D38*1.2</f>
        <v>6230160</v>
      </c>
      <c r="E39" s="16">
        <v>120</v>
      </c>
      <c r="F39" s="17">
        <f t="shared" si="26"/>
        <v>62400</v>
      </c>
      <c r="G39" s="16"/>
      <c r="H39" s="5">
        <v>27000</v>
      </c>
      <c r="I39" s="5">
        <f>ROUND(20*4/INDEX('[1]功能-付费相关'!$U$6:$U$165,基本信息!U37,1)/4000,0)*4000/2</f>
        <v>1190000</v>
      </c>
      <c r="J39" s="5">
        <f>ROUND(50*2/INDEX('[1]功能-付费相关'!$AS$6:$AS$165,基本信息!U37,1)/2000,0)*2000</f>
        <v>94000</v>
      </c>
      <c r="K39" s="16">
        <v>88</v>
      </c>
      <c r="M39" s="5">
        <v>2</v>
      </c>
      <c r="N39" s="16">
        <v>0</v>
      </c>
      <c r="O39" s="16"/>
      <c r="P39" s="16">
        <v>0</v>
      </c>
      <c r="Q39" s="16">
        <v>0</v>
      </c>
      <c r="S39" s="16">
        <v>34</v>
      </c>
      <c r="T39" s="5">
        <f>基本信息!C37</f>
        <v>102</v>
      </c>
      <c r="U39" s="5">
        <f>基本信息!D37</f>
        <v>97.465865579785472</v>
      </c>
      <c r="V39" s="5">
        <f>基本信息!E37</f>
        <v>94.009367528122809</v>
      </c>
      <c r="W39" s="5">
        <f>基本信息!F37</f>
        <v>89.141783644113488</v>
      </c>
      <c r="X39" s="5">
        <f>基本信息!G37</f>
        <v>87.273195101386762</v>
      </c>
      <c r="AA39" s="5">
        <v>35</v>
      </c>
      <c r="AB39" s="5">
        <f>求节点(T$6:T$44,$C$67:$C$105,$AA39)</f>
        <v>0</v>
      </c>
      <c r="AC39" s="5">
        <f>求节点(U$6:U$44,$C$67:$C$105,$AA39)</f>
        <v>0</v>
      </c>
      <c r="AD39" s="5">
        <f>求节点(V$6:V$44,$C$67:$C$105,$AA39)</f>
        <v>0</v>
      </c>
      <c r="AE39" s="5">
        <f>求节点(W$6:W$44,$C$67:$C$105,$AA39)</f>
        <v>0</v>
      </c>
      <c r="AF39" s="5">
        <f>求节点(X$6:X$44,$C$67:$C$105,$AA39)</f>
        <v>0</v>
      </c>
      <c r="AG39" s="5">
        <f>求节点(T$6:T$44,$D$67:$D$105,$AA39)+求节点(T$67:T$105,$Q$67:$Q$105,$AA39)</f>
        <v>492800</v>
      </c>
      <c r="AH39" s="5">
        <f>求节点(U$6:U$44,$D$67:$D$105,$AA39)+求节点(U$67:U$105,$Q$67:$Q$105,$AA39)</f>
        <v>543966.42646012665</v>
      </c>
      <c r="AI39" s="5">
        <f>求节点(V$6:V$44,$D$67:$D$105,$AA39)+求节点(V$67:V$105,$Q$67:$Q$105,$AA39)</f>
        <v>644748.0118628866</v>
      </c>
      <c r="AJ39" s="5">
        <f>求节点(W$6:W$44,$D$67:$D$105,$AA39)+求节点(W$67:W$105,$Q$67:$Q$105,$AA39)</f>
        <v>819284.83048485278</v>
      </c>
      <c r="AK39" s="5">
        <f>求节点(X$6:X$44,$D$67:$D$105,$AA39)+求节点(X$67:X$105,$Q$67:$Q$105,$AA39)</f>
        <v>967840.6703259974</v>
      </c>
      <c r="AL39" s="5">
        <f>求节点(T$6:T$44,$F$67:$F$105,$AA39)+求节点(T$67:T$105,$P$67:$P$105,$AA39)</f>
        <v>330400</v>
      </c>
      <c r="AM39" s="5">
        <f>求节点(U$6:U$44,$F$67:$F$105,$AA39)+求节点(U$67:U$105,$P$67:$P$105,$AA39)</f>
        <v>342668.09695276694</v>
      </c>
      <c r="AN39" s="5">
        <f>求节点(V$6:V$44,$F$67:$F$105,$AA39)+求节点(V$67:V$105,$P$67:$P$105,$AA39)</f>
        <v>361397.4181338108</v>
      </c>
      <c r="AO39" s="5">
        <f>求节点(W$6:W$44,$F$67:$F$105,$AA39)+求节点(W$67:W$105,$P$67:$P$105,$AA39)</f>
        <v>390978.2678758321</v>
      </c>
      <c r="AP39" s="5">
        <f>求节点(X$6:X$44,$F$67:$F$105,$AA39)+求节点(X$67:X$105,$P$67:$P$105,$AA39)</f>
        <v>412718.14687697525</v>
      </c>
      <c r="AQ39" s="5">
        <f>求节点(T$6:T$44,$H$67:$H$105,$AA39)</f>
        <v>225600</v>
      </c>
      <c r="AR39" s="5">
        <f>求节点(U$6:U$44,$H$67:$H$105,$AA39)</f>
        <v>234648.6406805478</v>
      </c>
      <c r="AS39" s="5">
        <f>求节点(V$6:V$44,$H$67:$H$105,$AA39)</f>
        <v>248026.72723843629</v>
      </c>
      <c r="AT39" s="5">
        <f>求节点(W$6:W$44,$H$67:$H$105,$AA39)</f>
        <v>268812.45536988555</v>
      </c>
      <c r="AU39" s="5">
        <f>求节点(X$6:X$44,$H$67:$H$105,$AA39)</f>
        <v>283635.10014339222</v>
      </c>
      <c r="AV39" s="5">
        <f>求节点(T$6:T$44,$I$67:$I$105,$AA39)</f>
        <v>940000</v>
      </c>
      <c r="AW39" s="5">
        <f>求节点(U$6:U$44,$I$67:$I$105,$AA39)</f>
        <v>1008439.5676316171</v>
      </c>
      <c r="AX39" s="5">
        <f>求节点(V$6:V$44,$I$67:$I$105,$AA39)</f>
        <v>1129337.8313399425</v>
      </c>
      <c r="AY39" s="5">
        <f>求节点(W$6:W$44,$I$67:$I$105,$AA39)</f>
        <v>1328932.8572787791</v>
      </c>
      <c r="AZ39" s="5">
        <f>求节点(X$6:X$44,$I$67:$I$105,$AA39)</f>
        <v>1487041.0681961835</v>
      </c>
      <c r="BA39" s="5">
        <f>求节点(T$6:T$44,$E$67:$E$105,$AA39)+求节点(T$6:T$44,$K$67:$K$105,$AA39)+求节点(T$67:T$105,$O$67:$O$105,$AA39)</f>
        <v>2426.666666666667</v>
      </c>
      <c r="BB39" s="5">
        <f>求节点(U$6:U$44,$E$67:$E$105,$AA39)+求节点(U$6:U$44,$K$67:$K$105,$AA39)+求节点(U$67:U$105,$O$67:$O$105,$AA39)</f>
        <v>2496.3747133908864</v>
      </c>
      <c r="BC39" s="5">
        <f>求节点(V$6:V$44,$E$67:$E$105,$AA39)+求节点(V$6:V$44,$K$67:$K$105,$AA39)+求节点(V$67:V$105,$O$67:$O$105,$AA39)</f>
        <v>2599.4355283553609</v>
      </c>
      <c r="BD39" s="5">
        <f>求节点(W$6:W$44,$E$67:$E$105,$AA39)+求节点(W$6:W$44,$K$67:$K$105,$AA39)+求节点(W$67:W$105,$O$67:$O$105,$AA39)</f>
        <v>2759.562619145785</v>
      </c>
      <c r="BE39" s="5">
        <f>求节点(X$6:X$44,$E$67:$E$105,$AA39)+求节点(X$6:X$44,$K$67:$K$105,$AA39)+求节点(X$67:X$105,$O$67:$O$105,$AA39)</f>
        <v>2873.7518825861325</v>
      </c>
      <c r="BF39" s="5">
        <f>求节点(T$6:T$44,$G$67:$G$105,$AA39)</f>
        <v>0</v>
      </c>
      <c r="BG39" s="5">
        <f>求节点(U$6:U$44,$G$67:$G$105,$AA39)</f>
        <v>0</v>
      </c>
      <c r="BH39" s="5">
        <f>求节点(V$6:V$44,$G$67:$G$105,$AA39)</f>
        <v>0</v>
      </c>
      <c r="BI39" s="5">
        <f>求节点(W$6:W$44,$G$67:$G$105,$AA39)</f>
        <v>0</v>
      </c>
      <c r="BJ39" s="5">
        <f>求节点(X$6:X$44,$G$67:$G$105,$AA39)</f>
        <v>0</v>
      </c>
      <c r="BK39" s="5">
        <f>求节点(T$6:T$44,$M$67:$M$105,$AA39)</f>
        <v>23.333333333333332</v>
      </c>
      <c r="BL39" s="5">
        <f>求节点(U$6:U$44,$M$67:$M$105,$AA39)</f>
        <v>24.003603013373912</v>
      </c>
      <c r="BM39" s="5">
        <f>求节点(V$6:V$44,$M$67:$M$105,$AA39)</f>
        <v>24.994572388032317</v>
      </c>
      <c r="BN39" s="5">
        <f>求节点(W$6:W$44,$M$67:$M$105,$AA39)</f>
        <v>26.534255953324855</v>
      </c>
      <c r="BO39" s="5">
        <f>求节点(X$6:X$44,$M$67:$M$105,$AA39)</f>
        <v>27.632229640251275</v>
      </c>
      <c r="BP39" s="5">
        <f>求节点(T$67:T$105,$L$67:$L$105,$AA39)</f>
        <v>0</v>
      </c>
      <c r="BQ39" s="5">
        <f>求节点(U$67:U$105,$L$67:$L$105,$AA39)</f>
        <v>0</v>
      </c>
      <c r="BR39" s="5">
        <f>求节点(V$67:V$105,$L$67:$L$105,$AA39)</f>
        <v>0</v>
      </c>
      <c r="BS39" s="5">
        <f>求节点(W$67:W$105,$L$67:$L$105,$AA39)</f>
        <v>0</v>
      </c>
      <c r="BT39" s="5">
        <f>求节点(X$67:X$105,$L$67:$L$105,$AA39)</f>
        <v>0</v>
      </c>
      <c r="BZ39" s="5">
        <v>35</v>
      </c>
      <c r="CA39" s="5">
        <f t="shared" si="9"/>
        <v>2426.666666666667</v>
      </c>
      <c r="CB39" s="5">
        <f t="shared" si="10"/>
        <v>2496.3747133908864</v>
      </c>
      <c r="CC39" s="5">
        <f t="shared" si="11"/>
        <v>2599.4355283553609</v>
      </c>
      <c r="CD39" s="5">
        <f t="shared" si="12"/>
        <v>2759.562619145785</v>
      </c>
      <c r="CE39" s="5">
        <f t="shared" si="13"/>
        <v>2873.7518825861325</v>
      </c>
      <c r="CF39" s="5">
        <f>(CA39-CA38)/节奏总纲!W38</f>
        <v>91.511610133394583</v>
      </c>
      <c r="CI39" s="5">
        <v>35</v>
      </c>
      <c r="CJ39" s="5">
        <f t="shared" si="14"/>
        <v>5600</v>
      </c>
      <c r="CK39" s="5">
        <f t="shared" si="15"/>
        <v>5760.8647232097392</v>
      </c>
      <c r="CL39" s="5">
        <f t="shared" si="16"/>
        <v>5998.6973731277558</v>
      </c>
      <c r="CM39" s="5">
        <f t="shared" si="17"/>
        <v>6368.221428797965</v>
      </c>
      <c r="CN39" s="5">
        <f t="shared" si="18"/>
        <v>6631.7351136603056</v>
      </c>
      <c r="CO39" s="5">
        <f>(CJ39-CJ38)/节奏总纲!W38</f>
        <v>211.18063876937165</v>
      </c>
      <c r="CP39" s="5">
        <f t="shared" si="27"/>
        <v>302.69224890276621</v>
      </c>
      <c r="CR39" s="5">
        <v>35</v>
      </c>
      <c r="CS39" s="5">
        <f t="shared" si="28"/>
        <v>0</v>
      </c>
      <c r="CT39" s="5">
        <f t="shared" si="29"/>
        <v>0</v>
      </c>
      <c r="CU39" s="5">
        <f t="shared" si="30"/>
        <v>0</v>
      </c>
      <c r="CV39" s="5">
        <f t="shared" si="31"/>
        <v>0</v>
      </c>
      <c r="CW39" s="5">
        <f t="shared" si="32"/>
        <v>0</v>
      </c>
      <c r="CX39" s="5">
        <f t="shared" si="20"/>
        <v>0</v>
      </c>
      <c r="CY39" s="5">
        <f t="shared" si="21"/>
        <v>0</v>
      </c>
      <c r="CZ39" s="5">
        <f t="shared" si="22"/>
        <v>0</v>
      </c>
      <c r="DA39" s="5">
        <f t="shared" si="23"/>
        <v>0</v>
      </c>
      <c r="DB39" s="5">
        <f t="shared" si="24"/>
        <v>0</v>
      </c>
    </row>
    <row r="40" spans="2:106" x14ac:dyDescent="0.15">
      <c r="B40" s="16">
        <v>35</v>
      </c>
      <c r="C40" s="16"/>
      <c r="D40" s="5">
        <f>ROUND(130/INDEX('[1]功能-付费相关'!$BB$6:$BB$165,基本信息!U38,1)/1200,0)*600</f>
        <v>8361000</v>
      </c>
      <c r="E40" s="5">
        <v>120</v>
      </c>
      <c r="F40" s="5">
        <f>ROUND(60/INDEX('[1]功能-付费相关'!$AS$6:$AS$165,基本信息!C38,1)/600,0)*600</f>
        <v>69600</v>
      </c>
      <c r="G40" s="16"/>
      <c r="H40" s="5">
        <v>27000</v>
      </c>
      <c r="I40" s="5">
        <f>ROUND(20*4/INDEX('[1]功能-付费相关'!$U$6:$U$165,基本信息!U38,1)/4000,0)*4000/2</f>
        <v>1208000</v>
      </c>
      <c r="J40" s="5">
        <f>ROUND(50*2/INDEX('[1]功能-付费相关'!$AS$6:$AS$165,基本信息!U38,1)/2000,0)*2000</f>
        <v>94000</v>
      </c>
      <c r="K40" s="16">
        <v>88</v>
      </c>
      <c r="M40" s="5">
        <v>2</v>
      </c>
      <c r="N40" s="16">
        <v>0</v>
      </c>
      <c r="O40" s="16"/>
      <c r="P40" s="16">
        <v>0</v>
      </c>
      <c r="Q40" s="16">
        <v>0</v>
      </c>
      <c r="S40" s="16">
        <v>35</v>
      </c>
      <c r="T40" s="5">
        <f>基本信息!C38</f>
        <v>105</v>
      </c>
      <c r="U40" s="5">
        <f>基本信息!D38</f>
        <v>100.91893418037404</v>
      </c>
      <c r="V40" s="5">
        <f>基本信息!E38</f>
        <v>96.738615095340649</v>
      </c>
      <c r="W40" s="5">
        <f>基本信息!F38</f>
        <v>92.54513723172272</v>
      </c>
      <c r="X40" s="5">
        <f>基本信息!G38</f>
        <v>90.54018874100781</v>
      </c>
      <c r="AA40" s="5">
        <v>36</v>
      </c>
      <c r="AB40" s="5">
        <f>求节点(T$6:T$44,$C$67:$C$105,$AA40)</f>
        <v>0</v>
      </c>
      <c r="AC40" s="5">
        <f>求节点(U$6:U$44,$C$67:$C$105,$AA40)</f>
        <v>0</v>
      </c>
      <c r="AD40" s="5">
        <f>求节点(V$6:V$44,$C$67:$C$105,$AA40)</f>
        <v>0</v>
      </c>
      <c r="AE40" s="5">
        <f>求节点(W$6:W$44,$C$67:$C$105,$AA40)</f>
        <v>0</v>
      </c>
      <c r="AF40" s="5">
        <f>求节点(X$6:X$44,$C$67:$C$105,$AA40)</f>
        <v>0</v>
      </c>
      <c r="AG40" s="5">
        <f>求节点(T$6:T$44,$D$67:$D$105,$AA40)+求节点(T$67:T$105,$Q$67:$Q$105,$AA40)</f>
        <v>543600</v>
      </c>
      <c r="AH40" s="5">
        <f>求节点(U$6:U$44,$D$67:$D$105,$AA40)+求节点(U$67:U$105,$Q$67:$Q$105,$AA40)</f>
        <v>608580.20959003968</v>
      </c>
      <c r="AI40" s="5">
        <f>求节点(V$6:V$44,$D$67:$D$105,$AA40)+求节点(V$67:V$105,$Q$67:$Q$105,$AA40)</f>
        <v>706986.45248380082</v>
      </c>
      <c r="AJ40" s="5">
        <f>求节点(W$6:W$44,$D$67:$D$105,$AA40)+求节点(W$67:W$105,$Q$67:$Q$105,$AA40)</f>
        <v>929075.29973350035</v>
      </c>
      <c r="AK40" s="5">
        <f>求节点(X$6:X$44,$D$67:$D$105,$AA40)+求节点(X$67:X$105,$Q$67:$Q$105,$AA40)</f>
        <v>1118243.480308942</v>
      </c>
      <c r="AL40" s="5">
        <f>求节点(T$6:T$44,$F$67:$F$105,$AA40)+求节点(T$67:T$105,$P$67:$P$105,$AA40)</f>
        <v>342600</v>
      </c>
      <c r="AM40" s="5">
        <f>求节点(U$6:U$44,$F$67:$F$105,$AA40)+求节点(U$67:U$105,$P$67:$P$105,$AA40)</f>
        <v>354675.96815390117</v>
      </c>
      <c r="AN40" s="5">
        <f>求节点(V$6:V$44,$F$67:$F$105,$AA40)+求节点(V$67:V$105,$P$67:$P$105,$AA40)</f>
        <v>372963.85400141432</v>
      </c>
      <c r="AO40" s="5">
        <f>求节点(W$6:W$44,$F$67:$F$105,$AA40)+求节点(W$67:W$105,$P$67:$P$105,$AA40)</f>
        <v>407045.16581465857</v>
      </c>
      <c r="AP40" s="5">
        <f>求节点(X$6:X$44,$F$67:$F$105,$AA40)+求节点(X$67:X$105,$P$67:$P$105,$AA40)</f>
        <v>431406.26110168011</v>
      </c>
      <c r="AQ40" s="5">
        <f>求节点(T$6:T$44,$H$67:$H$105,$AA40)</f>
        <v>234600</v>
      </c>
      <c r="AR40" s="5">
        <f>求节点(U$6:U$44,$H$67:$H$105,$AA40)</f>
        <v>243225.69153850083</v>
      </c>
      <c r="AS40" s="5">
        <f>求节点(V$6:V$44,$H$67:$H$105,$AA40)</f>
        <v>256288.46714386737</v>
      </c>
      <c r="AT40" s="5">
        <f>求节点(W$6:W$44,$H$67:$H$105,$AA40)</f>
        <v>279767.15850999451</v>
      </c>
      <c r="AU40" s="5">
        <f>求节点(X$6:X$44,$H$67:$H$105,$AA40)</f>
        <v>296148.26102317066</v>
      </c>
      <c r="AV40" s="5">
        <f>求节点(T$6:T$44,$I$67:$I$105,$AA40)</f>
        <v>1008000</v>
      </c>
      <c r="AW40" s="5">
        <f>求节点(U$6:U$44,$I$67:$I$105,$AA40)</f>
        <v>1085950.693903489</v>
      </c>
      <c r="AX40" s="5">
        <f>求节点(V$6:V$44,$I$67:$I$105,$AA40)</f>
        <v>1203999.4808556903</v>
      </c>
      <c r="AY40" s="5">
        <f>求节点(W$6:W$44,$I$67:$I$105,$AA40)</f>
        <v>1445783.0241066078</v>
      </c>
      <c r="AZ40" s="5">
        <f>求节点(X$6:X$44,$I$67:$I$105,$AA40)</f>
        <v>1639525.2194166204</v>
      </c>
      <c r="BA40" s="5">
        <f>求节点(T$6:T$44,$E$67:$E$105,$AA40)+求节点(T$6:T$44,$K$67:$K$105,$AA40)+求节点(T$67:T$105,$O$67:$O$105,$AA40)</f>
        <v>2496</v>
      </c>
      <c r="BB40" s="5">
        <f>求节点(U$6:U$44,$E$67:$E$105,$AA40)+求节点(U$6:U$44,$K$67:$K$105,$AA40)+求节点(U$67:U$105,$O$67:$O$105,$AA40)</f>
        <v>2562.4497718521543</v>
      </c>
      <c r="BC40" s="5">
        <f>求节点(V$6:V$44,$E$67:$E$105,$AA40)+求节点(V$6:V$44,$K$67:$K$105,$AA40)+求节点(V$67:V$105,$O$67:$O$105,$AA40)</f>
        <v>2663.0815246638667</v>
      </c>
      <c r="BD40" s="5">
        <f>求节点(W$6:W$44,$E$67:$E$105,$AA40)+求节点(W$6:W$44,$K$67:$K$105,$AA40)+求节点(W$67:W$105,$O$67:$O$105,$AA40)</f>
        <v>2843.9544062992168</v>
      </c>
      <c r="BE40" s="5">
        <f>求节点(X$6:X$44,$E$67:$E$105,$AA40)+求节点(X$6:X$44,$K$67:$K$105,$AA40)+求节点(X$67:X$105,$O$67:$O$105,$AA40)</f>
        <v>2970.1495664007221</v>
      </c>
      <c r="BF40" s="5">
        <f>求节点(T$6:T$44,$G$67:$G$105,$AA40)</f>
        <v>0</v>
      </c>
      <c r="BG40" s="5">
        <f>求节点(U$6:U$44,$G$67:$G$105,$AA40)</f>
        <v>0</v>
      </c>
      <c r="BH40" s="5">
        <f>求节点(V$6:V$44,$G$67:$G$105,$AA40)</f>
        <v>0</v>
      </c>
      <c r="BI40" s="5">
        <f>求节点(W$6:W$44,$G$67:$G$105,$AA40)</f>
        <v>0</v>
      </c>
      <c r="BJ40" s="5">
        <f>求节点(X$6:X$44,$G$67:$G$105,$AA40)</f>
        <v>0</v>
      </c>
      <c r="BK40" s="5">
        <f>求节点(T$6:T$44,$M$67:$M$105,$AA40)</f>
        <v>24</v>
      </c>
      <c r="BL40" s="5">
        <f>求节点(U$6:U$44,$M$67:$M$105,$AA40)</f>
        <v>24.638940113963024</v>
      </c>
      <c r="BM40" s="5">
        <f>求节点(V$6:V$44,$M$67:$M$105,$AA40)</f>
        <v>25.606553121767952</v>
      </c>
      <c r="BN40" s="5">
        <f>求节点(W$6:W$44,$M$67:$M$105,$AA40)</f>
        <v>27.345715445184776</v>
      </c>
      <c r="BO40" s="5">
        <f>求节点(X$6:X$44,$M$67:$M$105,$AA40)</f>
        <v>28.55913044616079</v>
      </c>
      <c r="BP40" s="5">
        <f>求节点(T$67:T$105,$L$67:$L$105,$AA40)</f>
        <v>0</v>
      </c>
      <c r="BQ40" s="5">
        <f>求节点(U$67:U$105,$L$67:$L$105,$AA40)</f>
        <v>0</v>
      </c>
      <c r="BR40" s="5">
        <f>求节点(V$67:V$105,$L$67:$L$105,$AA40)</f>
        <v>0</v>
      </c>
      <c r="BS40" s="5">
        <f>求节点(W$67:W$105,$L$67:$L$105,$AA40)</f>
        <v>0</v>
      </c>
      <c r="BT40" s="5">
        <f>求节点(X$67:X$105,$L$67:$L$105,$AA40)</f>
        <v>0</v>
      </c>
      <c r="BZ40" s="5">
        <v>36</v>
      </c>
      <c r="CA40" s="5">
        <f t="shared" si="9"/>
        <v>2496</v>
      </c>
      <c r="CB40" s="5">
        <f t="shared" si="10"/>
        <v>2562.4497718521543</v>
      </c>
      <c r="CC40" s="5">
        <f t="shared" si="11"/>
        <v>2663.0815246638667</v>
      </c>
      <c r="CD40" s="5">
        <f t="shared" si="12"/>
        <v>2843.9544062992168</v>
      </c>
      <c r="CE40" s="5">
        <f t="shared" si="13"/>
        <v>2970.1495664007221</v>
      </c>
      <c r="CF40" s="5">
        <f>(CA40-CA39)/节奏总纲!W39</f>
        <v>85.383351363110719</v>
      </c>
      <c r="CI40" s="5">
        <v>36</v>
      </c>
      <c r="CJ40" s="5">
        <f t="shared" si="14"/>
        <v>5760</v>
      </c>
      <c r="CK40" s="5">
        <f t="shared" si="15"/>
        <v>5913.3456273511256</v>
      </c>
      <c r="CL40" s="5">
        <f t="shared" si="16"/>
        <v>6145.5727492243086</v>
      </c>
      <c r="CM40" s="5">
        <f t="shared" si="17"/>
        <v>6562.971706844346</v>
      </c>
      <c r="CN40" s="5">
        <f t="shared" si="18"/>
        <v>6854.1913070785895</v>
      </c>
      <c r="CO40" s="5">
        <f>(CJ40-CJ39)/节奏总纲!W39</f>
        <v>197.03850314564099</v>
      </c>
      <c r="CP40" s="5">
        <f t="shared" si="27"/>
        <v>282.42185450875172</v>
      </c>
      <c r="CR40" s="5">
        <v>36</v>
      </c>
      <c r="CS40" s="5">
        <f t="shared" si="28"/>
        <v>0</v>
      </c>
      <c r="CT40" s="5">
        <f t="shared" si="29"/>
        <v>0</v>
      </c>
      <c r="CU40" s="5">
        <f t="shared" si="30"/>
        <v>0</v>
      </c>
      <c r="CV40" s="5">
        <f t="shared" si="31"/>
        <v>0</v>
      </c>
      <c r="CW40" s="5">
        <f t="shared" si="32"/>
        <v>0</v>
      </c>
      <c r="CX40" s="5">
        <f t="shared" si="20"/>
        <v>0</v>
      </c>
      <c r="CY40" s="5">
        <f t="shared" si="21"/>
        <v>0</v>
      </c>
      <c r="CZ40" s="5">
        <f t="shared" si="22"/>
        <v>0</v>
      </c>
      <c r="DA40" s="5">
        <f t="shared" si="23"/>
        <v>0</v>
      </c>
      <c r="DB40" s="5">
        <f t="shared" si="24"/>
        <v>0</v>
      </c>
    </row>
    <row r="41" spans="2:106" x14ac:dyDescent="0.15">
      <c r="B41" s="16">
        <v>36</v>
      </c>
      <c r="C41" s="16"/>
      <c r="D41" s="5">
        <f>ROUND(130/INDEX('[1]功能-付费相关'!$BB$6:$BB$165,基本信息!U39,1)/1200,0)*600</f>
        <v>9197400</v>
      </c>
      <c r="E41" s="5">
        <v>120</v>
      </c>
      <c r="F41" s="5">
        <f>ROUND(60/INDEX('[1]功能-付费相关'!$AS$6:$AS$165,基本信息!C39,1)/600,0)*600</f>
        <v>70800</v>
      </c>
      <c r="G41" s="16"/>
      <c r="H41" s="5">
        <v>27000</v>
      </c>
      <c r="I41" s="5">
        <f>ROUND(20*4/INDEX('[1]功能-付费相关'!$U$6:$U$165,基本信息!U39,1)/4000,0)*4000/2</f>
        <v>1228000</v>
      </c>
      <c r="J41" s="5">
        <f>ROUND(50*2/INDEX('[1]功能-付费相关'!$AS$6:$AS$165,基本信息!U39,1)/2000,0)*2000</f>
        <v>96000</v>
      </c>
      <c r="K41" s="16">
        <v>88</v>
      </c>
      <c r="M41" s="5">
        <v>2</v>
      </c>
      <c r="N41" s="16">
        <v>0</v>
      </c>
      <c r="O41" s="16"/>
      <c r="P41" s="16">
        <v>0</v>
      </c>
      <c r="Q41" s="16">
        <v>0</v>
      </c>
      <c r="S41" s="16">
        <v>36</v>
      </c>
      <c r="T41" s="5">
        <f>基本信息!C39</f>
        <v>108</v>
      </c>
      <c r="U41" s="5">
        <f>基本信息!D39</f>
        <v>103.89217009964835</v>
      </c>
      <c r="V41" s="5">
        <f>基本信息!E39</f>
        <v>99.578871424921473</v>
      </c>
      <c r="W41" s="5">
        <f>基本信息!F39</f>
        <v>96.201011854262731</v>
      </c>
      <c r="X41" s="5">
        <f>基本信息!G39</f>
        <v>94.584911989495296</v>
      </c>
      <c r="AA41" s="5">
        <v>37</v>
      </c>
      <c r="AB41" s="5">
        <f>求节点(T$6:T$44,$C$67:$C$105,$AA41)</f>
        <v>0</v>
      </c>
      <c r="AC41" s="5">
        <f>求节点(U$6:U$44,$C$67:$C$105,$AA41)</f>
        <v>0</v>
      </c>
      <c r="AD41" s="5">
        <f>求节点(V$6:V$44,$C$67:$C$105,$AA41)</f>
        <v>0</v>
      </c>
      <c r="AE41" s="5">
        <f>求节点(W$6:W$44,$C$67:$C$105,$AA41)</f>
        <v>0</v>
      </c>
      <c r="AF41" s="5">
        <f>求节点(X$6:X$44,$C$67:$C$105,$AA41)</f>
        <v>0</v>
      </c>
      <c r="AG41" s="5">
        <f>求节点(T$6:T$44,$D$67:$D$105,$AA41)+求节点(T$67:T$105,$Q$67:$Q$105,$AA41)</f>
        <v>611400</v>
      </c>
      <c r="AH41" s="5">
        <f>求节点(U$6:U$44,$D$67:$D$105,$AA41)+求节点(U$67:U$105,$Q$67:$Q$105,$AA41)</f>
        <v>673193.99271995248</v>
      </c>
      <c r="AI41" s="5">
        <f>求节点(V$6:V$44,$D$67:$D$105,$AA41)+求节点(V$67:V$105,$Q$67:$Q$105,$AA41)</f>
        <v>782558.56631582591</v>
      </c>
      <c r="AJ41" s="5">
        <f>求节点(W$6:W$44,$D$67:$D$105,$AA41)+求节点(W$67:W$105,$Q$67:$Q$105,$AA41)</f>
        <v>1049879.6903654581</v>
      </c>
      <c r="AK41" s="5">
        <f>求节点(X$6:X$44,$D$67:$D$105,$AA41)+求节点(X$67:X$105,$Q$67:$Q$105,$AA41)</f>
        <v>1291503.7708353989</v>
      </c>
      <c r="AL41" s="5">
        <f>求节点(T$6:T$44,$F$67:$F$105,$AA41)+求节点(T$67:T$105,$P$67:$P$105,$AA41)</f>
        <v>355200</v>
      </c>
      <c r="AM41" s="5">
        <f>求节点(U$6:U$44,$F$67:$F$105,$AA41)+求节点(U$67:U$105,$P$67:$P$105,$AA41)</f>
        <v>366683.83935503545</v>
      </c>
      <c r="AN41" s="5">
        <f>求节点(V$6:V$44,$F$67:$F$105,$AA41)+求节点(V$67:V$105,$P$67:$P$105,$AA41)</f>
        <v>385603.6926315843</v>
      </c>
      <c r="AO41" s="5">
        <f>求节点(W$6:W$44,$F$67:$F$105,$AA41)+求节点(W$67:W$105,$P$67:$P$105,$AA41)</f>
        <v>423658.36490808526</v>
      </c>
      <c r="AP41" s="5">
        <f>求节点(X$6:X$44,$F$67:$F$105,$AA41)+求节点(X$67:X$105,$P$67:$P$105,$AA41)</f>
        <v>451042.42736134521</v>
      </c>
      <c r="AQ41" s="5">
        <f>求节点(T$6:T$44,$H$67:$H$105,$AA41)</f>
        <v>243600</v>
      </c>
      <c r="AR41" s="5">
        <f>求节点(U$6:U$44,$H$67:$H$105,$AA41)</f>
        <v>251802.74239645386</v>
      </c>
      <c r="AS41" s="5">
        <f>求节点(V$6:V$44,$H$67:$H$105,$AA41)</f>
        <v>265147.97224880749</v>
      </c>
      <c r="AT41" s="5">
        <f>求节点(W$6:W$44,$H$67:$H$105,$AA41)</f>
        <v>291020.97677740938</v>
      </c>
      <c r="AU41" s="5">
        <f>求节点(X$6:X$44,$H$67:$H$105,$AA41)</f>
        <v>309142.78281265491</v>
      </c>
      <c r="AV41" s="5">
        <f>求节点(T$6:T$44,$I$67:$I$105,$AA41)</f>
        <v>1089333.3333333333</v>
      </c>
      <c r="AW41" s="5">
        <f>求节点(U$6:U$44,$I$67:$I$105,$AA41)</f>
        <v>1163461.8201753609</v>
      </c>
      <c r="AX41" s="5">
        <f>求节点(V$6:V$44,$I$67:$I$105,$AA41)</f>
        <v>1289845.0373206129</v>
      </c>
      <c r="AY41" s="5">
        <f>求节点(W$6:W$44,$I$67:$I$105,$AA41)</f>
        <v>1571921.0271391752</v>
      </c>
      <c r="AZ41" s="5">
        <f>求节点(X$6:X$44,$I$67:$I$105,$AA41)</f>
        <v>1810860.3956038945</v>
      </c>
      <c r="BA41" s="5">
        <f>求节点(T$6:T$44,$E$67:$E$105,$AA41)+求节点(T$6:T$44,$K$67:$K$105,$AA41)+求节点(T$67:T$105,$O$67:$O$105,$AA41)</f>
        <v>2565.333333333333</v>
      </c>
      <c r="BB41" s="5">
        <f>求节点(U$6:U$44,$E$67:$E$105,$AA41)+求节点(U$6:U$44,$K$67:$K$105,$AA41)+求节点(U$67:U$105,$O$67:$O$105,$AA41)</f>
        <v>2628.5248303134226</v>
      </c>
      <c r="BC41" s="5">
        <f>求节点(V$6:V$44,$E$67:$E$105,$AA41)+求节点(V$6:V$44,$K$67:$K$105,$AA41)+求节点(V$67:V$105,$O$67:$O$105,$AA41)</f>
        <v>2731.3325269537763</v>
      </c>
      <c r="BD41" s="5">
        <f>求节点(W$6:W$44,$E$67:$E$105,$AA41)+求节点(W$6:W$44,$K$67:$K$105,$AA41)+求节点(W$67:W$105,$O$67:$O$105,$AA41)</f>
        <v>2930.6504877667094</v>
      </c>
      <c r="BE41" s="5">
        <f>求节点(X$6:X$44,$E$67:$E$105,$AA41)+求节点(X$6:X$44,$K$67:$K$105,$AA41)+求节点(X$67:X$105,$O$67:$O$105,$AA41)</f>
        <v>3070.2555120382303</v>
      </c>
      <c r="BF41" s="5">
        <f>求节点(T$6:T$44,$G$67:$G$105,$AA41)</f>
        <v>0</v>
      </c>
      <c r="BG41" s="5">
        <f>求节点(U$6:U$44,$G$67:$G$105,$AA41)</f>
        <v>0</v>
      </c>
      <c r="BH41" s="5">
        <f>求节点(V$6:V$44,$G$67:$G$105,$AA41)</f>
        <v>0</v>
      </c>
      <c r="BI41" s="5">
        <f>求节点(W$6:W$44,$G$67:$G$105,$AA41)</f>
        <v>0</v>
      </c>
      <c r="BJ41" s="5">
        <f>求节点(X$6:X$44,$G$67:$G$105,$AA41)</f>
        <v>0</v>
      </c>
      <c r="BK41" s="5">
        <f>求节点(T$6:T$44,$M$67:$M$105,$AA41)</f>
        <v>24.666666666666668</v>
      </c>
      <c r="BL41" s="5">
        <f>求节点(U$6:U$44,$M$67:$M$105,$AA41)</f>
        <v>25.274277214552139</v>
      </c>
      <c r="BM41" s="5">
        <f>求节点(V$6:V$44,$M$67:$M$105,$AA41)</f>
        <v>26.262812759170924</v>
      </c>
      <c r="BN41" s="5">
        <f>求节点(W$6:W$44,$M$67:$M$105,$AA41)</f>
        <v>28.179331613141432</v>
      </c>
      <c r="BO41" s="5">
        <f>求节点(X$6:X$44,$M$67:$M$105,$AA41)</f>
        <v>29.521687615752217</v>
      </c>
      <c r="BP41" s="5">
        <f>求节点(T$67:T$105,$L$67:$L$105,$AA41)</f>
        <v>0</v>
      </c>
      <c r="BQ41" s="5">
        <f>求节点(U$67:U$105,$L$67:$L$105,$AA41)</f>
        <v>0</v>
      </c>
      <c r="BR41" s="5">
        <f>求节点(V$67:V$105,$L$67:$L$105,$AA41)</f>
        <v>0</v>
      </c>
      <c r="BS41" s="5">
        <f>求节点(W$67:W$105,$L$67:$L$105,$AA41)</f>
        <v>0</v>
      </c>
      <c r="BT41" s="5">
        <f>求节点(X$67:X$105,$L$67:$L$105,$AA41)</f>
        <v>0</v>
      </c>
      <c r="BZ41" s="5">
        <v>37</v>
      </c>
      <c r="CA41" s="5">
        <f t="shared" si="9"/>
        <v>2565.333333333333</v>
      </c>
      <c r="CB41" s="5">
        <f t="shared" si="10"/>
        <v>2628.5248303134226</v>
      </c>
      <c r="CC41" s="5">
        <f t="shared" si="11"/>
        <v>2731.3325269537763</v>
      </c>
      <c r="CD41" s="5">
        <f t="shared" si="12"/>
        <v>2930.6504877667094</v>
      </c>
      <c r="CE41" s="5">
        <f t="shared" si="13"/>
        <v>3070.2555120382303</v>
      </c>
      <c r="CF41" s="5">
        <f>(CA41-CA40)/节奏总纲!W40</f>
        <v>79.665483749761563</v>
      </c>
      <c r="CI41" s="5">
        <v>37</v>
      </c>
      <c r="CJ41" s="5">
        <f t="shared" si="14"/>
        <v>5920</v>
      </c>
      <c r="CK41" s="5">
        <f t="shared" si="15"/>
        <v>6065.8265314925138</v>
      </c>
      <c r="CL41" s="5">
        <f t="shared" si="16"/>
        <v>6303.0750622010219</v>
      </c>
      <c r="CM41" s="5">
        <f t="shared" si="17"/>
        <v>6763.039587153944</v>
      </c>
      <c r="CN41" s="5">
        <f t="shared" si="18"/>
        <v>7085.205027780532</v>
      </c>
      <c r="CO41" s="5">
        <f>(CJ41-CJ40)/节奏总纲!W40</f>
        <v>183.84342403791211</v>
      </c>
      <c r="CP41" s="5">
        <f t="shared" si="27"/>
        <v>263.50890778767371</v>
      </c>
      <c r="CR41" s="5">
        <v>37</v>
      </c>
      <c r="CS41" s="5">
        <f t="shared" si="28"/>
        <v>0</v>
      </c>
      <c r="CT41" s="5">
        <f t="shared" si="29"/>
        <v>0</v>
      </c>
      <c r="CU41" s="5">
        <f t="shared" si="30"/>
        <v>0</v>
      </c>
      <c r="CV41" s="5">
        <f t="shared" si="31"/>
        <v>0</v>
      </c>
      <c r="CW41" s="5">
        <f t="shared" si="32"/>
        <v>0</v>
      </c>
      <c r="CX41" s="5">
        <f t="shared" si="20"/>
        <v>0</v>
      </c>
      <c r="CY41" s="5">
        <f t="shared" si="21"/>
        <v>0</v>
      </c>
      <c r="CZ41" s="5">
        <f t="shared" si="22"/>
        <v>0</v>
      </c>
      <c r="DA41" s="5">
        <f t="shared" si="23"/>
        <v>0</v>
      </c>
      <c r="DB41" s="5">
        <f t="shared" si="24"/>
        <v>0</v>
      </c>
    </row>
    <row r="42" spans="2:106" x14ac:dyDescent="0.15">
      <c r="B42" s="16">
        <v>37</v>
      </c>
      <c r="C42" s="16"/>
      <c r="D42" s="17">
        <f t="shared" ref="D42:D56" si="33">D41</f>
        <v>9197400</v>
      </c>
      <c r="E42" s="16">
        <v>120</v>
      </c>
      <c r="F42" s="17">
        <f t="shared" ref="F42:F57" si="34">F41</f>
        <v>70800</v>
      </c>
      <c r="G42" s="16"/>
      <c r="H42" s="5">
        <v>27000</v>
      </c>
      <c r="I42" s="5">
        <f>ROUND(20*4/INDEX('[1]功能-付费相关'!$U$6:$U$165,基本信息!U40,1)/4000,0)*4000/2</f>
        <v>1246000</v>
      </c>
      <c r="J42" s="5">
        <f>ROUND(50*2/INDEX('[1]功能-付费相关'!$AS$6:$AS$165,基本信息!U40,1)/2000,0)*2000</f>
        <v>96000</v>
      </c>
      <c r="K42" s="16">
        <v>88</v>
      </c>
      <c r="M42" s="5">
        <v>2</v>
      </c>
      <c r="N42" s="16">
        <v>0</v>
      </c>
      <c r="O42" s="16"/>
      <c r="P42" s="16">
        <v>0</v>
      </c>
      <c r="Q42" s="16">
        <v>0</v>
      </c>
      <c r="S42" s="16">
        <v>37</v>
      </c>
      <c r="T42" s="5">
        <f>基本信息!C40</f>
        <v>111</v>
      </c>
      <c r="U42" s="5">
        <f>基本信息!D40</f>
        <v>106.9541386301392</v>
      </c>
      <c r="V42" s="5">
        <f>基本信息!E40</f>
        <v>103.39268509715636</v>
      </c>
      <c r="W42" s="5">
        <f>基本信息!F40</f>
        <v>100.13981735422898</v>
      </c>
      <c r="X42" s="5">
        <f>基本信息!G40</f>
        <v>99.180691443212723</v>
      </c>
      <c r="AA42" s="5">
        <v>38</v>
      </c>
      <c r="AB42" s="5">
        <f>求节点(T$6:T$44,$C$67:$C$105,$AA42)</f>
        <v>0</v>
      </c>
      <c r="AC42" s="5">
        <f>求节点(U$6:U$44,$C$67:$C$105,$AA42)</f>
        <v>0</v>
      </c>
      <c r="AD42" s="5">
        <f>求节点(V$6:V$44,$C$67:$C$105,$AA42)</f>
        <v>0</v>
      </c>
      <c r="AE42" s="5">
        <f>求节点(W$6:W$44,$C$67:$C$105,$AA42)</f>
        <v>0</v>
      </c>
      <c r="AF42" s="5">
        <f>求节点(X$6:X$44,$C$67:$C$105,$AA42)</f>
        <v>0</v>
      </c>
      <c r="AG42" s="5">
        <f>求节点(T$6:T$44,$D$67:$D$105,$AA42)+求节点(T$67:T$105,$Q$67:$Q$105,$AA42)</f>
        <v>679200</v>
      </c>
      <c r="AH42" s="5">
        <f>求节点(U$6:U$44,$D$67:$D$105,$AA42)+求节点(U$67:U$105,$Q$67:$Q$105,$AA42)</f>
        <v>737807.77584986552</v>
      </c>
      <c r="AI42" s="5">
        <f>求节点(V$6:V$44,$D$67:$D$105,$AA42)+求节点(V$67:V$105,$Q$67:$Q$105,$AA42)</f>
        <v>882136.53538794094</v>
      </c>
      <c r="AJ42" s="5">
        <f>求节点(W$6:W$44,$D$67:$D$105,$AA42)+求节点(W$67:W$105,$Q$67:$Q$105,$AA42)</f>
        <v>1216532.6035707039</v>
      </c>
      <c r="AK42" s="5">
        <f>求节点(X$6:X$44,$D$67:$D$105,$AA42)+求节点(X$67:X$105,$Q$67:$Q$105,$AA42)</f>
        <v>1491757.8141375131</v>
      </c>
      <c r="AL42" s="5">
        <f>求节点(T$6:T$44,$F$67:$F$105,$AA42)+求节点(T$67:T$105,$P$67:$P$105,$AA42)</f>
        <v>367800</v>
      </c>
      <c r="AM42" s="5">
        <f>求节点(U$6:U$44,$F$67:$F$105,$AA42)+求节点(U$67:U$105,$P$67:$P$105,$AA42)</f>
        <v>378691.71055616968</v>
      </c>
      <c r="AN42" s="5">
        <f>求节点(V$6:V$44,$F$67:$F$105,$AA42)+求节点(V$67:V$105,$P$67:$P$105,$AA42)</f>
        <v>400176.07834945479</v>
      </c>
      <c r="AO42" s="5">
        <f>求节点(W$6:W$44,$F$67:$F$105,$AA42)+求节点(W$67:W$105,$P$67:$P$105,$AA42)</f>
        <v>442545.69507134648</v>
      </c>
      <c r="AP42" s="5">
        <f>求节点(X$6:X$44,$F$67:$F$105,$AA42)+求节点(X$67:X$105,$P$67:$P$105,$AA42)</f>
        <v>470801.31037500117</v>
      </c>
      <c r="AQ42" s="5">
        <f>求节点(T$6:T$44,$H$67:$H$105,$AA42)</f>
        <v>252600</v>
      </c>
      <c r="AR42" s="5">
        <f>求节点(U$6:U$44,$H$67:$H$105,$AA42)</f>
        <v>260379.79325440692</v>
      </c>
      <c r="AS42" s="5">
        <f>求节点(V$6:V$44,$H$67:$H$105,$AA42)</f>
        <v>275083.68978371914</v>
      </c>
      <c r="AT42" s="5">
        <f>求节点(W$6:W$44,$H$67:$H$105,$AA42)</f>
        <v>303519.9452678028</v>
      </c>
      <c r="AU42" s="5">
        <f>求节点(X$6:X$44,$H$67:$H$105,$AA42)</f>
        <v>322029.41381250072</v>
      </c>
      <c r="AV42" s="5">
        <f>求节点(T$6:T$44,$I$67:$I$105,$AA42)</f>
        <v>1170666.6666666667</v>
      </c>
      <c r="AW42" s="5">
        <f>求节点(U$6:U$44,$I$67:$I$105,$AA42)</f>
        <v>1240972.946447233</v>
      </c>
      <c r="AX42" s="5">
        <f>求节点(V$6:V$44,$I$67:$I$105,$AA42)</f>
        <v>1395826.0243596712</v>
      </c>
      <c r="AY42" s="5">
        <f>求节点(W$6:W$44,$I$67:$I$105,$AA42)</f>
        <v>1736722.2413088072</v>
      </c>
      <c r="AZ42" s="5">
        <f>求节点(X$6:X$44,$I$67:$I$105,$AA42)</f>
        <v>1996013.1037500114</v>
      </c>
      <c r="BA42" s="5">
        <f>求节点(T$6:T$44,$E$67:$E$105,$AA42)+求节点(T$6:T$44,$K$67:$K$105,$AA42)+求节点(T$67:T$105,$O$67:$O$105,$AA42)</f>
        <v>2634.666666666667</v>
      </c>
      <c r="BB42" s="5">
        <f>求节点(U$6:U$44,$E$67:$E$105,$AA42)+求节点(U$6:U$44,$K$67:$K$105,$AA42)+求节点(U$67:U$105,$O$67:$O$105,$AA42)</f>
        <v>2694.5998887746905</v>
      </c>
      <c r="BC42" s="5">
        <f>求节点(V$6:V$44,$E$67:$E$105,$AA42)+求节点(V$6:V$44,$K$67:$K$105,$AA42)+求节点(V$67:V$105,$O$67:$O$105,$AA42)</f>
        <v>2807.8743509264291</v>
      </c>
      <c r="BD42" s="5">
        <f>求节点(W$6:W$44,$E$67:$E$105,$AA42)+求节点(W$6:W$44,$K$67:$K$105,$AA42)+求节点(W$67:W$105,$O$67:$O$105,$AA42)</f>
        <v>3026.9388376186289</v>
      </c>
      <c r="BE42" s="5">
        <f>求节点(X$6:X$44,$E$67:$E$105,$AA42)+求节点(X$6:X$44,$K$67:$K$105,$AA42)+求节点(X$67:X$105,$O$67:$O$105,$AA42)</f>
        <v>3169.5302990000055</v>
      </c>
      <c r="BF42" s="5">
        <f>求节点(T$6:T$44,$G$67:$G$105,$AA42)</f>
        <v>0</v>
      </c>
      <c r="BG42" s="5">
        <f>求节点(U$6:U$44,$G$67:$G$105,$AA42)</f>
        <v>0</v>
      </c>
      <c r="BH42" s="5">
        <f>求节点(V$6:V$44,$G$67:$G$105,$AA42)</f>
        <v>0</v>
      </c>
      <c r="BI42" s="5">
        <f>求节点(W$6:W$44,$G$67:$G$105,$AA42)</f>
        <v>0</v>
      </c>
      <c r="BJ42" s="5">
        <f>求节点(X$6:X$44,$G$67:$G$105,$AA42)</f>
        <v>0</v>
      </c>
      <c r="BK42" s="5">
        <f>求节点(T$6:T$44,$M$67:$M$105,$AA42)</f>
        <v>25.333333333333332</v>
      </c>
      <c r="BL42" s="5">
        <f>求节点(U$6:U$44,$M$67:$M$105,$AA42)</f>
        <v>25.909614315141255</v>
      </c>
      <c r="BM42" s="5">
        <f>求节点(V$6:V$44,$M$67:$M$105,$AA42)</f>
        <v>26.998791835831049</v>
      </c>
      <c r="BN42" s="5">
        <f>求节点(W$6:W$44,$M$67:$M$105,$AA42)</f>
        <v>29.105181130948356</v>
      </c>
      <c r="BO42" s="5">
        <f>求节点(X$6:X$44,$M$67:$M$105,$AA42)</f>
        <v>30.476252875000053</v>
      </c>
      <c r="BP42" s="5">
        <f>求节点(T$67:T$105,$L$67:$L$105,$AA42)</f>
        <v>0</v>
      </c>
      <c r="BQ42" s="5">
        <f>求节点(U$67:U$105,$L$67:$L$105,$AA42)</f>
        <v>0</v>
      </c>
      <c r="BR42" s="5">
        <f>求节点(V$67:V$105,$L$67:$L$105,$AA42)</f>
        <v>0</v>
      </c>
      <c r="BS42" s="5">
        <f>求节点(W$67:W$105,$L$67:$L$105,$AA42)</f>
        <v>0</v>
      </c>
      <c r="BT42" s="5">
        <f>求节点(X$67:X$105,$L$67:$L$105,$AA42)</f>
        <v>0</v>
      </c>
      <c r="BZ42" s="5">
        <v>38</v>
      </c>
      <c r="CA42" s="5">
        <f t="shared" si="9"/>
        <v>2634.666666666667</v>
      </c>
      <c r="CB42" s="5">
        <f t="shared" si="10"/>
        <v>2694.5998887746905</v>
      </c>
      <c r="CC42" s="5">
        <f t="shared" si="11"/>
        <v>2807.8743509264291</v>
      </c>
      <c r="CD42" s="5">
        <f t="shared" si="12"/>
        <v>3026.9388376186289</v>
      </c>
      <c r="CE42" s="5">
        <f t="shared" si="13"/>
        <v>3169.5302990000055</v>
      </c>
      <c r="CF42" s="5">
        <f>(CA42-CA41)/节奏总纲!W41</f>
        <v>74.330524625268026</v>
      </c>
      <c r="CI42" s="5">
        <v>38</v>
      </c>
      <c r="CJ42" s="5">
        <f t="shared" si="14"/>
        <v>6080</v>
      </c>
      <c r="CK42" s="5">
        <f t="shared" si="15"/>
        <v>6218.3074356339012</v>
      </c>
      <c r="CL42" s="5">
        <f t="shared" si="16"/>
        <v>6479.7100405994515</v>
      </c>
      <c r="CM42" s="5">
        <f t="shared" si="17"/>
        <v>6985.2434714276051</v>
      </c>
      <c r="CN42" s="5">
        <f t="shared" si="18"/>
        <v>7314.3006900000128</v>
      </c>
      <c r="CO42" s="5">
        <f>(CJ42-CJ41)/节奏总纲!W41</f>
        <v>171.53197990446316</v>
      </c>
      <c r="CP42" s="5">
        <f t="shared" si="27"/>
        <v>245.86250452973118</v>
      </c>
      <c r="CR42" s="5">
        <v>38</v>
      </c>
      <c r="CS42" s="5">
        <f t="shared" si="28"/>
        <v>0</v>
      </c>
      <c r="CT42" s="5">
        <f t="shared" si="29"/>
        <v>0</v>
      </c>
      <c r="CU42" s="5">
        <f t="shared" si="30"/>
        <v>0</v>
      </c>
      <c r="CV42" s="5">
        <f t="shared" si="31"/>
        <v>0</v>
      </c>
      <c r="CW42" s="5">
        <f t="shared" si="32"/>
        <v>0</v>
      </c>
      <c r="CX42" s="5">
        <f t="shared" si="20"/>
        <v>0</v>
      </c>
      <c r="CY42" s="5">
        <f t="shared" si="21"/>
        <v>0</v>
      </c>
      <c r="CZ42" s="5">
        <f t="shared" si="22"/>
        <v>0</v>
      </c>
      <c r="DA42" s="5">
        <f t="shared" si="23"/>
        <v>0</v>
      </c>
      <c r="DB42" s="5">
        <f t="shared" si="24"/>
        <v>0</v>
      </c>
    </row>
    <row r="43" spans="2:106" x14ac:dyDescent="0.15">
      <c r="B43" s="16">
        <v>38</v>
      </c>
      <c r="C43" s="16"/>
      <c r="D43" s="17">
        <f t="shared" si="33"/>
        <v>9197400</v>
      </c>
      <c r="E43" s="16">
        <v>120</v>
      </c>
      <c r="F43" s="17">
        <f t="shared" si="34"/>
        <v>70800</v>
      </c>
      <c r="G43" s="16"/>
      <c r="H43" s="5">
        <v>27000</v>
      </c>
      <c r="I43" s="5">
        <f>ROUND(20*4/INDEX('[1]功能-付费相关'!$U$6:$U$165,基本信息!U41,1)/4000,0)*4000/2</f>
        <v>1276000</v>
      </c>
      <c r="J43" s="5">
        <f>ROUND(50*2/INDEX('[1]功能-付费相关'!$AS$6:$AS$165,基本信息!U41,1)/2000,0)*2000</f>
        <v>96000</v>
      </c>
      <c r="K43" s="16">
        <v>88</v>
      </c>
      <c r="M43" s="5">
        <v>2</v>
      </c>
      <c r="N43" s="16">
        <v>0</v>
      </c>
      <c r="O43" s="16"/>
      <c r="P43" s="16">
        <v>0</v>
      </c>
      <c r="Q43" s="16">
        <v>0</v>
      </c>
      <c r="S43" s="16">
        <v>38</v>
      </c>
      <c r="T43" s="5">
        <f>基本信息!C41</f>
        <v>114</v>
      </c>
      <c r="U43" s="5">
        <f>基本信息!D41</f>
        <v>109.61651685535122</v>
      </c>
      <c r="V43" s="5">
        <f>基本信息!E41</f>
        <v>106.67518132743962</v>
      </c>
      <c r="W43" s="5">
        <f>基本信息!F41</f>
        <v>104.22958749795568</v>
      </c>
      <c r="X43" s="5">
        <f>基本信息!G41</f>
        <v>103.16266814161757</v>
      </c>
      <c r="AA43" s="5">
        <v>39</v>
      </c>
      <c r="AB43" s="5">
        <f>求节点(T$6:T$44,$C$67:$C$105,$AA43)</f>
        <v>0</v>
      </c>
      <c r="AC43" s="5">
        <f>求节点(U$6:U$44,$C$67:$C$105,$AA43)</f>
        <v>0</v>
      </c>
      <c r="AD43" s="5">
        <f>求节点(V$6:V$44,$C$67:$C$105,$AA43)</f>
        <v>0</v>
      </c>
      <c r="AE43" s="5">
        <f>求节点(W$6:W$44,$C$67:$C$105,$AA43)</f>
        <v>0</v>
      </c>
      <c r="AF43" s="5">
        <f>求节点(X$6:X$44,$C$67:$C$105,$AA43)</f>
        <v>0</v>
      </c>
      <c r="AG43" s="5">
        <f>求节点(T$6:T$44,$D$67:$D$105,$AA43)+求节点(T$67:T$105,$Q$67:$Q$105,$AA43)</f>
        <v>747000</v>
      </c>
      <c r="AH43" s="5">
        <f>求节点(U$6:U$44,$D$67:$D$105,$AA43)+求节点(U$67:U$105,$Q$67:$Q$105,$AA43)</f>
        <v>827907.4600619853</v>
      </c>
      <c r="AI43" s="5">
        <f>求节点(V$6:V$44,$D$67:$D$105,$AA43)+求节点(V$67:V$105,$Q$67:$Q$105,$AA43)</f>
        <v>981714.50446005596</v>
      </c>
      <c r="AJ43" s="5">
        <f>求节点(W$6:W$44,$D$67:$D$105,$AA43)+求节点(W$67:W$105,$Q$67:$Q$105,$AA43)</f>
        <v>1384449.7286986888</v>
      </c>
      <c r="AK43" s="5">
        <f>求节点(X$6:X$44,$D$67:$D$105,$AA43)+求节点(X$67:X$105,$Q$67:$Q$105,$AA43)</f>
        <v>1718674.9143081841</v>
      </c>
      <c r="AL43" s="5">
        <f>求节点(T$6:T$44,$F$67:$F$105,$AA43)+求节点(T$67:T$105,$P$67:$P$105,$AA43)</f>
        <v>380400</v>
      </c>
      <c r="AM43" s="5">
        <f>求节点(U$6:U$44,$F$67:$F$105,$AA43)+求节点(U$67:U$105,$P$67:$P$105,$AA43)</f>
        <v>392240.11610663199</v>
      </c>
      <c r="AN43" s="5">
        <f>求节点(V$6:V$44,$F$67:$F$105,$AA43)+求节点(V$67:V$105,$P$67:$P$105,$AA43)</f>
        <v>414748.46406732529</v>
      </c>
      <c r="AO43" s="5">
        <f>求节点(W$6:W$44,$F$67:$F$105,$AA43)+求节点(W$67:W$105,$P$67:$P$105,$AA43)</f>
        <v>461400.10138787009</v>
      </c>
      <c r="AP43" s="5">
        <f>求节点(X$6:X$44,$F$67:$F$105,$AA43)+求节点(X$67:X$105,$P$67:$P$105,$AA43)</f>
        <v>490681.40676041663</v>
      </c>
      <c r="AQ43" s="5">
        <f>求节点(T$6:T$44,$H$67:$H$105,$AA43)</f>
        <v>261600</v>
      </c>
      <c r="AR43" s="5">
        <f>求节点(U$6:U$44,$H$67:$H$105,$AA43)</f>
        <v>269672.80643633998</v>
      </c>
      <c r="AS43" s="5">
        <f>求节点(V$6:V$44,$H$67:$H$105,$AA43)</f>
        <v>285019.40731863084</v>
      </c>
      <c r="AT43" s="5">
        <f>求节点(W$6:W$44,$H$67:$H$105,$AA43)</f>
        <v>315985.77946363081</v>
      </c>
      <c r="AU43" s="5">
        <f>求节点(X$6:X$44,$H$67:$H$105,$AA43)</f>
        <v>334809.47577455355</v>
      </c>
      <c r="AV43" s="5">
        <f>求节点(T$6:T$44,$I$67:$I$105,$AA43)</f>
        <v>1252000</v>
      </c>
      <c r="AW43" s="5">
        <f>求节点(U$6:U$44,$I$67:$I$105,$AA43)</f>
        <v>1338109.9353209601</v>
      </c>
      <c r="AX43" s="5">
        <f>求节点(V$6:V$44,$I$67:$I$105,$AA43)</f>
        <v>1501807.0113987292</v>
      </c>
      <c r="AY43" s="5">
        <f>求节点(W$6:W$44,$I$67:$I$105,$AA43)</f>
        <v>1902001.013878701</v>
      </c>
      <c r="AZ43" s="5">
        <f>求节点(X$6:X$44,$I$67:$I$105,$AA43)</f>
        <v>2194814.0676041665</v>
      </c>
      <c r="BA43" s="5">
        <f>求节点(T$6:T$44,$E$67:$E$105,$AA43)+求节点(T$6:T$44,$K$67:$K$105,$AA43)+求节点(T$67:T$105,$O$67:$O$105,$AA43)</f>
        <v>2704</v>
      </c>
      <c r="BB43" s="5">
        <f>求节点(U$6:U$44,$E$67:$E$105,$AA43)+求节点(U$6:U$44,$K$67:$K$105,$AA43)+求节点(U$67:U$105,$O$67:$O$105,$AA43)</f>
        <v>2766.1905088429157</v>
      </c>
      <c r="BC43" s="5">
        <f>求节点(V$6:V$44,$E$67:$E$105,$AA43)+求节点(V$6:V$44,$K$67:$K$105,$AA43)+求节点(V$67:V$105,$O$67:$O$105,$AA43)</f>
        <v>2884.4161748990823</v>
      </c>
      <c r="BD43" s="5">
        <f>求节点(W$6:W$44,$E$67:$E$105,$AA43)+求节点(W$6:W$44,$K$67:$K$105,$AA43)+求节点(W$67:W$105,$O$67:$O$105,$AA43)</f>
        <v>3122.9719306827856</v>
      </c>
      <c r="BE43" s="5">
        <f>求节点(X$6:X$44,$E$67:$E$105,$AA43)+求节点(X$6:X$44,$K$67:$K$105,$AA43)+求节点(X$67:X$105,$O$67:$O$105,$AA43)</f>
        <v>3267.9841096706346</v>
      </c>
      <c r="BF43" s="5">
        <f>求节点(T$6:T$44,$G$67:$G$105,$AA43)</f>
        <v>0</v>
      </c>
      <c r="BG43" s="5">
        <f>求节点(U$6:U$44,$G$67:$G$105,$AA43)</f>
        <v>0</v>
      </c>
      <c r="BH43" s="5">
        <f>求节点(V$6:V$44,$G$67:$G$105,$AA43)</f>
        <v>0</v>
      </c>
      <c r="BI43" s="5">
        <f>求节点(W$6:W$44,$G$67:$G$105,$AA43)</f>
        <v>0</v>
      </c>
      <c r="BJ43" s="5">
        <f>求节点(X$6:X$44,$G$67:$G$105,$AA43)</f>
        <v>0</v>
      </c>
      <c r="BK43" s="5">
        <f>求节点(T$6:T$44,$M$67:$M$105,$AA43)</f>
        <v>26</v>
      </c>
      <c r="BL43" s="5">
        <f>求节点(U$6:U$44,$M$67:$M$105,$AA43)</f>
        <v>26.59798566195111</v>
      </c>
      <c r="BM43" s="5">
        <f>求节点(V$6:V$44,$M$67:$M$105,$AA43)</f>
        <v>27.734770912491175</v>
      </c>
      <c r="BN43" s="5">
        <f>求节点(W$6:W$44,$M$67:$M$105,$AA43)</f>
        <v>30.028576256565245</v>
      </c>
      <c r="BO43" s="5">
        <f>求节点(X$6:X$44,$M$67:$M$105,$AA43)</f>
        <v>31.422924131448411</v>
      </c>
      <c r="BP43" s="5">
        <f>求节点(T$67:T$105,$L$67:$L$105,$AA43)</f>
        <v>0</v>
      </c>
      <c r="BQ43" s="5">
        <f>求节点(U$67:U$105,$L$67:$L$105,$AA43)</f>
        <v>0</v>
      </c>
      <c r="BR43" s="5">
        <f>求节点(V$67:V$105,$L$67:$L$105,$AA43)</f>
        <v>0</v>
      </c>
      <c r="BS43" s="5">
        <f>求节点(W$67:W$105,$L$67:$L$105,$AA43)</f>
        <v>0</v>
      </c>
      <c r="BT43" s="5">
        <f>求节点(X$67:X$105,$L$67:$L$105,$AA43)</f>
        <v>0</v>
      </c>
      <c r="BZ43" s="5">
        <v>39</v>
      </c>
      <c r="CA43" s="5">
        <f t="shared" si="9"/>
        <v>2704</v>
      </c>
      <c r="CB43" s="5">
        <f t="shared" si="10"/>
        <v>2766.1905088429157</v>
      </c>
      <c r="CC43" s="5">
        <f t="shared" si="11"/>
        <v>2884.4161748990823</v>
      </c>
      <c r="CD43" s="5">
        <f t="shared" si="12"/>
        <v>3122.9719306827856</v>
      </c>
      <c r="CE43" s="5">
        <f t="shared" si="13"/>
        <v>3267.9841096706346</v>
      </c>
      <c r="CF43" s="5">
        <f>(CA43-CA42)/节奏总纲!W42</f>
        <v>69.352831753613145</v>
      </c>
      <c r="CI43" s="5">
        <v>39</v>
      </c>
      <c r="CJ43" s="5">
        <f t="shared" si="14"/>
        <v>6240</v>
      </c>
      <c r="CK43" s="5">
        <f t="shared" si="15"/>
        <v>6383.5165588682667</v>
      </c>
      <c r="CL43" s="5">
        <f t="shared" si="16"/>
        <v>6656.3450189978821</v>
      </c>
      <c r="CM43" s="5">
        <f t="shared" si="17"/>
        <v>7206.8583015756585</v>
      </c>
      <c r="CN43" s="5">
        <f t="shared" si="18"/>
        <v>7541.5017915476183</v>
      </c>
      <c r="CO43" s="5">
        <f>(CJ43-CJ42)/节奏总纲!W42</f>
        <v>160.04499635449258</v>
      </c>
      <c r="CP43" s="5">
        <f t="shared" si="27"/>
        <v>229.39782810810573</v>
      </c>
      <c r="CR43" s="5">
        <v>39</v>
      </c>
      <c r="CS43" s="5">
        <f t="shared" si="28"/>
        <v>0</v>
      </c>
      <c r="CT43" s="5">
        <f t="shared" si="29"/>
        <v>0</v>
      </c>
      <c r="CU43" s="5">
        <f t="shared" si="30"/>
        <v>0</v>
      </c>
      <c r="CV43" s="5">
        <f t="shared" si="31"/>
        <v>0</v>
      </c>
      <c r="CW43" s="5">
        <f t="shared" si="32"/>
        <v>0</v>
      </c>
      <c r="CX43" s="5">
        <f t="shared" si="20"/>
        <v>0</v>
      </c>
      <c r="CY43" s="5">
        <f t="shared" si="21"/>
        <v>0</v>
      </c>
      <c r="CZ43" s="5">
        <f t="shared" si="22"/>
        <v>0</v>
      </c>
      <c r="DA43" s="5">
        <f t="shared" si="23"/>
        <v>0</v>
      </c>
      <c r="DB43" s="5">
        <f t="shared" si="24"/>
        <v>0</v>
      </c>
    </row>
    <row r="44" spans="2:106" x14ac:dyDescent="0.15">
      <c r="B44" s="16">
        <v>39</v>
      </c>
      <c r="C44" s="16"/>
      <c r="D44" s="17">
        <f t="shared" si="33"/>
        <v>9197400</v>
      </c>
      <c r="E44" s="16">
        <v>120</v>
      </c>
      <c r="F44" s="17">
        <f t="shared" si="34"/>
        <v>70800</v>
      </c>
      <c r="G44" s="16"/>
      <c r="H44" s="5">
        <v>27000</v>
      </c>
      <c r="I44" s="5">
        <f>ROUND(20*4/INDEX('[1]功能-付费相关'!$U$6:$U$165,基本信息!U42,1)/4000,0)*4000/2</f>
        <v>1306000</v>
      </c>
      <c r="J44" s="5">
        <f>ROUND(50*2/INDEX('[1]功能-付费相关'!$AS$6:$AS$165,基本信息!U42,1)/2000,0)*2000</f>
        <v>98000</v>
      </c>
      <c r="K44" s="16">
        <v>88</v>
      </c>
      <c r="M44" s="5">
        <v>2</v>
      </c>
      <c r="N44" s="16">
        <v>0</v>
      </c>
      <c r="O44" s="16"/>
      <c r="P44" s="16">
        <v>0</v>
      </c>
      <c r="Q44" s="16">
        <v>0</v>
      </c>
      <c r="S44" s="16">
        <v>39</v>
      </c>
      <c r="T44" s="5">
        <f>基本信息!C42</f>
        <v>117</v>
      </c>
      <c r="U44" s="5">
        <f>基本信息!D42</f>
        <v>113.18176914047146</v>
      </c>
      <c r="V44" s="5">
        <f>基本信息!E42</f>
        <v>110.30108908332825</v>
      </c>
      <c r="W44" s="5">
        <f>基本信息!F42</f>
        <v>108.33808148656112</v>
      </c>
      <c r="X44" s="5">
        <f>基本信息!G42</f>
        <v>106.95764458293246</v>
      </c>
      <c r="AA44" s="5">
        <v>40</v>
      </c>
      <c r="AB44" s="5">
        <f>求节点(T$6:T$44,$C$67:$C$105,$AA44)</f>
        <v>0</v>
      </c>
      <c r="AC44" s="5">
        <f>求节点(U$6:U$44,$C$67:$C$105,$AA44)</f>
        <v>0</v>
      </c>
      <c r="AD44" s="5">
        <f>求节点(V$6:V$44,$C$67:$C$105,$AA44)</f>
        <v>0</v>
      </c>
      <c r="AE44" s="5">
        <f>求节点(W$6:W$44,$C$67:$C$105,$AA44)</f>
        <v>0</v>
      </c>
      <c r="AF44" s="5">
        <f>求节点(X$6:X$44,$C$67:$C$105,$AA44)</f>
        <v>0</v>
      </c>
      <c r="AG44" s="5">
        <f>求节点(T$6:T$44,$D$67:$D$105,$AA44)+求节点(T$67:T$105,$Q$67:$Q$105,$AA44)</f>
        <v>837200</v>
      </c>
      <c r="AH44" s="5">
        <f>求节点(U$6:U$44,$D$67:$D$105,$AA44)+求节点(U$67:U$105,$Q$67:$Q$105,$AA44)</f>
        <v>922234.23784073116</v>
      </c>
      <c r="AI44" s="5">
        <f>求节点(V$6:V$44,$D$67:$D$105,$AA44)+求节点(V$67:V$105,$Q$67:$Q$105,$AA44)</f>
        <v>1100446.8534756014</v>
      </c>
      <c r="AJ44" s="5">
        <f>求节点(W$6:W$44,$D$67:$D$105,$AA44)+求节点(W$67:W$105,$Q$67:$Q$105,$AA44)</f>
        <v>1588822.4462272245</v>
      </c>
      <c r="AK44" s="5">
        <f>求节点(X$6:X$44,$D$67:$D$105,$AA44)+求节点(X$67:X$105,$Q$67:$Q$105,$AA44)</f>
        <v>1940663.5955560545</v>
      </c>
      <c r="AL44" s="5">
        <f>求节点(T$6:T$44,$F$67:$F$105,$AA44)+求节点(T$67:T$105,$P$67:$P$105,$AA44)</f>
        <v>393600</v>
      </c>
      <c r="AM44" s="5">
        <f>求节点(U$6:U$44,$F$67:$F$105,$AA44)+求节点(U$67:U$105,$P$67:$P$105,$AA44)</f>
        <v>406044.03480596066</v>
      </c>
      <c r="AN44" s="5">
        <f>求节点(V$6:V$44,$F$67:$F$105,$AA44)+求节点(V$67:V$105,$P$67:$P$105,$AA44)</f>
        <v>429389.31006056815</v>
      </c>
      <c r="AO44" s="5">
        <f>求节点(W$6:W$44,$F$67:$F$105,$AA44)+求节点(W$67:W$105,$P$67:$P$105,$AA44)</f>
        <v>479305.09541414987</v>
      </c>
      <c r="AP44" s="5">
        <f>求节点(X$6:X$44,$F$67:$F$105,$AA44)+求节点(X$67:X$105,$P$67:$P$105,$AA44)</f>
        <v>509122.40421903931</v>
      </c>
      <c r="AQ44" s="5">
        <f>求节点(T$6:T$44,$H$67:$H$105,$AA44)</f>
        <v>270600</v>
      </c>
      <c r="AR44" s="5">
        <f>求节点(U$6:U$44,$H$67:$H$105,$AA44)</f>
        <v>279084.56918588228</v>
      </c>
      <c r="AS44" s="5">
        <f>求节点(V$6:V$44,$H$67:$H$105,$AA44)</f>
        <v>294813.51401067013</v>
      </c>
      <c r="AT44" s="5">
        <f>求节点(W$6:W$44,$H$67:$H$105,$AA44)</f>
        <v>327496.13276623917</v>
      </c>
      <c r="AU44" s="5">
        <f>求节点(X$6:X$44,$H$67:$H$105,$AA44)</f>
        <v>346497.37246379134</v>
      </c>
      <c r="AV44" s="5">
        <f>求节点(T$6:T$44,$I$67:$I$105,$AA44)</f>
        <v>1348000</v>
      </c>
      <c r="AW44" s="5">
        <f>求节点(U$6:U$44,$I$67:$I$105,$AA44)</f>
        <v>1438502.0713160776</v>
      </c>
      <c r="AX44" s="5">
        <f>求节点(V$6:V$44,$I$67:$I$105,$AA44)</f>
        <v>1621926.3328814281</v>
      </c>
      <c r="AY44" s="5">
        <f>求节点(W$6:W$44,$I$67:$I$105,$AA44)</f>
        <v>2081050.9541414985</v>
      </c>
      <c r="AZ44" s="5">
        <f>求节点(X$6:X$44,$I$67:$I$105,$AA44)</f>
        <v>2383554.4560390501</v>
      </c>
      <c r="BA44" s="5">
        <f>求节点(T$6:T$44,$E$67:$E$105,$AA44)+求节点(T$6:T$44,$K$67:$K$105,$AA44)+求节点(T$67:T$105,$O$67:$O$105,$AA44)</f>
        <v>2773.333333333333</v>
      </c>
      <c r="BB44" s="5">
        <f>求节点(U$6:U$44,$E$67:$E$105,$AA44)+求节点(U$6:U$44,$K$67:$K$105,$AA44)+求节点(U$67:U$105,$O$67:$O$105,$AA44)</f>
        <v>2838.695940394945</v>
      </c>
      <c r="BC44" s="5">
        <f>求节点(V$6:V$44,$E$67:$E$105,$AA44)+求节点(V$6:V$44,$K$67:$K$105,$AA44)+求节点(V$67:V$105,$O$67:$O$105,$AA44)</f>
        <v>2959.8670708970139</v>
      </c>
      <c r="BD44" s="5">
        <f>求节点(W$6:W$44,$E$67:$E$105,$AA44)+求节点(W$6:W$44,$K$67:$K$105,$AA44)+求节点(W$67:W$105,$O$67:$O$105,$AA44)</f>
        <v>3211.6442820510279</v>
      </c>
      <c r="BE44" s="5">
        <f>求节点(X$6:X$44,$E$67:$E$105,$AA44)+求节点(X$6:X$44,$K$67:$K$105,$AA44)+求节点(X$67:X$105,$O$67:$O$105,$AA44)</f>
        <v>3358.0242026840224</v>
      </c>
      <c r="BF44" s="5">
        <f>求节点(T$6:T$44,$G$67:$G$105,$AA44)</f>
        <v>0</v>
      </c>
      <c r="BG44" s="5">
        <f>求节点(U$6:U$44,$G$67:$G$105,$AA44)</f>
        <v>0</v>
      </c>
      <c r="BH44" s="5">
        <f>求节点(V$6:V$44,$G$67:$G$105,$AA44)</f>
        <v>0</v>
      </c>
      <c r="BI44" s="5">
        <f>求节点(W$6:W$44,$G$67:$G$105,$AA44)</f>
        <v>0</v>
      </c>
      <c r="BJ44" s="5">
        <f>求节点(X$6:X$44,$G$67:$G$105,$AA44)</f>
        <v>0</v>
      </c>
      <c r="BK44" s="5">
        <f>求节点(T$6:T$44,$M$67:$M$105,$AA44)</f>
        <v>26.666666666666668</v>
      </c>
      <c r="BL44" s="5">
        <f>求节点(U$6:U$44,$M$67:$M$105,$AA44)</f>
        <v>27.295153273028316</v>
      </c>
      <c r="BM44" s="5">
        <f>求节点(V$6:V$44,$M$67:$M$105,$AA44)</f>
        <v>28.460260297086673</v>
      </c>
      <c r="BN44" s="5">
        <f>求节点(W$6:W$44,$M$67:$M$105,$AA44)</f>
        <v>30.881195019721421</v>
      </c>
      <c r="BO44" s="5">
        <f>求节点(X$6:X$44,$M$67:$M$105,$AA44)</f>
        <v>32.288694256577138</v>
      </c>
      <c r="BP44" s="5">
        <f>求节点(T$67:T$105,$L$67:$L$105,$AA44)</f>
        <v>0</v>
      </c>
      <c r="BQ44" s="5">
        <f>求节点(U$67:U$105,$L$67:$L$105,$AA44)</f>
        <v>0</v>
      </c>
      <c r="BR44" s="5">
        <f>求节点(V$67:V$105,$L$67:$L$105,$AA44)</f>
        <v>0</v>
      </c>
      <c r="BS44" s="5">
        <f>求节点(W$67:W$105,$L$67:$L$105,$AA44)</f>
        <v>0</v>
      </c>
      <c r="BT44" s="5">
        <f>求节点(X$67:X$105,$L$67:$L$105,$AA44)</f>
        <v>0</v>
      </c>
      <c r="BZ44" s="5">
        <v>40</v>
      </c>
      <c r="CA44" s="5">
        <f t="shared" si="9"/>
        <v>2773.333333333333</v>
      </c>
      <c r="CB44" s="5">
        <f t="shared" si="10"/>
        <v>2838.695940394945</v>
      </c>
      <c r="CC44" s="5">
        <f t="shared" si="11"/>
        <v>2959.8670708970139</v>
      </c>
      <c r="CD44" s="5">
        <f t="shared" si="12"/>
        <v>3211.6442820510279</v>
      </c>
      <c r="CE44" s="5">
        <f t="shared" si="13"/>
        <v>3358.0242026840224</v>
      </c>
      <c r="CF44" s="5">
        <f>(CA44-CA43)/节奏总纲!W43</f>
        <v>64.708480082622458</v>
      </c>
      <c r="CI44" s="5">
        <v>40</v>
      </c>
      <c r="CJ44" s="5">
        <f t="shared" si="14"/>
        <v>6400</v>
      </c>
      <c r="CK44" s="5">
        <f t="shared" si="15"/>
        <v>6550.8367855267961</v>
      </c>
      <c r="CL44" s="5">
        <f t="shared" si="16"/>
        <v>6830.4624713008016</v>
      </c>
      <c r="CM44" s="5">
        <f t="shared" si="17"/>
        <v>7411.4868047331411</v>
      </c>
      <c r="CN44" s="5">
        <f t="shared" si="18"/>
        <v>7749.2866215785134</v>
      </c>
      <c r="CO44" s="5">
        <f>(CJ44-CJ43)/节奏总纲!W43</f>
        <v>149.32726172912939</v>
      </c>
      <c r="CP44" s="5">
        <f t="shared" si="27"/>
        <v>214.03574181175185</v>
      </c>
      <c r="CR44" s="5">
        <v>40</v>
      </c>
      <c r="CS44" s="5">
        <f t="shared" si="28"/>
        <v>0</v>
      </c>
      <c r="CT44" s="5">
        <f t="shared" si="29"/>
        <v>0</v>
      </c>
      <c r="CU44" s="5">
        <f t="shared" si="30"/>
        <v>0</v>
      </c>
      <c r="CV44" s="5">
        <f t="shared" si="31"/>
        <v>0</v>
      </c>
      <c r="CW44" s="5">
        <f t="shared" si="32"/>
        <v>0</v>
      </c>
      <c r="CX44" s="5">
        <f t="shared" si="20"/>
        <v>0</v>
      </c>
      <c r="CY44" s="5">
        <f t="shared" si="21"/>
        <v>0</v>
      </c>
      <c r="CZ44" s="5">
        <f t="shared" si="22"/>
        <v>0</v>
      </c>
      <c r="DA44" s="5">
        <f t="shared" si="23"/>
        <v>0</v>
      </c>
      <c r="DB44" s="5">
        <f t="shared" si="24"/>
        <v>0</v>
      </c>
    </row>
    <row r="45" spans="2:106" x14ac:dyDescent="0.15">
      <c r="B45" s="28">
        <v>40</v>
      </c>
      <c r="C45" s="28"/>
      <c r="D45" s="29">
        <f t="shared" ref="D45" si="35">D44*1.2</f>
        <v>11036880</v>
      </c>
      <c r="E45" s="28">
        <v>120</v>
      </c>
      <c r="F45" s="30">
        <f t="shared" si="34"/>
        <v>70800</v>
      </c>
      <c r="G45" s="28"/>
      <c r="H45" s="31">
        <v>27000</v>
      </c>
      <c r="I45" s="31">
        <f>ROUND(20*4/INDEX('[1]功能-付费相关'!$U$6:$U$165,基本信息!U43,1)/4000,0)*4000/2</f>
        <v>1336000</v>
      </c>
      <c r="J45" s="31">
        <f>ROUND(50*2/INDEX('[1]功能-付费相关'!$AS$6:$AS$165,基本信息!U43,1)/2000,0)*2000</f>
        <v>98000</v>
      </c>
      <c r="K45" s="28">
        <v>88</v>
      </c>
      <c r="L45" s="31"/>
      <c r="M45" s="31">
        <v>2</v>
      </c>
      <c r="N45" s="28">
        <v>0</v>
      </c>
      <c r="O45" s="28"/>
      <c r="P45" s="28">
        <v>0</v>
      </c>
      <c r="Q45" s="28">
        <v>0</v>
      </c>
      <c r="S45" s="28">
        <v>40</v>
      </c>
      <c r="T45" s="31">
        <f>基本信息!C43</f>
        <v>120</v>
      </c>
      <c r="U45" s="31">
        <f>基本信息!D43</f>
        <v>116.55797408712036</v>
      </c>
      <c r="V45" s="31">
        <f>基本信息!E43</f>
        <v>114.00355681841862</v>
      </c>
      <c r="W45" s="31">
        <f>基本信息!F43</f>
        <v>112.3296047979488</v>
      </c>
      <c r="X45" s="31">
        <f>基本信息!G43</f>
        <v>110.7524893251942</v>
      </c>
      <c r="AA45" s="5">
        <v>41</v>
      </c>
      <c r="AB45" s="5">
        <f>求节点(T$6:T$44,$C$67:$C$105,$AA45)</f>
        <v>0</v>
      </c>
      <c r="AC45" s="5">
        <f>求节点(U$6:U$44,$C$67:$C$105,$AA45)</f>
        <v>0</v>
      </c>
      <c r="AD45" s="5">
        <f>求节点(V$6:V$44,$C$67:$C$105,$AA45)</f>
        <v>0</v>
      </c>
      <c r="AE45" s="5">
        <f>求节点(W$6:W$44,$C$67:$C$105,$AA45)</f>
        <v>0</v>
      </c>
      <c r="AF45" s="5">
        <f>求节点(X$6:X$44,$C$67:$C$105,$AA45)</f>
        <v>0</v>
      </c>
      <c r="AG45" s="5">
        <f>求节点(T$6:T$44,$D$67:$D$105,$AA45)+求节点(T$67:T$105,$Q$67:$Q$105,$AA45)</f>
        <v>927400</v>
      </c>
      <c r="AH45" s="5">
        <f>求节点(U$6:U$44,$D$67:$D$105,$AA45)+求节点(U$67:U$105,$Q$67:$Q$105,$AA45)</f>
        <v>1016561.015619477</v>
      </c>
      <c r="AI45" s="5">
        <f>求节点(V$6:V$44,$D$67:$D$105,$AA45)+求节点(V$67:V$105,$Q$67:$Q$105,$AA45)</f>
        <v>1229971.1277832799</v>
      </c>
      <c r="AJ45" s="5">
        <f>求节点(W$6:W$44,$D$67:$D$105,$AA45)+求节点(W$67:W$105,$Q$67:$Q$105,$AA45)</f>
        <v>1793195.1637557605</v>
      </c>
      <c r="AK45" s="5">
        <f>求节点(X$6:X$44,$D$67:$D$105,$AA45)+求节点(X$67:X$105,$Q$67:$Q$105,$AA45)</f>
        <v>2154957.1817794829</v>
      </c>
      <c r="AL45" s="5">
        <f>求节点(T$6:T$44,$F$67:$F$105,$AA45)+求节点(T$67:T$105,$P$67:$P$105,$AA45)</f>
        <v>406800</v>
      </c>
      <c r="AM45" s="5">
        <f>求节点(U$6:U$44,$F$67:$F$105,$AA45)+求节点(U$67:U$105,$P$67:$P$105,$AA45)</f>
        <v>419847.95350528933</v>
      </c>
      <c r="AN45" s="5">
        <f>求节点(V$6:V$44,$F$67:$F$105,$AA45)+求节点(V$67:V$105,$P$67:$P$105,$AA45)</f>
        <v>444068.72781543841</v>
      </c>
      <c r="AO45" s="5">
        <f>求节点(W$6:W$44,$F$67:$F$105,$AA45)+求节点(W$67:W$105,$P$67:$P$105,$AA45)</f>
        <v>497210.08944042958</v>
      </c>
      <c r="AP45" s="5">
        <f>求节点(X$6:X$44,$F$67:$F$105,$AA45)+求节点(X$67:X$105,$P$67:$P$105,$AA45)</f>
        <v>525316.43299161724</v>
      </c>
      <c r="AQ45" s="5">
        <f>求节点(T$6:T$44,$H$67:$H$105,$AA45)</f>
        <v>279600</v>
      </c>
      <c r="AR45" s="5">
        <f>求节点(U$6:U$44,$H$67:$H$105,$AA45)</f>
        <v>288496.33193542453</v>
      </c>
      <c r="AS45" s="5">
        <f>求节点(V$6:V$44,$H$67:$H$105,$AA45)</f>
        <v>304527.83458374598</v>
      </c>
      <c r="AT45" s="5">
        <f>求节点(W$6:W$44,$H$67:$H$105,$AA45)</f>
        <v>339006.48606884759</v>
      </c>
      <c r="AU45" s="5">
        <f>求节点(X$6:X$44,$H$67:$H$105,$AA45)</f>
        <v>356479.99294003804</v>
      </c>
      <c r="AV45" s="5">
        <f>求节点(T$6:T$44,$I$67:$I$105,$AA45)</f>
        <v>1444000</v>
      </c>
      <c r="AW45" s="5">
        <f>求节点(U$6:U$44,$I$67:$I$105,$AA45)</f>
        <v>1538894.2073111951</v>
      </c>
      <c r="AX45" s="5">
        <f>求节点(V$6:V$44,$I$67:$I$105,$AA45)</f>
        <v>1750011.4485856879</v>
      </c>
      <c r="AY45" s="5">
        <f>求节点(W$6:W$44,$I$67:$I$105,$AA45)</f>
        <v>2260100.8944042958</v>
      </c>
      <c r="AZ45" s="5">
        <f>求节点(X$6:X$44,$I$67:$I$105,$AA45)</f>
        <v>2556586.5442939922</v>
      </c>
      <c r="BA45" s="5">
        <f>求节点(T$6:T$44,$E$67:$E$105,$AA45)+求节点(T$6:T$44,$K$67:$K$105,$AA45)+求节点(T$67:T$105,$O$67:$O$105,$AA45)</f>
        <v>2842.666666666667</v>
      </c>
      <c r="BB45" s="5">
        <f>求节点(U$6:U$44,$E$67:$E$105,$AA45)+求节点(U$6:U$44,$K$67:$K$105,$AA45)+求节点(U$67:U$105,$O$67:$O$105,$AA45)</f>
        <v>2911.2013719469742</v>
      </c>
      <c r="BC45" s="5">
        <f>求节点(V$6:V$44,$E$67:$E$105,$AA45)+求节点(V$6:V$44,$K$67:$K$105,$AA45)+求节点(V$67:V$105,$O$67:$O$105,$AA45)</f>
        <v>3034.7033182747837</v>
      </c>
      <c r="BD45" s="5">
        <f>求节点(W$6:W$44,$E$67:$E$105,$AA45)+求节点(W$6:W$44,$K$67:$K$105,$AA45)+求节点(W$67:W$105,$O$67:$O$105,$AA45)</f>
        <v>3300.3166334192701</v>
      </c>
      <c r="BE45" s="5">
        <f>求节点(X$6:X$44,$E$67:$E$105,$AA45)+求节点(X$6:X$44,$K$67:$K$105,$AA45)+求节点(X$67:X$105,$O$67:$O$105,$AA45)</f>
        <v>3434.9273530195524</v>
      </c>
      <c r="BF45" s="5">
        <f>求节点(T$6:T$44,$G$67:$G$105,$AA45)</f>
        <v>0</v>
      </c>
      <c r="BG45" s="5">
        <f>求节点(U$6:U$44,$G$67:$G$105,$AA45)</f>
        <v>0</v>
      </c>
      <c r="BH45" s="5">
        <f>求节点(V$6:V$44,$G$67:$G$105,$AA45)</f>
        <v>0</v>
      </c>
      <c r="BI45" s="5">
        <f>求节点(W$6:W$44,$G$67:$G$105,$AA45)</f>
        <v>0</v>
      </c>
      <c r="BJ45" s="5">
        <f>求节点(X$6:X$44,$G$67:$G$105,$AA45)</f>
        <v>0</v>
      </c>
      <c r="BK45" s="5">
        <f>求节点(T$6:T$44,$M$67:$M$105,$AA45)</f>
        <v>27.333333333333332</v>
      </c>
      <c r="BL45" s="5">
        <f>求节点(U$6:U$44,$M$67:$M$105,$AA45)</f>
        <v>27.992320884105521</v>
      </c>
      <c r="BM45" s="5">
        <f>求节点(V$6:V$44,$M$67:$M$105,$AA45)</f>
        <v>29.179839598796001</v>
      </c>
      <c r="BN45" s="5">
        <f>求节点(W$6:W$44,$M$67:$M$105,$AA45)</f>
        <v>31.733813782877597</v>
      </c>
      <c r="BO45" s="5">
        <f>求节点(X$6:X$44,$M$67:$M$105,$AA45)</f>
        <v>33.028147625187998</v>
      </c>
      <c r="BP45" s="5">
        <f>求节点(T$67:T$105,$L$67:$L$105,$AA45)</f>
        <v>0</v>
      </c>
      <c r="BQ45" s="5">
        <f>求节点(U$67:U$105,$L$67:$L$105,$AA45)</f>
        <v>0</v>
      </c>
      <c r="BR45" s="5">
        <f>求节点(V$67:V$105,$L$67:$L$105,$AA45)</f>
        <v>0</v>
      </c>
      <c r="BS45" s="5">
        <f>求节点(W$67:W$105,$L$67:$L$105,$AA45)</f>
        <v>0</v>
      </c>
      <c r="BT45" s="5">
        <f>求节点(X$67:X$105,$L$67:$L$105,$AA45)</f>
        <v>0</v>
      </c>
      <c r="BZ45" s="5">
        <v>41</v>
      </c>
      <c r="CA45" s="5">
        <f t="shared" si="9"/>
        <v>2842.666666666667</v>
      </c>
      <c r="CB45" s="5">
        <f t="shared" si="10"/>
        <v>2911.2013719469742</v>
      </c>
      <c r="CC45" s="5">
        <f t="shared" si="11"/>
        <v>3034.7033182747837</v>
      </c>
      <c r="CD45" s="5">
        <f t="shared" si="12"/>
        <v>3300.3166334192701</v>
      </c>
      <c r="CE45" s="5">
        <f t="shared" si="13"/>
        <v>3434.9273530195524</v>
      </c>
      <c r="CF45" s="5">
        <f>(CA45-CA44)/节奏总纲!W44</f>
        <v>60.375146749290451</v>
      </c>
      <c r="CI45" s="5">
        <v>41</v>
      </c>
      <c r="CJ45" s="5">
        <f t="shared" si="14"/>
        <v>6560</v>
      </c>
      <c r="CK45" s="5">
        <f t="shared" si="15"/>
        <v>6718.1570121853247</v>
      </c>
      <c r="CL45" s="5">
        <f t="shared" si="16"/>
        <v>7003.1615037110405</v>
      </c>
      <c r="CM45" s="5">
        <f t="shared" si="17"/>
        <v>7616.1153078906236</v>
      </c>
      <c r="CN45" s="5">
        <f t="shared" si="18"/>
        <v>7926.7554300451193</v>
      </c>
      <c r="CO45" s="5">
        <f>(CJ45-CJ44)/节奏总纲!W44</f>
        <v>139.32726172913058</v>
      </c>
      <c r="CP45" s="5">
        <f t="shared" si="27"/>
        <v>199.70240847842103</v>
      </c>
      <c r="CR45" s="5">
        <v>41</v>
      </c>
      <c r="CS45" s="5">
        <f t="shared" si="28"/>
        <v>0</v>
      </c>
      <c r="CT45" s="5">
        <f t="shared" si="29"/>
        <v>0</v>
      </c>
      <c r="CU45" s="5">
        <f t="shared" si="30"/>
        <v>0</v>
      </c>
      <c r="CV45" s="5">
        <f t="shared" si="31"/>
        <v>0</v>
      </c>
      <c r="CW45" s="5">
        <f t="shared" si="32"/>
        <v>0</v>
      </c>
      <c r="CX45" s="5">
        <f t="shared" si="20"/>
        <v>0</v>
      </c>
      <c r="CY45" s="5">
        <f t="shared" si="21"/>
        <v>0</v>
      </c>
      <c r="CZ45" s="5">
        <f t="shared" si="22"/>
        <v>0</v>
      </c>
      <c r="DA45" s="5">
        <f t="shared" si="23"/>
        <v>0</v>
      </c>
      <c r="DB45" s="5">
        <f t="shared" si="24"/>
        <v>0</v>
      </c>
    </row>
    <row r="46" spans="2:106" x14ac:dyDescent="0.15">
      <c r="B46" s="28">
        <v>41</v>
      </c>
      <c r="C46" s="28"/>
      <c r="D46" s="31">
        <f>ROUND(130/INDEX('[1]功能-付费相关'!$BB$6:$BB$165,基本信息!U44,1)/1200,0)*600</f>
        <v>14812200</v>
      </c>
      <c r="E46" s="28">
        <v>120</v>
      </c>
      <c r="F46" s="31">
        <f>ROUND(60/INDEX('[1]功能-付费相关'!$AS$6:$AS$165,基本信息!C44,1)/600,0)*600</f>
        <v>78000</v>
      </c>
      <c r="G46" s="28"/>
      <c r="H46" s="31">
        <v>27000</v>
      </c>
      <c r="I46" s="31">
        <f>ROUND(20*4/INDEX('[1]功能-付费相关'!$U$6:$U$165,基本信息!U44,1)/4000,0)*4000/2</f>
        <v>1468000</v>
      </c>
      <c r="J46" s="31">
        <f>ROUND(50*2/INDEX('[1]功能-付费相关'!$AS$6:$AS$165,基本信息!U44,1)/2000,0)*2000</f>
        <v>100000</v>
      </c>
      <c r="K46" s="28">
        <v>88</v>
      </c>
      <c r="L46" s="31"/>
      <c r="M46" s="31">
        <v>2</v>
      </c>
      <c r="N46" s="28">
        <v>0</v>
      </c>
      <c r="O46" s="28"/>
      <c r="P46" s="28">
        <v>0</v>
      </c>
      <c r="Q46" s="28">
        <v>0</v>
      </c>
      <c r="S46" s="28">
        <v>41</v>
      </c>
      <c r="T46" s="31">
        <f>基本信息!C44</f>
        <v>123</v>
      </c>
      <c r="U46" s="31">
        <f>基本信息!D44</f>
        <v>119.44490210328395</v>
      </c>
      <c r="V46" s="31">
        <f>基本信息!E44</f>
        <v>117.06417487262283</v>
      </c>
      <c r="W46" s="31">
        <f>基本信息!F44</f>
        <v>115.45535718171455</v>
      </c>
      <c r="X46" s="31">
        <f>基本信息!G44</f>
        <v>113.74443912781554</v>
      </c>
      <c r="AA46" s="5">
        <v>42</v>
      </c>
      <c r="AB46" s="5">
        <f>求节点(T$6:T$44,$C$67:$C$105,$AA46)</f>
        <v>0</v>
      </c>
      <c r="AC46" s="5">
        <f>求节点(U$6:U$44,$C$67:$C$105,$AA46)</f>
        <v>0</v>
      </c>
      <c r="AD46" s="5">
        <f>求节点(V$6:V$44,$C$67:$C$105,$AA46)</f>
        <v>0</v>
      </c>
      <c r="AE46" s="5">
        <f>求节点(W$6:W$44,$C$67:$C$105,$AA46)</f>
        <v>0</v>
      </c>
      <c r="AF46" s="5">
        <f>求节点(X$6:X$44,$C$67:$C$105,$AA46)</f>
        <v>0</v>
      </c>
      <c r="AG46" s="5">
        <f>求节点(T$6:T$44,$D$67:$D$105,$AA46)+求节点(T$67:T$105,$Q$67:$Q$105,$AA46)</f>
        <v>1017600</v>
      </c>
      <c r="AH46" s="5">
        <f>求节点(U$6:U$44,$D$67:$D$105,$AA46)+求节点(U$67:U$105,$Q$67:$Q$105,$AA46)</f>
        <v>1135701.8708309832</v>
      </c>
      <c r="AI46" s="5">
        <f>求节点(V$6:V$44,$D$67:$D$105,$AA46)+求节点(V$67:V$105,$Q$67:$Q$105,$AA46)</f>
        <v>1359495.4020909586</v>
      </c>
      <c r="AJ46" s="5">
        <f>求节点(W$6:W$44,$D$67:$D$105,$AA46)+求节点(W$67:W$105,$Q$67:$Q$105,$AA46)</f>
        <v>1997842.358009344</v>
      </c>
      <c r="AK46" s="5">
        <f>求节点(X$6:X$44,$D$67:$D$105,$AA46)+求节点(X$67:X$105,$Q$67:$Q$105,$AA46)</f>
        <v>2369250.768002911</v>
      </c>
      <c r="AL46" s="5">
        <f>求节点(T$6:T$44,$F$67:$F$105,$AA46)+求节点(T$67:T$105,$P$67:$P$105,$AA46)</f>
        <v>420000</v>
      </c>
      <c r="AM46" s="5">
        <f>求节点(U$6:U$44,$F$67:$F$105,$AA46)+求节点(U$67:U$105,$P$67:$P$105,$AA46)</f>
        <v>433384.87869417807</v>
      </c>
      <c r="AN46" s="5">
        <f>求节点(V$6:V$44,$F$67:$F$105,$AA46)+求节点(V$67:V$105,$P$67:$P$105,$AA46)</f>
        <v>458748.14557030867</v>
      </c>
      <c r="AO46" s="5">
        <f>求节点(W$6:W$44,$F$67:$F$105,$AA46)+求节点(W$67:W$105,$P$67:$P$105,$AA46)</f>
        <v>513443.36659904983</v>
      </c>
      <c r="AP46" s="5">
        <f>求节点(X$6:X$44,$F$67:$F$105,$AA46)+求节点(X$67:X$105,$P$67:$P$105,$AA46)</f>
        <v>541510.46176419512</v>
      </c>
      <c r="AQ46" s="5">
        <f>求节点(T$6:T$44,$H$67:$H$105,$AA46)</f>
        <v>288600</v>
      </c>
      <c r="AR46" s="5">
        <f>求节点(U$6:U$44,$H$67:$H$105,$AA46)</f>
        <v>297457.64031232375</v>
      </c>
      <c r="AS46" s="5">
        <f>求节点(V$6:V$44,$H$67:$H$105,$AA46)</f>
        <v>314242.15515682189</v>
      </c>
      <c r="AT46" s="5">
        <f>求节点(W$6:W$44,$H$67:$H$105,$AA46)</f>
        <v>349160.9794103732</v>
      </c>
      <c r="AU46" s="5">
        <f>求节点(X$6:X$44,$H$67:$H$105,$AA46)</f>
        <v>366462.61341628467</v>
      </c>
      <c r="AV46" s="5">
        <f>求节点(T$6:T$44,$I$67:$I$105,$AA46)</f>
        <v>1540000</v>
      </c>
      <c r="AW46" s="5">
        <f>求节点(U$6:U$44,$I$67:$I$105,$AA46)</f>
        <v>1656789.62782175</v>
      </c>
      <c r="AX46" s="5">
        <f>求节点(V$6:V$44,$I$67:$I$105,$AA46)</f>
        <v>1878096.564289948</v>
      </c>
      <c r="AY46" s="5">
        <f>求节点(W$6:W$44,$I$67:$I$105,$AA46)</f>
        <v>2429723.6431131349</v>
      </c>
      <c r="AZ46" s="5">
        <f>求节点(X$6:X$44,$I$67:$I$105,$AA46)</f>
        <v>2729618.6325489343</v>
      </c>
      <c r="BA46" s="5">
        <f>求节点(T$6:T$44,$E$67:$E$105,$AA46)+求节点(T$6:T$44,$K$67:$K$105,$AA46)+求节点(T$67:T$105,$O$67:$O$105,$AA46)</f>
        <v>2912</v>
      </c>
      <c r="BB46" s="5">
        <f>求节点(U$6:U$44,$E$67:$E$105,$AA46)+求节点(U$6:U$44,$K$67:$K$105,$AA46)+求节点(U$67:U$105,$O$67:$O$105,$AA46)</f>
        <v>2980.2366364801237</v>
      </c>
      <c r="BC46" s="5">
        <f>求节点(V$6:V$44,$E$67:$E$105,$AA46)+求节点(V$6:V$44,$K$67:$K$105,$AA46)+求节点(V$67:V$105,$O$67:$O$105,$AA46)</f>
        <v>3109.5395656525543</v>
      </c>
      <c r="BD46" s="5">
        <f>求节点(W$6:W$44,$E$67:$E$105,$AA46)+求节点(W$6:W$44,$K$67:$K$105,$AA46)+求节点(W$67:W$105,$O$67:$O$105,$AA46)</f>
        <v>3378.5438413836155</v>
      </c>
      <c r="BE46" s="5">
        <f>求节点(X$6:X$44,$E$67:$E$105,$AA46)+求节点(X$6:X$44,$K$67:$K$105,$AA46)+求节点(X$67:X$105,$O$67:$O$105,$AA46)</f>
        <v>3511.8305033550823</v>
      </c>
      <c r="BF46" s="5">
        <f>求节点(T$6:T$44,$G$67:$G$105,$AA46)</f>
        <v>0</v>
      </c>
      <c r="BG46" s="5">
        <f>求节点(U$6:U$44,$G$67:$G$105,$AA46)</f>
        <v>0</v>
      </c>
      <c r="BH46" s="5">
        <f>求节点(V$6:V$44,$G$67:$G$105,$AA46)</f>
        <v>0</v>
      </c>
      <c r="BI46" s="5">
        <f>求节点(W$6:W$44,$G$67:$G$105,$AA46)</f>
        <v>0</v>
      </c>
      <c r="BJ46" s="5">
        <f>求节点(X$6:X$44,$G$67:$G$105,$AA46)</f>
        <v>0</v>
      </c>
      <c r="BK46" s="5">
        <f>求节点(T$6:T$44,$M$67:$M$105,$AA46)</f>
        <v>28</v>
      </c>
      <c r="BL46" s="5">
        <f>求节点(U$6:U$44,$M$67:$M$105,$AA46)</f>
        <v>28.656121504616571</v>
      </c>
      <c r="BM46" s="5">
        <f>求节点(V$6:V$44,$M$67:$M$105,$AA46)</f>
        <v>29.899418900505324</v>
      </c>
      <c r="BN46" s="5">
        <f>求节点(W$6:W$44,$M$67:$M$105,$AA46)</f>
        <v>32.485998474842454</v>
      </c>
      <c r="BO46" s="5">
        <f>求节点(X$6:X$44,$M$67:$M$105,$AA46)</f>
        <v>33.767600993798865</v>
      </c>
      <c r="BP46" s="5">
        <f>求节点(T$67:T$105,$L$67:$L$105,$AA46)</f>
        <v>0</v>
      </c>
      <c r="BQ46" s="5">
        <f>求节点(U$67:U$105,$L$67:$L$105,$AA46)</f>
        <v>0</v>
      </c>
      <c r="BR46" s="5">
        <f>求节点(V$67:V$105,$L$67:$L$105,$AA46)</f>
        <v>0</v>
      </c>
      <c r="BS46" s="5">
        <f>求节点(W$67:W$105,$L$67:$L$105,$AA46)</f>
        <v>0</v>
      </c>
      <c r="BT46" s="5">
        <f>求节点(X$67:X$105,$L$67:$L$105,$AA46)</f>
        <v>0</v>
      </c>
      <c r="BZ46" s="5">
        <v>42</v>
      </c>
      <c r="CA46" s="5">
        <f t="shared" si="9"/>
        <v>2912</v>
      </c>
      <c r="CB46" s="5">
        <f t="shared" si="10"/>
        <v>2980.2366364801237</v>
      </c>
      <c r="CC46" s="5">
        <f t="shared" si="11"/>
        <v>3109.5395656525543</v>
      </c>
      <c r="CD46" s="5">
        <f t="shared" si="12"/>
        <v>3378.5438413836155</v>
      </c>
      <c r="CE46" s="5">
        <f t="shared" si="13"/>
        <v>3511.8305033550823</v>
      </c>
      <c r="CF46" s="5">
        <f>(CA46-CA45)/节奏总纲!W45</f>
        <v>56.332003785962854</v>
      </c>
      <c r="CI46" s="5">
        <v>42</v>
      </c>
      <c r="CJ46" s="5">
        <f t="shared" si="14"/>
        <v>6720</v>
      </c>
      <c r="CK46" s="5">
        <f t="shared" si="15"/>
        <v>6877.469161107977</v>
      </c>
      <c r="CL46" s="5">
        <f t="shared" si="16"/>
        <v>7175.8605361212776</v>
      </c>
      <c r="CM46" s="5">
        <f t="shared" si="17"/>
        <v>7796.6396339621888</v>
      </c>
      <c r="CN46" s="5">
        <f t="shared" si="18"/>
        <v>8104.2242385117279</v>
      </c>
      <c r="CO46" s="5">
        <f>(CJ46-CJ45)/节奏总纲!W45</f>
        <v>129.99693181376099</v>
      </c>
      <c r="CP46" s="5">
        <f t="shared" si="27"/>
        <v>186.32893559972385</v>
      </c>
      <c r="CR46" s="5">
        <v>42</v>
      </c>
      <c r="CS46" s="5">
        <f t="shared" si="28"/>
        <v>0</v>
      </c>
      <c r="CT46" s="5">
        <f t="shared" si="29"/>
        <v>0</v>
      </c>
      <c r="CU46" s="5">
        <f t="shared" si="30"/>
        <v>0</v>
      </c>
      <c r="CV46" s="5">
        <f t="shared" si="31"/>
        <v>0</v>
      </c>
      <c r="CW46" s="5">
        <f t="shared" si="32"/>
        <v>0</v>
      </c>
      <c r="CX46" s="5">
        <f t="shared" si="20"/>
        <v>0</v>
      </c>
      <c r="CY46" s="5">
        <f t="shared" si="21"/>
        <v>0</v>
      </c>
      <c r="CZ46" s="5">
        <f t="shared" si="22"/>
        <v>0</v>
      </c>
      <c r="DA46" s="5">
        <f t="shared" si="23"/>
        <v>0</v>
      </c>
      <c r="DB46" s="5">
        <f t="shared" si="24"/>
        <v>0</v>
      </c>
    </row>
    <row r="47" spans="2:106" x14ac:dyDescent="0.15">
      <c r="B47" s="28">
        <v>42</v>
      </c>
      <c r="C47" s="28"/>
      <c r="D47" s="31">
        <f>ROUND(130/INDEX('[1]功能-付费相关'!$BB$6:$BB$165,基本信息!U45,1)/1200,0)*600</f>
        <v>16293600</v>
      </c>
      <c r="E47" s="28">
        <v>120</v>
      </c>
      <c r="F47" s="31">
        <f>ROUND(60/INDEX('[1]功能-付费相关'!$AS$6:$AS$165,基本信息!C45,1)/600,0)*600</f>
        <v>79800</v>
      </c>
      <c r="G47" s="28"/>
      <c r="H47" s="31">
        <v>27000</v>
      </c>
      <c r="I47" s="31">
        <f>ROUND(20*4/INDEX('[1]功能-付费相关'!$U$6:$U$165,基本信息!U45,1)/4000,0)*4000/2</f>
        <v>1500000</v>
      </c>
      <c r="J47" s="31">
        <f>ROUND(50*2/INDEX('[1]功能-付费相关'!$AS$6:$AS$165,基本信息!U45,1)/2000,0)*2000</f>
        <v>100000</v>
      </c>
      <c r="K47" s="28">
        <v>88</v>
      </c>
      <c r="L47" s="31"/>
      <c r="M47" s="31">
        <v>2</v>
      </c>
      <c r="N47" s="28">
        <v>0</v>
      </c>
      <c r="O47" s="28"/>
      <c r="P47" s="28">
        <v>0</v>
      </c>
      <c r="Q47" s="28">
        <v>0</v>
      </c>
      <c r="S47" s="28">
        <v>42</v>
      </c>
      <c r="T47" s="31">
        <f>基本信息!C45</f>
        <v>126</v>
      </c>
      <c r="U47" s="31">
        <f>基本信息!D45</f>
        <v>122.40279573201563</v>
      </c>
      <c r="V47" s="31">
        <f>基本信息!E45</f>
        <v>120.10818742250657</v>
      </c>
      <c r="W47" s="31">
        <f>基本信息!F45</f>
        <v>118.43059024874958</v>
      </c>
      <c r="X47" s="31">
        <f>基本信息!G45</f>
        <v>116.57631766497333</v>
      </c>
      <c r="AA47" s="5">
        <v>43</v>
      </c>
      <c r="AB47" s="5">
        <f>求节点(T$6:T$44,$C$67:$C$105,$AA47)</f>
        <v>0</v>
      </c>
      <c r="AC47" s="5">
        <f>求节点(U$6:U$44,$C$67:$C$105,$AA47)</f>
        <v>0</v>
      </c>
      <c r="AD47" s="5">
        <f>求节点(V$6:V$44,$C$67:$C$105,$AA47)</f>
        <v>0</v>
      </c>
      <c r="AE47" s="5">
        <f>求节点(W$6:W$44,$C$67:$C$105,$AA47)</f>
        <v>0</v>
      </c>
      <c r="AF47" s="5">
        <f>求节点(X$6:X$44,$C$67:$C$105,$AA47)</f>
        <v>0</v>
      </c>
      <c r="AG47" s="5">
        <f>求节点(T$6:T$44,$D$67:$D$105,$AA47)+求节点(T$67:T$105,$Q$67:$Q$105,$AA47)</f>
        <v>1137600</v>
      </c>
      <c r="AH47" s="5">
        <f>求节点(U$6:U$44,$D$67:$D$105,$AA47)+求节点(U$67:U$105,$Q$67:$Q$105,$AA47)</f>
        <v>1255119.0905906318</v>
      </c>
      <c r="AI47" s="5">
        <f>求节点(V$6:V$44,$D$67:$D$105,$AA47)+求节点(V$67:V$105,$Q$67:$Q$105,$AA47)</f>
        <v>1521596.8267517209</v>
      </c>
      <c r="AJ47" s="5">
        <f>求节点(W$6:W$44,$D$67:$D$105,$AA47)+求节点(W$67:W$105,$Q$67:$Q$105,$AA47)</f>
        <v>2202614.1393473637</v>
      </c>
      <c r="AK47" s="5">
        <f>求节点(X$6:X$44,$D$67:$D$105,$AA47)+求节点(X$67:X$105,$Q$67:$Q$105,$AA47)</f>
        <v>2577355.4505028483</v>
      </c>
      <c r="AL47" s="5">
        <f>求节点(T$6:T$44,$F$67:$F$105,$AA47)+求节点(T$67:T$105,$P$67:$P$105,$AA47)</f>
        <v>433600</v>
      </c>
      <c r="AM47" s="5">
        <f>求节点(U$6:U$44,$F$67:$F$105,$AA47)+求节点(U$67:U$105,$P$67:$P$105,$AA47)</f>
        <v>446918.83026693825</v>
      </c>
      <c r="AN47" s="5">
        <f>求节点(V$6:V$44,$F$67:$F$105,$AA47)+求节点(V$67:V$105,$P$67:$P$105,$AA47)</f>
        <v>473415.49170540733</v>
      </c>
      <c r="AO47" s="5">
        <f>求节点(W$6:W$44,$F$67:$F$105,$AA47)+求节点(W$67:W$105,$P$67:$P$105,$AA47)</f>
        <v>528917.83868774073</v>
      </c>
      <c r="AP47" s="5">
        <f>求节点(X$6:X$44,$F$67:$F$105,$AA47)+求节点(X$67:X$105,$P$67:$P$105,$AA47)</f>
        <v>555630.50366784737</v>
      </c>
      <c r="AQ47" s="5">
        <f>求节点(T$6:T$44,$H$67:$H$105,$AA47)</f>
        <v>297600</v>
      </c>
      <c r="AR47" s="5">
        <f>求节点(U$6:U$44,$H$67:$H$105,$AA47)</f>
        <v>306413.93179429742</v>
      </c>
      <c r="AS47" s="5">
        <f>求节点(V$6:V$44,$H$67:$H$105,$AA47)</f>
        <v>323709.95895347616</v>
      </c>
      <c r="AT47" s="5">
        <f>求节点(W$6:W$44,$H$67:$H$105,$AA47)</f>
        <v>358700.03754723741</v>
      </c>
      <c r="AU47" s="5">
        <f>求节点(X$6:X$44,$H$67:$H$105,$AA47)</f>
        <v>375018.30220070842</v>
      </c>
      <c r="AV47" s="5">
        <f>求节点(T$6:T$44,$I$67:$I$105,$AA47)</f>
        <v>1658666.6666666667</v>
      </c>
      <c r="AW47" s="5">
        <f>求节点(U$6:U$44,$I$67:$I$105,$AA47)</f>
        <v>1774879.9895840692</v>
      </c>
      <c r="AX47" s="5">
        <f>求节点(V$6:V$44,$I$67:$I$105,$AA47)</f>
        <v>2022154.9170540734</v>
      </c>
      <c r="AY47" s="5">
        <f>求节点(W$6:W$44,$I$67:$I$105,$AA47)</f>
        <v>2595067.3174854489</v>
      </c>
      <c r="AZ47" s="5">
        <f>求节点(X$6:X$44,$I$67:$I$105,$AA47)</f>
        <v>2888753.8425470302</v>
      </c>
      <c r="BA47" s="5">
        <f>求节点(T$6:T$44,$E$67:$E$105,$AA47)+求节点(T$6:T$44,$K$67:$K$105,$AA47)+求节点(T$67:T$105,$O$67:$O$105,$AA47)</f>
        <v>2981.333333333333</v>
      </c>
      <c r="BB47" s="5">
        <f>求节点(U$6:U$44,$E$67:$E$105,$AA47)+求节点(U$6:U$44,$K$67:$K$105,$AA47)+求节点(U$67:U$105,$O$67:$O$105,$AA47)</f>
        <v>3049.2332523412542</v>
      </c>
      <c r="BC47" s="5">
        <f>求节点(V$6:V$44,$E$67:$E$105,$AA47)+求节点(V$6:V$44,$K$67:$K$105,$AA47)+求节点(V$67:V$105,$O$67:$O$105,$AA47)</f>
        <v>3182.4767208267795</v>
      </c>
      <c r="BD47" s="5">
        <f>求节点(W$6:W$44,$E$67:$E$105,$AA47)+求节点(W$6:W$44,$K$67:$K$105,$AA47)+求节点(W$67:W$105,$O$67:$O$105,$AA47)</f>
        <v>3452.029918882422</v>
      </c>
      <c r="BE47" s="5">
        <f>求节点(X$6:X$44,$E$67:$E$105,$AA47)+求节点(X$6:X$44,$K$67:$K$105,$AA47)+求节点(X$67:X$105,$O$67:$O$105,$AA47)</f>
        <v>3577.7409947313836</v>
      </c>
      <c r="BF47" s="5">
        <f>求节点(T$6:T$44,$G$67:$G$105,$AA47)</f>
        <v>0</v>
      </c>
      <c r="BG47" s="5">
        <f>求节点(U$6:U$44,$G$67:$G$105,$AA47)</f>
        <v>0</v>
      </c>
      <c r="BH47" s="5">
        <f>求节点(V$6:V$44,$G$67:$G$105,$AA47)</f>
        <v>0</v>
      </c>
      <c r="BI47" s="5">
        <f>求节点(W$6:W$44,$G$67:$G$105,$AA47)</f>
        <v>0</v>
      </c>
      <c r="BJ47" s="5">
        <f>求节点(X$6:X$44,$G$67:$G$105,$AA47)</f>
        <v>0</v>
      </c>
      <c r="BK47" s="5">
        <f>求节点(T$6:T$44,$M$67:$M$105,$AA47)</f>
        <v>28.666666666666668</v>
      </c>
      <c r="BL47" s="5">
        <f>求节点(U$6:U$44,$M$67:$M$105,$AA47)</f>
        <v>29.319550503281288</v>
      </c>
      <c r="BM47" s="5">
        <f>求节点(V$6:V$44,$M$67:$M$105,$AA47)</f>
        <v>30.600737700257493</v>
      </c>
      <c r="BN47" s="5">
        <f>求节点(W$6:W$44,$M$67:$M$105,$AA47)</f>
        <v>33.192595373869437</v>
      </c>
      <c r="BO47" s="5">
        <f>求节点(X$6:X$44,$M$67:$M$105,$AA47)</f>
        <v>34.401355718570997</v>
      </c>
      <c r="BP47" s="5">
        <f>求节点(T$67:T$105,$L$67:$L$105,$AA47)</f>
        <v>0</v>
      </c>
      <c r="BQ47" s="5">
        <f>求节点(U$67:U$105,$L$67:$L$105,$AA47)</f>
        <v>0</v>
      </c>
      <c r="BR47" s="5">
        <f>求节点(V$67:V$105,$L$67:$L$105,$AA47)</f>
        <v>0</v>
      </c>
      <c r="BS47" s="5">
        <f>求节点(W$67:W$105,$L$67:$L$105,$AA47)</f>
        <v>0</v>
      </c>
      <c r="BT47" s="5">
        <f>求节点(X$67:X$105,$L$67:$L$105,$AA47)</f>
        <v>0</v>
      </c>
      <c r="BZ47" s="5">
        <v>43</v>
      </c>
      <c r="CA47" s="5">
        <f t="shared" si="9"/>
        <v>2981.333333333333</v>
      </c>
      <c r="CB47" s="5">
        <f t="shared" si="10"/>
        <v>3049.2332523412542</v>
      </c>
      <c r="CC47" s="5">
        <f t="shared" si="11"/>
        <v>3182.4767208267795</v>
      </c>
      <c r="CD47" s="5">
        <f t="shared" si="12"/>
        <v>3452.029918882422</v>
      </c>
      <c r="CE47" s="5">
        <f t="shared" si="13"/>
        <v>3577.7409947313836</v>
      </c>
      <c r="CF47" s="5">
        <f>(CA47-CA46)/节奏总纲!W46</f>
        <v>52.559618011679817</v>
      </c>
      <c r="CI47" s="5">
        <v>43</v>
      </c>
      <c r="CJ47" s="5">
        <f t="shared" si="14"/>
        <v>6880</v>
      </c>
      <c r="CK47" s="5">
        <f t="shared" si="15"/>
        <v>7036.6921207875093</v>
      </c>
      <c r="CL47" s="5">
        <f t="shared" si="16"/>
        <v>7344.1770480617988</v>
      </c>
      <c r="CM47" s="5">
        <f t="shared" si="17"/>
        <v>7966.222889728665</v>
      </c>
      <c r="CN47" s="5">
        <f t="shared" si="18"/>
        <v>8256.3253724570386</v>
      </c>
      <c r="CO47" s="5">
        <f>(CJ47-CJ46)/节奏总纲!W46</f>
        <v>121.29142618080012</v>
      </c>
      <c r="CP47" s="5">
        <f t="shared" si="27"/>
        <v>173.85104419247995</v>
      </c>
      <c r="CR47" s="5">
        <v>43</v>
      </c>
      <c r="CS47" s="5">
        <f t="shared" si="28"/>
        <v>0</v>
      </c>
      <c r="CT47" s="5">
        <f t="shared" si="29"/>
        <v>0</v>
      </c>
      <c r="CU47" s="5">
        <f t="shared" si="30"/>
        <v>0</v>
      </c>
      <c r="CV47" s="5">
        <f t="shared" si="31"/>
        <v>0</v>
      </c>
      <c r="CW47" s="5">
        <f t="shared" si="32"/>
        <v>0</v>
      </c>
      <c r="CX47" s="5">
        <f t="shared" si="20"/>
        <v>0</v>
      </c>
      <c r="CY47" s="5">
        <f t="shared" si="21"/>
        <v>0</v>
      </c>
      <c r="CZ47" s="5">
        <f t="shared" si="22"/>
        <v>0</v>
      </c>
      <c r="DA47" s="5">
        <f t="shared" si="23"/>
        <v>0</v>
      </c>
      <c r="DB47" s="5">
        <f t="shared" si="24"/>
        <v>0</v>
      </c>
    </row>
    <row r="48" spans="2:106" x14ac:dyDescent="0.15">
      <c r="B48" s="28">
        <v>43</v>
      </c>
      <c r="C48" s="28"/>
      <c r="D48" s="30">
        <f t="shared" si="33"/>
        <v>16293600</v>
      </c>
      <c r="E48" s="28">
        <v>120</v>
      </c>
      <c r="F48" s="30">
        <f t="shared" si="34"/>
        <v>79800</v>
      </c>
      <c r="G48" s="28"/>
      <c r="H48" s="31">
        <v>27000</v>
      </c>
      <c r="I48" s="31">
        <f>ROUND(20*4/INDEX('[1]功能-付费相关'!$U$6:$U$165,基本信息!U46,1)/4000,0)*4000/2</f>
        <v>1532000</v>
      </c>
      <c r="J48" s="31">
        <f>ROUND(50*2/INDEX('[1]功能-付费相关'!$AS$6:$AS$165,基本信息!U46,1)/2000,0)*2000</f>
        <v>100000</v>
      </c>
      <c r="K48" s="28">
        <v>88</v>
      </c>
      <c r="L48" s="31"/>
      <c r="M48" s="31">
        <v>2</v>
      </c>
      <c r="N48" s="28">
        <v>0</v>
      </c>
      <c r="O48" s="28"/>
      <c r="P48" s="28">
        <v>0</v>
      </c>
      <c r="Q48" s="28">
        <v>0</v>
      </c>
      <c r="S48" s="28">
        <v>43</v>
      </c>
      <c r="T48" s="31">
        <f>基本信息!C46</f>
        <v>129</v>
      </c>
      <c r="U48" s="31">
        <f>基本信息!D46</f>
        <v>125.39008702035792</v>
      </c>
      <c r="V48" s="31">
        <f>基本信息!E46</f>
        <v>123.2234297240427</v>
      </c>
      <c r="W48" s="31">
        <f>基本信息!F46</f>
        <v>121.44194219170525</v>
      </c>
      <c r="X48" s="31">
        <f>基本信息!G46</f>
        <v>119.49767840514546</v>
      </c>
      <c r="AA48" s="5">
        <v>44</v>
      </c>
      <c r="AB48" s="5">
        <f>求节点(T$6:T$44,$C$67:$C$105,$AA48)</f>
        <v>0</v>
      </c>
      <c r="AC48" s="5">
        <f>求节点(U$6:U$44,$C$67:$C$105,$AA48)</f>
        <v>0</v>
      </c>
      <c r="AD48" s="5">
        <f>求节点(V$6:V$44,$C$67:$C$105,$AA48)</f>
        <v>0</v>
      </c>
      <c r="AE48" s="5">
        <f>求节点(W$6:W$44,$C$67:$C$105,$AA48)</f>
        <v>0</v>
      </c>
      <c r="AF48" s="5">
        <f>求节点(X$6:X$44,$C$67:$C$105,$AA48)</f>
        <v>0</v>
      </c>
      <c r="AG48" s="5">
        <f>求节点(T$6:T$44,$D$67:$D$105,$AA48)+求节点(T$67:T$105,$Q$67:$Q$105,$AA48)</f>
        <v>1257600</v>
      </c>
      <c r="AH48" s="5">
        <f>求节点(U$6:U$44,$D$67:$D$105,$AA48)+求节点(U$67:U$105,$Q$67:$Q$105,$AA48)</f>
        <v>1374536.3103502805</v>
      </c>
      <c r="AI48" s="5">
        <f>求节点(V$6:V$44,$D$67:$D$105,$AA48)+求节点(V$67:V$105,$Q$67:$Q$105,$AA48)</f>
        <v>1688991.7168687528</v>
      </c>
      <c r="AJ48" s="5">
        <f>求节点(W$6:W$44,$D$67:$D$105,$AA48)+求节点(W$67:W$105,$Q$67:$Q$105,$AA48)</f>
        <v>2407385.920685383</v>
      </c>
      <c r="AK48" s="5">
        <f>求节点(X$6:X$44,$D$67:$D$105,$AA48)+求节点(X$67:X$105,$Q$67:$Q$105,$AA48)</f>
        <v>2782623.5632354366</v>
      </c>
      <c r="AL48" s="5">
        <f>求节点(T$6:T$44,$F$67:$F$105,$AA48)+求节点(T$67:T$105,$P$67:$P$105,$AA48)</f>
        <v>447200</v>
      </c>
      <c r="AM48" s="5">
        <f>求节点(U$6:U$44,$F$67:$F$105,$AA48)+求节点(U$67:U$105,$P$67:$P$105,$AA48)</f>
        <v>460452.78183969844</v>
      </c>
      <c r="AN48" s="5">
        <f>求节点(V$6:V$44,$F$67:$F$105,$AA48)+求节点(V$67:V$105,$P$67:$P$105,$AA48)</f>
        <v>488080.87632141763</v>
      </c>
      <c r="AO48" s="5">
        <f>求节点(W$6:W$44,$F$67:$F$105,$AA48)+求节点(W$67:W$105,$P$67:$P$105,$AA48)</f>
        <v>544392.3107764317</v>
      </c>
      <c r="AP48" s="5">
        <f>求节点(X$6:X$44,$F$67:$F$105,$AA48)+求节点(X$67:X$105,$P$67:$P$105,$AA48)</f>
        <v>568799.97197832144</v>
      </c>
      <c r="AQ48" s="5">
        <f>求节点(T$6:T$44,$H$67:$H$105,$AA48)</f>
        <v>306600</v>
      </c>
      <c r="AR48" s="5">
        <f>求节点(U$6:U$44,$H$67:$H$105,$AA48)</f>
        <v>315370.22327627102</v>
      </c>
      <c r="AS48" s="5">
        <f>求节点(V$6:V$44,$H$67:$H$105,$AA48)</f>
        <v>333137.70620662562</v>
      </c>
      <c r="AT48" s="5">
        <f>求节点(W$6:W$44,$H$67:$H$105,$AA48)</f>
        <v>368239.09568410169</v>
      </c>
      <c r="AU48" s="5">
        <f>求节点(X$6:X$44,$H$67:$H$105,$AA48)</f>
        <v>382919.98318699287</v>
      </c>
      <c r="AV48" s="5">
        <f>求节点(T$6:T$44,$I$67:$I$105,$AA48)</f>
        <v>1777333.3333333333</v>
      </c>
      <c r="AW48" s="5">
        <f>求节点(U$6:U$44,$I$67:$I$105,$AA48)</f>
        <v>1892970.3513463885</v>
      </c>
      <c r="AX48" s="5">
        <f>求节点(V$6:V$44,$I$67:$I$105,$AA48)</f>
        <v>2168808.7632141765</v>
      </c>
      <c r="AY48" s="5">
        <f>求节点(W$6:W$44,$I$67:$I$105,$AA48)</f>
        <v>2760410.9918577629</v>
      </c>
      <c r="AZ48" s="5">
        <f>求节点(X$6:X$44,$I$67:$I$105,$AA48)</f>
        <v>3041519.6749485284</v>
      </c>
      <c r="BA48" s="5">
        <f>求节点(T$6:T$44,$E$67:$E$105,$AA48)+求节点(T$6:T$44,$K$67:$K$105,$AA48)+求节点(T$67:T$105,$O$67:$O$105,$AA48)</f>
        <v>3050.666666666667</v>
      </c>
      <c r="BB48" s="5">
        <f>求节点(U$6:U$44,$E$67:$E$105,$AA48)+求节点(U$6:U$44,$K$67:$K$105,$AA48)+求节点(U$67:U$105,$O$67:$O$105,$AA48)</f>
        <v>3118.2298682023843</v>
      </c>
      <c r="BC48" s="5">
        <f>求节点(V$6:V$44,$E$67:$E$105,$AA48)+求节点(V$6:V$44,$K$67:$K$105,$AA48)+求节点(V$67:V$105,$O$67:$O$105,$AA48)</f>
        <v>3255.1052922584495</v>
      </c>
      <c r="BD48" s="5">
        <f>求节点(W$6:W$44,$E$67:$E$105,$AA48)+求节点(W$6:W$44,$K$67:$K$105,$AA48)+求节点(W$67:W$105,$O$67:$O$105,$AA48)</f>
        <v>3525.515996381228</v>
      </c>
      <c r="BE48" s="5">
        <f>求节点(X$6:X$44,$E$67:$E$105,$AA48)+求节点(X$6:X$44,$K$67:$K$105,$AA48)+求节点(X$67:X$105,$O$67:$O$105,$AA48)</f>
        <v>3638.6132038109076</v>
      </c>
      <c r="BF48" s="5">
        <f>求节点(T$6:T$44,$G$67:$G$105,$AA48)</f>
        <v>0</v>
      </c>
      <c r="BG48" s="5">
        <f>求节点(U$6:U$44,$G$67:$G$105,$AA48)</f>
        <v>0</v>
      </c>
      <c r="BH48" s="5">
        <f>求节点(V$6:V$44,$G$67:$G$105,$AA48)</f>
        <v>0</v>
      </c>
      <c r="BI48" s="5">
        <f>求节点(W$6:W$44,$G$67:$G$105,$AA48)</f>
        <v>0</v>
      </c>
      <c r="BJ48" s="5">
        <f>求节点(X$6:X$44,$G$67:$G$105,$AA48)</f>
        <v>0</v>
      </c>
      <c r="BK48" s="5">
        <f>求节点(T$6:T$44,$M$67:$M$105,$AA48)</f>
        <v>29.333333333333332</v>
      </c>
      <c r="BL48" s="5">
        <f>求节点(U$6:U$44,$M$67:$M$105,$AA48)</f>
        <v>29.982979501946001</v>
      </c>
      <c r="BM48" s="5">
        <f>求节点(V$6:V$44,$M$67:$M$105,$AA48)</f>
        <v>31.299089348638937</v>
      </c>
      <c r="BN48" s="5">
        <f>求节点(W$6:W$44,$M$67:$M$105,$AA48)</f>
        <v>33.899192272896421</v>
      </c>
      <c r="BO48" s="5">
        <f>求节点(X$6:X$44,$M$67:$M$105,$AA48)</f>
        <v>34.986665421258728</v>
      </c>
      <c r="BP48" s="5">
        <f>求节点(T$67:T$105,$L$67:$L$105,$AA48)</f>
        <v>0</v>
      </c>
      <c r="BQ48" s="5">
        <f>求节点(U$67:U$105,$L$67:$L$105,$AA48)</f>
        <v>0</v>
      </c>
      <c r="BR48" s="5">
        <f>求节点(V$67:V$105,$L$67:$L$105,$AA48)</f>
        <v>0</v>
      </c>
      <c r="BS48" s="5">
        <f>求节点(W$67:W$105,$L$67:$L$105,$AA48)</f>
        <v>0</v>
      </c>
      <c r="BT48" s="5">
        <f>求节点(X$67:X$105,$L$67:$L$105,$AA48)</f>
        <v>0</v>
      </c>
      <c r="BZ48" s="5">
        <v>44</v>
      </c>
      <c r="CA48" s="5">
        <f t="shared" si="9"/>
        <v>3050.666666666667</v>
      </c>
      <c r="CB48" s="5">
        <f t="shared" si="10"/>
        <v>3118.2298682023843</v>
      </c>
      <c r="CC48" s="5">
        <f t="shared" si="11"/>
        <v>3255.1052922584495</v>
      </c>
      <c r="CD48" s="5">
        <f t="shared" si="12"/>
        <v>3525.515996381228</v>
      </c>
      <c r="CE48" s="5">
        <f t="shared" si="13"/>
        <v>3638.6132038109076</v>
      </c>
      <c r="CF48" s="5">
        <f>(CA48-CA47)/节奏总纲!W47</f>
        <v>49.039857627470269</v>
      </c>
      <c r="CI48" s="5">
        <v>44</v>
      </c>
      <c r="CJ48" s="5">
        <f t="shared" si="14"/>
        <v>7040</v>
      </c>
      <c r="CK48" s="5">
        <f t="shared" si="15"/>
        <v>7195.9150804670408</v>
      </c>
      <c r="CL48" s="5">
        <f t="shared" si="16"/>
        <v>7511.7814436733452</v>
      </c>
      <c r="CM48" s="5">
        <f t="shared" si="17"/>
        <v>8135.8061454951412</v>
      </c>
      <c r="CN48" s="5">
        <f t="shared" si="18"/>
        <v>8396.7997011020943</v>
      </c>
      <c r="CO48" s="5">
        <f>(CJ48-CJ47)/节奏总纲!W47</f>
        <v>113.1689022172381</v>
      </c>
      <c r="CP48" s="5">
        <f t="shared" si="27"/>
        <v>162.20875984470837</v>
      </c>
      <c r="CR48" s="5">
        <v>44</v>
      </c>
      <c r="CS48" s="5">
        <f t="shared" si="28"/>
        <v>0</v>
      </c>
      <c r="CT48" s="5">
        <f t="shared" si="29"/>
        <v>0</v>
      </c>
      <c r="CU48" s="5">
        <f t="shared" si="30"/>
        <v>0</v>
      </c>
      <c r="CV48" s="5">
        <f t="shared" si="31"/>
        <v>0</v>
      </c>
      <c r="CW48" s="5">
        <f t="shared" si="32"/>
        <v>0</v>
      </c>
      <c r="CX48" s="5">
        <f t="shared" si="20"/>
        <v>0</v>
      </c>
      <c r="CY48" s="5">
        <f t="shared" si="21"/>
        <v>0</v>
      </c>
      <c r="CZ48" s="5">
        <f t="shared" si="22"/>
        <v>0</v>
      </c>
      <c r="DA48" s="5">
        <f t="shared" si="23"/>
        <v>0</v>
      </c>
      <c r="DB48" s="5">
        <f t="shared" si="24"/>
        <v>0</v>
      </c>
    </row>
    <row r="49" spans="2:106" x14ac:dyDescent="0.15">
      <c r="B49" s="28">
        <v>44</v>
      </c>
      <c r="C49" s="28"/>
      <c r="D49" s="30">
        <f t="shared" si="33"/>
        <v>16293600</v>
      </c>
      <c r="E49" s="28">
        <v>120</v>
      </c>
      <c r="F49" s="30">
        <f t="shared" si="34"/>
        <v>79800</v>
      </c>
      <c r="G49" s="28"/>
      <c r="H49" s="31">
        <v>27000</v>
      </c>
      <c r="I49" s="31">
        <f>ROUND(20*4/INDEX('[1]功能-付费相关'!$U$6:$U$165,基本信息!U47,1)/4000,0)*4000/2</f>
        <v>1564000</v>
      </c>
      <c r="J49" s="31">
        <f>ROUND(50*2/INDEX('[1]功能-付费相关'!$AS$6:$AS$165,基本信息!U47,1)/2000,0)*2000</f>
        <v>102000</v>
      </c>
      <c r="K49" s="28">
        <v>88</v>
      </c>
      <c r="L49" s="31"/>
      <c r="M49" s="31">
        <v>2</v>
      </c>
      <c r="N49" s="28">
        <v>0</v>
      </c>
      <c r="O49" s="28"/>
      <c r="P49" s="28">
        <v>0</v>
      </c>
      <c r="Q49" s="28">
        <v>0</v>
      </c>
      <c r="S49" s="28">
        <v>44</v>
      </c>
      <c r="T49" s="31">
        <f>基本信息!C47</f>
        <v>132</v>
      </c>
      <c r="U49" s="31">
        <f>基本信息!D47</f>
        <v>128.44454268280265</v>
      </c>
      <c r="V49" s="31">
        <f>基本信息!E47</f>
        <v>126.32326156168494</v>
      </c>
      <c r="W49" s="31">
        <f>基本信息!F47</f>
        <v>124.37493524674548</v>
      </c>
      <c r="X49" s="31">
        <f>基本信息!G47</f>
        <v>122.28858813216901</v>
      </c>
      <c r="AA49" s="5">
        <v>45</v>
      </c>
      <c r="AB49" s="5">
        <f>求节点(T$6:T$44,$C$67:$C$105,$AA49)</f>
        <v>0</v>
      </c>
      <c r="AC49" s="5">
        <f>求节点(U$6:U$44,$C$67:$C$105,$AA49)</f>
        <v>0</v>
      </c>
      <c r="AD49" s="5">
        <f>求节点(V$6:V$44,$C$67:$C$105,$AA49)</f>
        <v>0</v>
      </c>
      <c r="AE49" s="5">
        <f>求节点(W$6:W$44,$C$67:$C$105,$AA49)</f>
        <v>0</v>
      </c>
      <c r="AF49" s="5">
        <f>求节点(X$6:X$44,$C$67:$C$105,$AA49)</f>
        <v>0</v>
      </c>
      <c r="AG49" s="5">
        <f>求节点(T$6:T$44,$D$67:$D$105,$AA49)+求节点(T$67:T$105,$Q$67:$Q$105,$AA49)</f>
        <v>1377600</v>
      </c>
      <c r="AH49" s="5">
        <f>求节点(U$6:U$44,$D$67:$D$105,$AA49)+求节点(U$67:U$105,$Q$67:$Q$105,$AA49)</f>
        <v>1538584.494925343</v>
      </c>
      <c r="AI49" s="5">
        <f>求节点(V$6:V$44,$D$67:$D$105,$AA49)+求节点(V$67:V$105,$Q$67:$Q$105,$AA49)</f>
        <v>1856386.6069857851</v>
      </c>
      <c r="AJ49" s="5">
        <f>求节点(W$6:W$44,$D$67:$D$105,$AA49)+求节点(W$67:W$105,$Q$67:$Q$105,$AA49)</f>
        <v>2605268.8124388712</v>
      </c>
      <c r="AK49" s="5">
        <f>求节点(X$6:X$44,$D$67:$D$105,$AA49)+求节点(X$67:X$105,$Q$67:$Q$105,$AA49)</f>
        <v>2987891.6759680249</v>
      </c>
      <c r="AL49" s="5">
        <f>求节点(T$6:T$44,$F$67:$F$105,$AA49)+求节点(T$67:T$105,$P$67:$P$105,$AA49)</f>
        <v>460800</v>
      </c>
      <c r="AM49" s="5">
        <f>求节点(U$6:U$44,$F$67:$F$105,$AA49)+求节点(U$67:U$105,$P$67:$P$105,$AA49)</f>
        <v>474903.77302224532</v>
      </c>
      <c r="AN49" s="5">
        <f>求节点(V$6:V$44,$F$67:$F$105,$AA49)+求节点(V$67:V$105,$P$67:$P$105,$AA49)</f>
        <v>502746.26093742799</v>
      </c>
      <c r="AO49" s="5">
        <f>求节点(W$6:W$44,$F$67:$F$105,$AA49)+求节点(W$67:W$105,$P$67:$P$105,$AA49)</f>
        <v>557421.35238059482</v>
      </c>
      <c r="AP49" s="5">
        <f>求节点(X$6:X$44,$F$67:$F$105,$AA49)+求节点(X$67:X$105,$P$67:$P$105,$AA49)</f>
        <v>581969.44028879539</v>
      </c>
      <c r="AQ49" s="5">
        <f>求节点(T$6:T$44,$H$67:$H$105,$AA49)</f>
        <v>315600</v>
      </c>
      <c r="AR49" s="5">
        <f>求节点(U$6:U$44,$H$67:$H$105,$AA49)</f>
        <v>324666.71122858627</v>
      </c>
      <c r="AS49" s="5">
        <f>求节点(V$6:V$44,$H$67:$H$105,$AA49)</f>
        <v>342565.45345977513</v>
      </c>
      <c r="AT49" s="5">
        <f>求节点(W$6:W$44,$H$67:$H$105,$AA49)</f>
        <v>376092.81142835692</v>
      </c>
      <c r="AU49" s="5">
        <f>求节点(X$6:X$44,$H$67:$H$105,$AA49)</f>
        <v>390821.66417327727</v>
      </c>
      <c r="AV49" s="5">
        <f>求节点(T$6:T$44,$I$67:$I$105,$AA49)</f>
        <v>1896000</v>
      </c>
      <c r="AW49" s="5">
        <f>求节点(U$6:U$44,$I$67:$I$105,$AA49)</f>
        <v>2037037.7302224531</v>
      </c>
      <c r="AX49" s="5">
        <f>求节点(V$6:V$44,$I$67:$I$105,$AA49)</f>
        <v>2315462.6093742796</v>
      </c>
      <c r="AY49" s="5">
        <f>求节点(W$6:W$44,$I$67:$I$105,$AA49)</f>
        <v>2909527.6876149001</v>
      </c>
      <c r="AZ49" s="5">
        <f>求节点(X$6:X$44,$I$67:$I$105,$AA49)</f>
        <v>3194285.5073500271</v>
      </c>
      <c r="BA49" s="5">
        <f>求节点(T$6:T$44,$E$67:$E$105,$AA49)+求节点(T$6:T$44,$K$67:$K$105,$AA49)+求节点(T$67:T$105,$O$67:$O$105,$AA49)</f>
        <v>3120</v>
      </c>
      <c r="BB49" s="5">
        <f>求节点(U$6:U$44,$E$67:$E$105,$AA49)+求节点(U$6:U$44,$K$67:$K$105,$AA49)+求节点(U$67:U$105,$O$67:$O$105,$AA49)</f>
        <v>3189.8472568720717</v>
      </c>
      <c r="BC49" s="5">
        <f>求节点(V$6:V$44,$E$67:$E$105,$AA49)+求节点(V$6:V$44,$K$67:$K$105,$AA49)+求节点(V$67:V$105,$O$67:$O$105,$AA49)</f>
        <v>3327.7338636901195</v>
      </c>
      <c r="BD49" s="5">
        <f>求节点(W$6:W$44,$E$67:$E$105,$AA49)+求节点(W$6:W$44,$K$67:$K$105,$AA49)+求节点(W$67:W$105,$O$67:$O$105,$AA49)</f>
        <v>3586.0186954480823</v>
      </c>
      <c r="BE49" s="5">
        <f>求节点(X$6:X$44,$E$67:$E$105,$AA49)+求节点(X$6:X$44,$K$67:$K$105,$AA49)+求节点(X$67:X$105,$O$67:$O$105,$AA49)</f>
        <v>3699.4854128904326</v>
      </c>
      <c r="BF49" s="5">
        <f>求节点(T$6:T$44,$G$67:$G$105,$AA49)</f>
        <v>0</v>
      </c>
      <c r="BG49" s="5">
        <f>求节点(U$6:U$44,$G$67:$G$105,$AA49)</f>
        <v>0</v>
      </c>
      <c r="BH49" s="5">
        <f>求节点(V$6:V$44,$G$67:$G$105,$AA49)</f>
        <v>0</v>
      </c>
      <c r="BI49" s="5">
        <f>求节点(W$6:W$44,$G$67:$G$105,$AA49)</f>
        <v>0</v>
      </c>
      <c r="BJ49" s="5">
        <f>求节点(X$6:X$44,$G$67:$G$105,$AA49)</f>
        <v>0</v>
      </c>
      <c r="BK49" s="5">
        <f>求节点(T$6:T$44,$M$67:$M$105,$AA49)</f>
        <v>30</v>
      </c>
      <c r="BL49" s="5">
        <f>求节点(U$6:U$44,$M$67:$M$105,$AA49)</f>
        <v>30.671608239154541</v>
      </c>
      <c r="BM49" s="5">
        <f>求节点(V$6:V$44,$M$67:$M$105,$AA49)</f>
        <v>31.99744099702038</v>
      </c>
      <c r="BN49" s="5">
        <f>求节点(W$6:W$44,$M$67:$M$105,$AA49)</f>
        <v>34.480948994693101</v>
      </c>
      <c r="BO49" s="5">
        <f>求节点(X$6:X$44,$M$67:$M$105,$AA49)</f>
        <v>35.571975123946466</v>
      </c>
      <c r="BP49" s="5">
        <f>求节点(T$67:T$105,$L$67:$L$105,$AA49)</f>
        <v>0</v>
      </c>
      <c r="BQ49" s="5">
        <f>求节点(U$67:U$105,$L$67:$L$105,$AA49)</f>
        <v>0</v>
      </c>
      <c r="BR49" s="5">
        <f>求节点(V$67:V$105,$L$67:$L$105,$AA49)</f>
        <v>0</v>
      </c>
      <c r="BS49" s="5">
        <f>求节点(W$67:W$105,$L$67:$L$105,$AA49)</f>
        <v>0</v>
      </c>
      <c r="BT49" s="5">
        <f>求节点(X$67:X$105,$L$67:$L$105,$AA49)</f>
        <v>0</v>
      </c>
      <c r="BZ49" s="5">
        <v>45</v>
      </c>
      <c r="CA49" s="5">
        <f t="shared" si="9"/>
        <v>3120</v>
      </c>
      <c r="CB49" s="5">
        <f t="shared" si="10"/>
        <v>3189.8472568720717</v>
      </c>
      <c r="CC49" s="5">
        <f t="shared" si="11"/>
        <v>3327.7338636901195</v>
      </c>
      <c r="CD49" s="5">
        <f t="shared" si="12"/>
        <v>3586.0186954480823</v>
      </c>
      <c r="CE49" s="5">
        <f t="shared" si="13"/>
        <v>3699.4854128904326</v>
      </c>
      <c r="CF49" s="5">
        <f>(CA49-CA48)/节奏总纲!W48</f>
        <v>45.7558050666971</v>
      </c>
      <c r="CI49" s="5">
        <v>45</v>
      </c>
      <c r="CJ49" s="5">
        <f t="shared" si="14"/>
        <v>7200</v>
      </c>
      <c r="CK49" s="5">
        <f t="shared" si="15"/>
        <v>7361.18597739709</v>
      </c>
      <c r="CL49" s="5">
        <f t="shared" si="16"/>
        <v>7679.3858392848915</v>
      </c>
      <c r="CM49" s="5">
        <f t="shared" si="17"/>
        <v>8275.4277587263441</v>
      </c>
      <c r="CN49" s="5">
        <f t="shared" si="18"/>
        <v>8537.2740297471519</v>
      </c>
      <c r="CO49" s="5">
        <f>(CJ49-CJ48)/节奏总纲!W48</f>
        <v>105.59031938468607</v>
      </c>
      <c r="CP49" s="5">
        <f t="shared" si="27"/>
        <v>151.34612445138316</v>
      </c>
      <c r="CR49" s="5">
        <v>45</v>
      </c>
      <c r="CS49" s="5">
        <f t="shared" si="28"/>
        <v>0</v>
      </c>
      <c r="CT49" s="5">
        <f t="shared" si="29"/>
        <v>0</v>
      </c>
      <c r="CU49" s="5">
        <f t="shared" si="30"/>
        <v>0</v>
      </c>
      <c r="CV49" s="5">
        <f t="shared" si="31"/>
        <v>0</v>
      </c>
      <c r="CW49" s="5">
        <f t="shared" si="32"/>
        <v>0</v>
      </c>
      <c r="CX49" s="5">
        <f t="shared" si="20"/>
        <v>0</v>
      </c>
      <c r="CY49" s="5">
        <f t="shared" si="21"/>
        <v>0</v>
      </c>
      <c r="CZ49" s="5">
        <f t="shared" si="22"/>
        <v>0</v>
      </c>
      <c r="DA49" s="5">
        <f t="shared" si="23"/>
        <v>0</v>
      </c>
      <c r="DB49" s="5">
        <f t="shared" si="24"/>
        <v>0</v>
      </c>
    </row>
    <row r="50" spans="2:106" x14ac:dyDescent="0.15">
      <c r="B50" s="28">
        <v>45</v>
      </c>
      <c r="C50" s="28"/>
      <c r="D50" s="30">
        <f t="shared" si="33"/>
        <v>16293600</v>
      </c>
      <c r="E50" s="28">
        <v>120</v>
      </c>
      <c r="F50" s="30">
        <f t="shared" si="34"/>
        <v>79800</v>
      </c>
      <c r="G50" s="28"/>
      <c r="H50" s="31">
        <v>27000</v>
      </c>
      <c r="I50" s="31">
        <f>ROUND(20*4/INDEX('[1]功能-付费相关'!$U$6:$U$165,基本信息!U48,1)/4000,0)*4000/2</f>
        <v>1598000</v>
      </c>
      <c r="J50" s="31">
        <f>ROUND(50*2/INDEX('[1]功能-付费相关'!$AS$6:$AS$165,基本信息!U48,1)/2000,0)*2000</f>
        <v>102000</v>
      </c>
      <c r="K50" s="28">
        <v>88</v>
      </c>
      <c r="L50" s="31"/>
      <c r="M50" s="31">
        <v>2</v>
      </c>
      <c r="N50" s="28">
        <v>0</v>
      </c>
      <c r="O50" s="28"/>
      <c r="P50" s="28">
        <v>0</v>
      </c>
      <c r="Q50" s="28">
        <v>0</v>
      </c>
      <c r="S50" s="28">
        <v>45</v>
      </c>
      <c r="T50" s="31">
        <f>基本信息!C48</f>
        <v>135</v>
      </c>
      <c r="U50" s="31">
        <f>基本信息!D48</f>
        <v>131.43182101677451</v>
      </c>
      <c r="V50" s="31">
        <f>基本信息!E48</f>
        <v>129.15328420215315</v>
      </c>
      <c r="W50" s="31">
        <f>基本信息!F48</f>
        <v>127.14845536110072</v>
      </c>
      <c r="X50" s="31">
        <f>基本信息!G48</f>
        <v>124.96212830187176</v>
      </c>
      <c r="AA50" s="5">
        <v>46</v>
      </c>
      <c r="AB50" s="5">
        <f>求节点(T$6:T$44,$C$67:$C$105,$AA50)</f>
        <v>0</v>
      </c>
      <c r="AC50" s="5">
        <f>求节点(U$6:U$44,$C$67:$C$105,$AA50)</f>
        <v>0</v>
      </c>
      <c r="AD50" s="5">
        <f>求节点(V$6:V$44,$C$67:$C$105,$AA50)</f>
        <v>0</v>
      </c>
      <c r="AE50" s="5">
        <f>求节点(W$6:W$44,$C$67:$C$105,$AA50)</f>
        <v>0</v>
      </c>
      <c r="AF50" s="5">
        <f>求节点(X$6:X$44,$C$67:$C$105,$AA50)</f>
        <v>0</v>
      </c>
      <c r="AG50" s="5">
        <f>求节点(T$6:T$44,$D$67:$D$105,$AA50)+求节点(T$67:T$105,$Q$67:$Q$105,$AA50)</f>
        <v>1537400</v>
      </c>
      <c r="AH50" s="5">
        <f>求节点(U$6:U$44,$D$67:$D$105,$AA50)+求节点(U$67:U$105,$Q$67:$Q$105,$AA50)</f>
        <v>1703807.8516230974</v>
      </c>
      <c r="AI50" s="5">
        <f>求节点(V$6:V$44,$D$67:$D$105,$AA50)+求节点(V$67:V$105,$Q$67:$Q$105,$AA50)</f>
        <v>2042620.1921571903</v>
      </c>
      <c r="AJ50" s="5">
        <f>求节点(W$6:W$44,$D$67:$D$105,$AA50)+求节点(W$67:W$105,$Q$67:$Q$105,$AA50)</f>
        <v>2802005.3428285881</v>
      </c>
      <c r="AK50" s="5">
        <f>求节点(X$6:X$44,$D$67:$D$105,$AA50)+求节点(X$67:X$105,$Q$67:$Q$105,$AA50)</f>
        <v>3198668.6202042121</v>
      </c>
      <c r="AL50" s="5">
        <f>求节点(T$6:T$44,$F$67:$F$105,$AA50)+求节点(T$67:T$105,$P$67:$P$105,$AA50)</f>
        <v>474800</v>
      </c>
      <c r="AM50" s="5">
        <f>求节点(U$6:U$44,$F$67:$F$105,$AA50)+求节点(U$67:U$105,$P$67:$P$105,$AA50)</f>
        <v>489378.91065534018</v>
      </c>
      <c r="AN50" s="5">
        <f>求节点(V$6:V$44,$F$67:$F$105,$AA50)+求节点(V$67:V$105,$P$67:$P$105,$AA50)</f>
        <v>516827.1987862059</v>
      </c>
      <c r="AO50" s="5">
        <f>求节点(W$6:W$44,$F$67:$F$105,$AA50)+求节点(W$67:W$105,$P$67:$P$105,$AA50)</f>
        <v>570043.45655444323</v>
      </c>
      <c r="AP50" s="5">
        <f>求节点(X$6:X$44,$F$67:$F$105,$AA50)+求节点(X$67:X$105,$P$67:$P$105,$AA50)</f>
        <v>594944.27729747607</v>
      </c>
      <c r="AQ50" s="5">
        <f>求节点(T$6:T$44,$H$67:$H$105,$AA50)</f>
        <v>324600</v>
      </c>
      <c r="AR50" s="5">
        <f>求节点(U$6:U$44,$H$67:$H$105,$AA50)</f>
        <v>333972.15684986155</v>
      </c>
      <c r="AS50" s="5">
        <f>求节点(V$6:V$44,$H$67:$H$105,$AA50)</f>
        <v>351246.90336135979</v>
      </c>
      <c r="AT50" s="5">
        <f>求节点(W$6:W$44,$H$67:$H$105,$AA50)</f>
        <v>383666.07393266592</v>
      </c>
      <c r="AU50" s="5">
        <f>求节点(X$6:X$44,$H$67:$H$105,$AA50)</f>
        <v>398529.39074854384</v>
      </c>
      <c r="AV50" s="5">
        <f>求节点(T$6:T$44,$I$67:$I$105,$AA50)</f>
        <v>2036000</v>
      </c>
      <c r="AW50" s="5">
        <f>求节点(U$6:U$44,$I$67:$I$105,$AA50)</f>
        <v>2181789.1065534018</v>
      </c>
      <c r="AX50" s="5">
        <f>求节点(V$6:V$44,$I$67:$I$105,$AA50)</f>
        <v>2465879.6582635697</v>
      </c>
      <c r="AY50" s="5">
        <f>求节点(W$6:W$44,$I$67:$I$105,$AA50)</f>
        <v>3055944.096031541</v>
      </c>
      <c r="AZ50" s="5">
        <f>求节点(X$6:X$44,$I$67:$I$105,$AA50)</f>
        <v>3347589.0894686119</v>
      </c>
      <c r="BA50" s="5">
        <f>求节点(T$6:T$44,$E$67:$E$105,$AA50)+求节点(T$6:T$44,$K$67:$K$105,$AA50)+求节点(T$67:T$105,$O$67:$O$105,$AA50)</f>
        <v>3189.333333333333</v>
      </c>
      <c r="BB50" s="5">
        <f>求节点(U$6:U$44,$E$67:$E$105,$AA50)+求节点(U$6:U$44,$K$67:$K$105,$AA50)+求节点(U$67:U$105,$O$67:$O$105,$AA50)</f>
        <v>3261.5336527693034</v>
      </c>
      <c r="BC50" s="5">
        <f>求节点(V$6:V$44,$E$67:$E$105,$AA50)+求节点(V$6:V$44,$K$67:$K$105,$AA50)+求节点(V$67:V$105,$O$67:$O$105,$AA50)</f>
        <v>3394.6131814504752</v>
      </c>
      <c r="BD50" s="5">
        <f>求节点(W$6:W$44,$E$67:$E$105,$AA50)+求节点(W$6:W$44,$K$67:$K$105,$AA50)+求节点(W$67:W$105,$O$67:$O$105,$AA50)</f>
        <v>3644.3608658516487</v>
      </c>
      <c r="BE50" s="5">
        <f>求节点(X$6:X$44,$E$67:$E$105,$AA50)+求节点(X$6:X$44,$K$67:$K$105,$AA50)+求节点(X$67:X$105,$O$67:$O$105,$AA50)</f>
        <v>3758.863454655449</v>
      </c>
      <c r="BF50" s="5">
        <f>求节点(T$6:T$44,$G$67:$G$105,$AA50)</f>
        <v>0</v>
      </c>
      <c r="BG50" s="5">
        <f>求节点(U$6:U$44,$G$67:$G$105,$AA50)</f>
        <v>0</v>
      </c>
      <c r="BH50" s="5">
        <f>求节点(V$6:V$44,$G$67:$G$105,$AA50)</f>
        <v>0</v>
      </c>
      <c r="BI50" s="5">
        <f>求节点(W$6:W$44,$G$67:$G$105,$AA50)</f>
        <v>0</v>
      </c>
      <c r="BJ50" s="5">
        <f>求节点(X$6:X$44,$G$67:$G$105,$AA50)</f>
        <v>0</v>
      </c>
      <c r="BK50" s="5">
        <f>求节点(T$6:T$44,$M$67:$M$105,$AA50)</f>
        <v>30.666666666666668</v>
      </c>
      <c r="BL50" s="5">
        <f>求节点(U$6:U$44,$M$67:$M$105,$AA50)</f>
        <v>31.360900507397151</v>
      </c>
      <c r="BM50" s="5">
        <f>求节点(V$6:V$44,$M$67:$M$105,$AA50)</f>
        <v>32.640511360100724</v>
      </c>
      <c r="BN50" s="5">
        <f>求节点(W$6:W$44,$M$67:$M$105,$AA50)</f>
        <v>35.041931402419699</v>
      </c>
      <c r="BO50" s="5">
        <f>求节点(X$6:X$44,$M$67:$M$105,$AA50)</f>
        <v>36.142917833225468</v>
      </c>
      <c r="BP50" s="5">
        <f>求节点(T$67:T$105,$L$67:$L$105,$AA50)</f>
        <v>0</v>
      </c>
      <c r="BQ50" s="5">
        <f>求节点(U$67:U$105,$L$67:$L$105,$AA50)</f>
        <v>0</v>
      </c>
      <c r="BR50" s="5">
        <f>求节点(V$67:V$105,$L$67:$L$105,$AA50)</f>
        <v>0</v>
      </c>
      <c r="BS50" s="5">
        <f>求节点(W$67:W$105,$L$67:$L$105,$AA50)</f>
        <v>0</v>
      </c>
      <c r="BT50" s="5">
        <f>求节点(X$67:X$105,$L$67:$L$105,$AA50)</f>
        <v>0</v>
      </c>
      <c r="BZ50" s="5">
        <v>46</v>
      </c>
      <c r="CA50" s="5">
        <f t="shared" si="9"/>
        <v>3189.333333333333</v>
      </c>
      <c r="CB50" s="5">
        <f t="shared" si="10"/>
        <v>3261.5336527693034</v>
      </c>
      <c r="CC50" s="5">
        <f t="shared" si="11"/>
        <v>3394.6131814504752</v>
      </c>
      <c r="CD50" s="5">
        <f t="shared" si="12"/>
        <v>3644.3608658516487</v>
      </c>
      <c r="CE50" s="5">
        <f t="shared" si="13"/>
        <v>3758.863454655449</v>
      </c>
      <c r="CF50" s="5">
        <f>(CA50-CA49)/节奏总纲!W49</f>
        <v>42.691675681555637</v>
      </c>
      <c r="CI50" s="5">
        <v>46</v>
      </c>
      <c r="CJ50" s="5">
        <f t="shared" si="14"/>
        <v>7360</v>
      </c>
      <c r="CK50" s="5">
        <f t="shared" si="15"/>
        <v>7526.6161217753161</v>
      </c>
      <c r="CL50" s="5">
        <f t="shared" si="16"/>
        <v>7833.7227264241737</v>
      </c>
      <c r="CM50" s="5">
        <f t="shared" si="17"/>
        <v>8410.0635365807284</v>
      </c>
      <c r="CN50" s="5">
        <f t="shared" si="18"/>
        <v>8674.3002799741116</v>
      </c>
      <c r="CO50" s="5">
        <f>(CJ50-CJ49)/节奏总纲!W49</f>
        <v>98.519251572821133</v>
      </c>
      <c r="CP50" s="5">
        <f t="shared" si="27"/>
        <v>141.21092725437677</v>
      </c>
      <c r="CR50" s="5">
        <v>46</v>
      </c>
      <c r="CS50" s="5">
        <f t="shared" si="28"/>
        <v>0</v>
      </c>
      <c r="CT50" s="5">
        <f t="shared" si="29"/>
        <v>0</v>
      </c>
      <c r="CU50" s="5">
        <f t="shared" si="30"/>
        <v>0</v>
      </c>
      <c r="CV50" s="5">
        <f t="shared" si="31"/>
        <v>0</v>
      </c>
      <c r="CW50" s="5">
        <f t="shared" si="32"/>
        <v>0</v>
      </c>
      <c r="CX50" s="5">
        <f t="shared" si="20"/>
        <v>0</v>
      </c>
      <c r="CY50" s="5">
        <f t="shared" si="21"/>
        <v>0</v>
      </c>
      <c r="CZ50" s="5">
        <f t="shared" si="22"/>
        <v>0</v>
      </c>
      <c r="DA50" s="5">
        <f t="shared" si="23"/>
        <v>0</v>
      </c>
      <c r="DB50" s="5">
        <f t="shared" si="24"/>
        <v>0</v>
      </c>
    </row>
    <row r="51" spans="2:106" x14ac:dyDescent="0.15">
      <c r="B51" s="28">
        <v>46</v>
      </c>
      <c r="C51" s="28"/>
      <c r="D51" s="29">
        <f t="shared" ref="D51" si="36">D50*1.2</f>
        <v>19552320</v>
      </c>
      <c r="E51" s="28">
        <v>120</v>
      </c>
      <c r="F51" s="30">
        <f t="shared" si="34"/>
        <v>79800</v>
      </c>
      <c r="G51" s="28"/>
      <c r="H51" s="31">
        <v>27000</v>
      </c>
      <c r="I51" s="31">
        <f>ROUND(20*4/INDEX('[1]功能-付费相关'!$U$6:$U$165,基本信息!U49,1)/4000,0)*4000/2</f>
        <v>1632000</v>
      </c>
      <c r="J51" s="31">
        <f>ROUND(50*2/INDEX('[1]功能-付费相关'!$AS$6:$AS$165,基本信息!U49,1)/2000,0)*2000</f>
        <v>104000</v>
      </c>
      <c r="K51" s="28">
        <v>88</v>
      </c>
      <c r="L51" s="31"/>
      <c r="M51" s="31">
        <v>2</v>
      </c>
      <c r="N51" s="28">
        <v>0</v>
      </c>
      <c r="O51" s="28"/>
      <c r="P51" s="28">
        <v>0</v>
      </c>
      <c r="Q51" s="28">
        <v>0</v>
      </c>
      <c r="S51" s="28">
        <v>46</v>
      </c>
      <c r="T51" s="31">
        <f>基本信息!C49</f>
        <v>138</v>
      </c>
      <c r="U51" s="31">
        <f>基本信息!D49</f>
        <v>134.35920156447216</v>
      </c>
      <c r="V51" s="31">
        <f>基本信息!E49</f>
        <v>131.70437113312411</v>
      </c>
      <c r="W51" s="31">
        <f>基本信息!F49</f>
        <v>129.60402561189383</v>
      </c>
      <c r="X51" s="31">
        <f>基本信息!G49</f>
        <v>127.32720096264062</v>
      </c>
      <c r="AA51" s="5">
        <v>47</v>
      </c>
      <c r="AB51" s="5">
        <f>求节点(T$6:T$44,$C$67:$C$105,$AA51)</f>
        <v>0</v>
      </c>
      <c r="AC51" s="5">
        <f>求节点(U$6:U$44,$C$67:$C$105,$AA51)</f>
        <v>0</v>
      </c>
      <c r="AD51" s="5">
        <f>求节点(V$6:V$44,$C$67:$C$105,$AA51)</f>
        <v>0</v>
      </c>
      <c r="AE51" s="5">
        <f>求节点(W$6:W$44,$C$67:$C$105,$AA51)</f>
        <v>0</v>
      </c>
      <c r="AF51" s="5">
        <f>求节点(X$6:X$44,$C$67:$C$105,$AA51)</f>
        <v>0</v>
      </c>
      <c r="AG51" s="5">
        <f>求节点(T$6:T$44,$D$67:$D$105,$AA51)+求节点(T$67:T$105,$Q$67:$Q$105,$AA51)</f>
        <v>1697200</v>
      </c>
      <c r="AH51" s="5">
        <f>求节点(U$6:U$44,$D$67:$D$105,$AA51)+求节点(U$67:U$105,$Q$67:$Q$105,$AA51)</f>
        <v>1869990.9046476758</v>
      </c>
      <c r="AI51" s="5">
        <f>求节点(V$6:V$44,$D$67:$D$105,$AA51)+求节点(V$67:V$105,$Q$67:$Q$105,$AA51)</f>
        <v>2228923.0627358141</v>
      </c>
      <c r="AJ51" s="5">
        <f>求节点(W$6:W$44,$D$67:$D$105,$AA51)+求节点(W$67:W$105,$Q$67:$Q$105,$AA51)</f>
        <v>2998741.8732183049</v>
      </c>
      <c r="AK51" s="5">
        <f>求节点(X$6:X$44,$D$67:$D$105,$AA51)+求节点(X$67:X$105,$Q$67:$Q$105,$AA51)</f>
        <v>3424436.9464572538</v>
      </c>
      <c r="AL51" s="5">
        <f>求节点(T$6:T$44,$F$67:$F$105,$AA51)+求节点(T$67:T$105,$P$67:$P$105,$AA51)</f>
        <v>488800</v>
      </c>
      <c r="AM51" s="5">
        <f>求节点(U$6:U$44,$F$67:$F$105,$AA51)+求节点(U$67:U$105,$P$67:$P$105,$AA51)</f>
        <v>503781.71432637714</v>
      </c>
      <c r="AN51" s="5">
        <f>求节点(V$6:V$44,$F$67:$F$105,$AA51)+求节点(V$67:V$105,$P$67:$P$105,$AA51)</f>
        <v>530905.98714256147</v>
      </c>
      <c r="AO51" s="5">
        <f>求节点(W$6:W$44,$F$67:$F$105,$AA51)+求节点(W$67:W$105,$P$67:$P$105,$AA51)</f>
        <v>582665.56072829163</v>
      </c>
      <c r="AP51" s="5">
        <f>求节点(X$6:X$44,$F$67:$F$105,$AA51)+求节点(X$67:X$105,$P$67:$P$105,$AA51)</f>
        <v>607389.4571191984</v>
      </c>
      <c r="AQ51" s="5">
        <f>求节点(T$6:T$44,$H$67:$H$105,$AA51)</f>
        <v>333600</v>
      </c>
      <c r="AR51" s="5">
        <f>求节点(U$6:U$44,$H$67:$H$105,$AA51)</f>
        <v>343205.16636557499</v>
      </c>
      <c r="AS51" s="5">
        <f>求节点(V$6:V$44,$H$67:$H$105,$AA51)</f>
        <v>359925.6085125379</v>
      </c>
      <c r="AT51" s="5">
        <f>求节点(W$6:W$44,$H$67:$H$105,$AA51)</f>
        <v>391239.33643697493</v>
      </c>
      <c r="AU51" s="5">
        <f>求节点(X$6:X$44,$H$67:$H$105,$AA51)</f>
        <v>405709.30218415294</v>
      </c>
      <c r="AV51" s="5">
        <f>求节点(T$6:T$44,$I$67:$I$105,$AA51)</f>
        <v>2176000</v>
      </c>
      <c r="AW51" s="5">
        <f>求节点(U$6:U$44,$I$67:$I$105,$AA51)</f>
        <v>2326489.5503366329</v>
      </c>
      <c r="AX51" s="5">
        <f>求节点(V$6:V$44,$I$67:$I$105,$AA51)</f>
        <v>2616310.5475506573</v>
      </c>
      <c r="AY51" s="5">
        <f>求节点(W$6:W$44,$I$67:$I$105,$AA51)</f>
        <v>3202360.5044481824</v>
      </c>
      <c r="AZ51" s="5">
        <f>求节点(X$6:X$44,$I$67:$I$105,$AA51)</f>
        <v>3502356.0693028523</v>
      </c>
      <c r="BA51" s="5">
        <f>求节点(T$6:T$44,$E$67:$E$105,$AA51)+求节点(T$6:T$44,$K$67:$K$105,$AA51)+求节点(T$67:T$105,$O$67:$O$105,$AA51)</f>
        <v>3258.666666666667</v>
      </c>
      <c r="BB51" s="5">
        <f>求节点(U$6:U$44,$E$67:$E$105,$AA51)+求节点(U$6:U$44,$K$67:$K$105,$AA51)+求节点(U$67:U$105,$O$67:$O$105,$AA51)</f>
        <v>3332.6620223718364</v>
      </c>
      <c r="BC51" s="5">
        <f>求节点(V$6:V$44,$E$67:$E$105,$AA51)+求节点(V$6:V$44,$K$67:$K$105,$AA51)+求节点(V$67:V$105,$O$67:$O$105,$AA51)</f>
        <v>3461.4713544669589</v>
      </c>
      <c r="BD51" s="5">
        <f>求节点(W$6:W$44,$E$67:$E$105,$AA51)+求节点(W$6:W$44,$K$67:$K$105,$AA51)+求节点(W$67:W$105,$O$67:$O$105,$AA51)</f>
        <v>3702.7030362552146</v>
      </c>
      <c r="BE51" s="5">
        <f>求节点(X$6:X$44,$E$67:$E$105,$AA51)+求节点(X$6:X$44,$K$67:$K$105,$AA51)+求节点(X$67:X$105,$O$67:$O$105,$AA51)</f>
        <v>3814.175364974215</v>
      </c>
      <c r="BF51" s="5">
        <f>求节点(T$6:T$44,$G$67:$G$105,$AA51)</f>
        <v>0</v>
      </c>
      <c r="BG51" s="5">
        <f>求节点(U$6:U$44,$G$67:$G$105,$AA51)</f>
        <v>0</v>
      </c>
      <c r="BH51" s="5">
        <f>求节点(V$6:V$44,$G$67:$G$105,$AA51)</f>
        <v>0</v>
      </c>
      <c r="BI51" s="5">
        <f>求节点(W$6:W$44,$G$67:$G$105,$AA51)</f>
        <v>0</v>
      </c>
      <c r="BJ51" s="5">
        <f>求节点(X$6:X$44,$G$67:$G$105,$AA51)</f>
        <v>0</v>
      </c>
      <c r="BK51" s="5">
        <f>求节点(T$6:T$44,$M$67:$M$105,$AA51)</f>
        <v>31.333333333333332</v>
      </c>
      <c r="BL51" s="5">
        <f>求节点(U$6:U$44,$M$67:$M$105,$AA51)</f>
        <v>32.04482713819074</v>
      </c>
      <c r="BM51" s="5">
        <f>求节点(V$6:V$44,$M$67:$M$105,$AA51)</f>
        <v>33.283378408336141</v>
      </c>
      <c r="BN51" s="5">
        <f>求节点(W$6:W$44,$M$67:$M$105,$AA51)</f>
        <v>35.602913810146291</v>
      </c>
      <c r="BO51" s="5">
        <f>求节点(X$6:X$44,$M$67:$M$105,$AA51)</f>
        <v>36.674763124752069</v>
      </c>
      <c r="BP51" s="5">
        <f>求节点(T$67:T$105,$L$67:$L$105,$AA51)</f>
        <v>0</v>
      </c>
      <c r="BQ51" s="5">
        <f>求节点(U$67:U$105,$L$67:$L$105,$AA51)</f>
        <v>0</v>
      </c>
      <c r="BR51" s="5">
        <f>求节点(V$67:V$105,$L$67:$L$105,$AA51)</f>
        <v>0</v>
      </c>
      <c r="BS51" s="5">
        <f>求节点(W$67:W$105,$L$67:$L$105,$AA51)</f>
        <v>0</v>
      </c>
      <c r="BT51" s="5">
        <f>求节点(X$67:X$105,$L$67:$L$105,$AA51)</f>
        <v>0</v>
      </c>
      <c r="BZ51" s="5">
        <v>47</v>
      </c>
      <c r="CA51" s="5">
        <f t="shared" si="9"/>
        <v>3258.666666666667</v>
      </c>
      <c r="CB51" s="5">
        <f t="shared" si="10"/>
        <v>3332.6620223718364</v>
      </c>
      <c r="CC51" s="5">
        <f t="shared" si="11"/>
        <v>3461.4713544669589</v>
      </c>
      <c r="CD51" s="5">
        <f t="shared" si="12"/>
        <v>3702.7030362552146</v>
      </c>
      <c r="CE51" s="5">
        <f t="shared" si="13"/>
        <v>3814.175364974215</v>
      </c>
      <c r="CF51" s="5">
        <f>(CA51-CA50)/节奏总纲!W50</f>
        <v>39.832741874881066</v>
      </c>
      <c r="CI51" s="5">
        <v>47</v>
      </c>
      <c r="CJ51" s="5">
        <f t="shared" si="14"/>
        <v>7520</v>
      </c>
      <c r="CK51" s="5">
        <f t="shared" si="15"/>
        <v>7690.7585131657779</v>
      </c>
      <c r="CL51" s="5">
        <f t="shared" si="16"/>
        <v>7988.0108180006737</v>
      </c>
      <c r="CM51" s="5">
        <f t="shared" si="17"/>
        <v>8544.699314435109</v>
      </c>
      <c r="CN51" s="5">
        <f t="shared" si="18"/>
        <v>8801.9431499404964</v>
      </c>
      <c r="CO51" s="5">
        <f>(CJ51-CJ50)/节奏总纲!W50</f>
        <v>91.921712018955489</v>
      </c>
      <c r="CP51" s="5">
        <f t="shared" si="27"/>
        <v>131.75445389383657</v>
      </c>
      <c r="CR51" s="5">
        <v>47</v>
      </c>
      <c r="CS51" s="5">
        <f t="shared" si="28"/>
        <v>0</v>
      </c>
      <c r="CT51" s="5">
        <f t="shared" si="29"/>
        <v>0</v>
      </c>
      <c r="CU51" s="5">
        <f t="shared" si="30"/>
        <v>0</v>
      </c>
      <c r="CV51" s="5">
        <f t="shared" si="31"/>
        <v>0</v>
      </c>
      <c r="CW51" s="5">
        <f t="shared" si="32"/>
        <v>0</v>
      </c>
      <c r="CX51" s="5">
        <f t="shared" si="20"/>
        <v>0</v>
      </c>
      <c r="CY51" s="5">
        <f t="shared" si="21"/>
        <v>0</v>
      </c>
      <c r="CZ51" s="5">
        <f t="shared" si="22"/>
        <v>0</v>
      </c>
      <c r="DA51" s="5">
        <f t="shared" si="23"/>
        <v>0</v>
      </c>
      <c r="DB51" s="5">
        <f t="shared" si="24"/>
        <v>0</v>
      </c>
    </row>
    <row r="52" spans="2:106" x14ac:dyDescent="0.15">
      <c r="B52" s="28">
        <v>47</v>
      </c>
      <c r="C52" s="28"/>
      <c r="D52" s="31">
        <f>ROUND(130/INDEX('[1]功能-付费相关'!$BB$6:$BB$165,基本信息!U50,1)/1200,0)*600</f>
        <v>26241000</v>
      </c>
      <c r="E52" s="28">
        <v>120</v>
      </c>
      <c r="F52" s="31">
        <f>ROUND(60/INDEX('[1]功能-付费相关'!$AS$6:$AS$165,基本信息!C50,1)/600,0)*600</f>
        <v>87000</v>
      </c>
      <c r="G52" s="28"/>
      <c r="H52" s="31">
        <v>27000</v>
      </c>
      <c r="I52" s="31">
        <f>ROUND(20*4/INDEX('[1]功能-付费相关'!$U$6:$U$165,基本信息!U50,1)/4000,0)*4000/2</f>
        <v>1666000</v>
      </c>
      <c r="J52" s="31">
        <f>ROUND(50*2/INDEX('[1]功能-付费相关'!$AS$6:$AS$165,基本信息!U50,1)/2000,0)*2000</f>
        <v>104000</v>
      </c>
      <c r="K52" s="28">
        <v>88</v>
      </c>
      <c r="L52" s="31"/>
      <c r="M52" s="31">
        <v>2</v>
      </c>
      <c r="N52" s="28">
        <v>0</v>
      </c>
      <c r="O52" s="28"/>
      <c r="P52" s="28">
        <v>0</v>
      </c>
      <c r="Q52" s="28">
        <v>0</v>
      </c>
      <c r="S52" s="28">
        <v>47</v>
      </c>
      <c r="T52" s="31">
        <f>基本信息!C50</f>
        <v>141</v>
      </c>
      <c r="U52" s="31">
        <f>基本信息!D50</f>
        <v>137.51381037691212</v>
      </c>
      <c r="V52" s="31">
        <f>基本信息!E50</f>
        <v>134.47822109007785</v>
      </c>
      <c r="W52" s="31">
        <f>基本信息!F50</f>
        <v>132.07392743942233</v>
      </c>
      <c r="X52" s="31">
        <f>基本信息!G50</f>
        <v>129.65028753874466</v>
      </c>
      <c r="AA52" s="5">
        <v>48</v>
      </c>
      <c r="AB52" s="5">
        <f>求节点(T$6:T$44,$C$67:$C$105,$AA52)</f>
        <v>0</v>
      </c>
      <c r="AC52" s="5">
        <f>求节点(U$6:U$44,$C$67:$C$105,$AA52)</f>
        <v>0</v>
      </c>
      <c r="AD52" s="5">
        <f>求节点(V$6:V$44,$C$67:$C$105,$AA52)</f>
        <v>0</v>
      </c>
      <c r="AE52" s="5">
        <f>求节点(W$6:W$44,$C$67:$C$105,$AA52)</f>
        <v>0</v>
      </c>
      <c r="AF52" s="5">
        <f>求节点(X$6:X$44,$C$67:$C$105,$AA52)</f>
        <v>0</v>
      </c>
      <c r="AG52" s="5">
        <f>求节点(T$6:T$44,$D$67:$D$105,$AA52)+求节点(T$67:T$105,$Q$67:$Q$105,$AA52)</f>
        <v>1857000</v>
      </c>
      <c r="AH52" s="5">
        <f>求节点(U$6:U$44,$D$67:$D$105,$AA52)+求节点(U$67:U$105,$Q$67:$Q$105,$AA52)</f>
        <v>2048393.6731135391</v>
      </c>
      <c r="AI52" s="5">
        <f>求节点(V$6:V$44,$D$67:$D$105,$AA52)+求节点(V$67:V$105,$Q$67:$Q$105,$AA52)</f>
        <v>2415225.933314438</v>
      </c>
      <c r="AJ52" s="5">
        <f>求节点(W$6:W$44,$D$67:$D$105,$AA52)+求节点(W$67:W$105,$Q$67:$Q$105,$AA52)</f>
        <v>3214936.1135741067</v>
      </c>
      <c r="AK52" s="5">
        <f>求节点(X$6:X$44,$D$67:$D$105,$AA52)+求节点(X$67:X$105,$Q$67:$Q$105,$AA52)</f>
        <v>3650205.2727102949</v>
      </c>
      <c r="AL52" s="5">
        <f>求节点(T$6:T$44,$F$67:$F$105,$AA52)+求节点(T$67:T$105,$P$67:$P$105,$AA52)</f>
        <v>502800</v>
      </c>
      <c r="AM52" s="5">
        <f>求节点(U$6:U$44,$F$67:$F$105,$AA52)+求节点(U$67:U$105,$P$67:$P$105,$AA52)</f>
        <v>517263.4970365304</v>
      </c>
      <c r="AN52" s="5">
        <f>求节点(V$6:V$44,$F$67:$F$105,$AA52)+求节点(V$67:V$105,$P$67:$P$105,$AA52)</f>
        <v>544984.77549891721</v>
      </c>
      <c r="AO52" s="5">
        <f>求节点(W$6:W$44,$F$67:$F$105,$AA52)+求节点(W$67:W$105,$P$67:$P$105,$AA52)</f>
        <v>595841.00131362572</v>
      </c>
      <c r="AP52" s="5">
        <f>求节点(X$6:X$44,$F$67:$F$105,$AA52)+求节点(X$67:X$105,$P$67:$P$105,$AA52)</f>
        <v>619834.63694092084</v>
      </c>
      <c r="AQ52" s="5">
        <f>求节点(T$6:T$44,$H$67:$H$105,$AA52)</f>
        <v>342600</v>
      </c>
      <c r="AR52" s="5">
        <f>求节点(U$6:U$44,$H$67:$H$105,$AA52)</f>
        <v>351515.85433758725</v>
      </c>
      <c r="AS52" s="5">
        <f>求节点(V$6:V$44,$H$67:$H$105,$AA52)</f>
        <v>368604.31366371608</v>
      </c>
      <c r="AT52" s="5">
        <f>求节点(W$6:W$44,$H$67:$H$105,$AA52)</f>
        <v>399046.73152709176</v>
      </c>
      <c r="AU52" s="5">
        <f>求节点(X$6:X$44,$H$67:$H$105,$AA52)</f>
        <v>412889.21361976204</v>
      </c>
      <c r="AV52" s="5">
        <f>求节点(T$6:T$44,$I$67:$I$105,$AA52)</f>
        <v>2316000</v>
      </c>
      <c r="AW52" s="5">
        <f>求节点(U$6:U$44,$I$67:$I$105,$AA52)</f>
        <v>2470541.4751848453</v>
      </c>
      <c r="AX52" s="5">
        <f>求节点(V$6:V$44,$I$67:$I$105,$AA52)</f>
        <v>2766741.4368377449</v>
      </c>
      <c r="AY52" s="5">
        <f>求节点(W$6:W$44,$I$67:$I$105,$AA52)</f>
        <v>3358740.6573617551</v>
      </c>
      <c r="AZ52" s="5">
        <f>求节点(X$6:X$44,$I$67:$I$105,$AA52)</f>
        <v>3657123.0491370927</v>
      </c>
      <c r="BA52" s="5">
        <f>求节点(T$6:T$44,$E$67:$E$105,$AA52)+求节点(T$6:T$44,$K$67:$K$105,$AA52)+求节点(T$67:T$105,$O$67:$O$105,$AA52)</f>
        <v>3328</v>
      </c>
      <c r="BB52" s="5">
        <f>求节点(U$6:U$44,$E$67:$E$105,$AA52)+求节点(U$6:U$44,$K$67:$K$105,$AA52)+求节点(U$67:U$105,$O$67:$O$105,$AA52)</f>
        <v>3396.6851000821534</v>
      </c>
      <c r="BC52" s="5">
        <f>求节点(V$6:V$44,$E$67:$E$105,$AA52)+求节点(V$6:V$44,$K$67:$K$105,$AA52)+求节点(V$67:V$105,$O$67:$O$105,$AA52)</f>
        <v>3528.3295274834422</v>
      </c>
      <c r="BD52" s="5">
        <f>求节点(W$6:W$44,$E$67:$E$105,$AA52)+求节点(W$6:W$44,$K$67:$K$105,$AA52)+求节点(W$67:W$105,$O$67:$O$105,$AA52)</f>
        <v>3762.8488947272253</v>
      </c>
      <c r="BE52" s="5">
        <f>求节点(X$6:X$44,$E$67:$E$105,$AA52)+求节点(X$6:X$44,$K$67:$K$105,$AA52)+求节点(X$67:X$105,$O$67:$O$105,$AA52)</f>
        <v>3869.4872752929814</v>
      </c>
      <c r="BF52" s="5">
        <f>求节点(T$6:T$44,$G$67:$G$105,$AA52)</f>
        <v>0</v>
      </c>
      <c r="BG52" s="5">
        <f>求节点(U$6:U$44,$G$67:$G$105,$AA52)</f>
        <v>0</v>
      </c>
      <c r="BH52" s="5">
        <f>求节点(V$6:V$44,$G$67:$G$105,$AA52)</f>
        <v>0</v>
      </c>
      <c r="BI52" s="5">
        <f>求节点(W$6:W$44,$G$67:$G$105,$AA52)</f>
        <v>0</v>
      </c>
      <c r="BJ52" s="5">
        <f>求节点(X$6:X$44,$G$67:$G$105,$AA52)</f>
        <v>0</v>
      </c>
      <c r="BK52" s="5">
        <f>求节点(T$6:T$44,$M$67:$M$105,$AA52)</f>
        <v>32</v>
      </c>
      <c r="BL52" s="5">
        <f>求节点(U$6:U$44,$M$67:$M$105,$AA52)</f>
        <v>32.660433654636094</v>
      </c>
      <c r="BM52" s="5">
        <f>求节点(V$6:V$44,$M$67:$M$105,$AA52)</f>
        <v>33.926245456571557</v>
      </c>
      <c r="BN52" s="5">
        <f>求节点(W$6:W$44,$M$67:$M$105,$AA52)</f>
        <v>36.181239372377163</v>
      </c>
      <c r="BO52" s="5">
        <f>求节点(X$6:X$44,$M$67:$M$105,$AA52)</f>
        <v>37.206608416278669</v>
      </c>
      <c r="BP52" s="5">
        <f>求节点(T$67:T$105,$L$67:$L$105,$AA52)</f>
        <v>0</v>
      </c>
      <c r="BQ52" s="5">
        <f>求节点(U$67:U$105,$L$67:$L$105,$AA52)</f>
        <v>0</v>
      </c>
      <c r="BR52" s="5">
        <f>求节点(V$67:V$105,$L$67:$L$105,$AA52)</f>
        <v>0</v>
      </c>
      <c r="BS52" s="5">
        <f>求节点(W$67:W$105,$L$67:$L$105,$AA52)</f>
        <v>0</v>
      </c>
      <c r="BT52" s="5">
        <f>求节点(X$67:X$105,$L$67:$L$105,$AA52)</f>
        <v>0</v>
      </c>
      <c r="BZ52" s="5">
        <v>48</v>
      </c>
      <c r="CA52" s="5">
        <f t="shared" si="9"/>
        <v>3328</v>
      </c>
      <c r="CB52" s="5">
        <f t="shared" si="10"/>
        <v>3396.6851000821534</v>
      </c>
      <c r="CC52" s="5">
        <f t="shared" si="11"/>
        <v>3528.3295274834422</v>
      </c>
      <c r="CD52" s="5">
        <f t="shared" si="12"/>
        <v>3762.8488947272253</v>
      </c>
      <c r="CE52" s="5">
        <f t="shared" si="13"/>
        <v>3869.4872752929814</v>
      </c>
      <c r="CF52" s="5">
        <f>(CA52-CA51)/节奏总纲!W51</f>
        <v>37.165262312633452</v>
      </c>
      <c r="CI52" s="5">
        <v>48</v>
      </c>
      <c r="CJ52" s="5">
        <f t="shared" si="14"/>
        <v>7680</v>
      </c>
      <c r="CK52" s="5">
        <f t="shared" si="15"/>
        <v>7838.5040771126623</v>
      </c>
      <c r="CL52" s="5">
        <f t="shared" si="16"/>
        <v>8142.2989095771736</v>
      </c>
      <c r="CM52" s="5">
        <f t="shared" si="17"/>
        <v>8683.4974493705195</v>
      </c>
      <c r="CN52" s="5">
        <f t="shared" si="18"/>
        <v>8929.5860199068811</v>
      </c>
      <c r="CO52" s="5">
        <f>(CJ52-CJ51)/节奏总纲!W51</f>
        <v>85.765989952231422</v>
      </c>
      <c r="CP52" s="5">
        <f t="shared" si="27"/>
        <v>122.93125226486487</v>
      </c>
      <c r="CR52" s="5">
        <v>48</v>
      </c>
      <c r="CS52" s="5">
        <f t="shared" si="28"/>
        <v>0</v>
      </c>
      <c r="CT52" s="5">
        <f t="shared" si="29"/>
        <v>0</v>
      </c>
      <c r="CU52" s="5">
        <f t="shared" si="30"/>
        <v>0</v>
      </c>
      <c r="CV52" s="5">
        <f t="shared" si="31"/>
        <v>0</v>
      </c>
      <c r="CW52" s="5">
        <f t="shared" si="32"/>
        <v>0</v>
      </c>
      <c r="CX52" s="5">
        <f t="shared" si="20"/>
        <v>0</v>
      </c>
      <c r="CY52" s="5">
        <f t="shared" si="21"/>
        <v>0</v>
      </c>
      <c r="CZ52" s="5">
        <f t="shared" si="22"/>
        <v>0</v>
      </c>
      <c r="DA52" s="5">
        <f t="shared" si="23"/>
        <v>0</v>
      </c>
      <c r="DB52" s="5">
        <f t="shared" si="24"/>
        <v>0</v>
      </c>
    </row>
    <row r="53" spans="2:106" x14ac:dyDescent="0.15">
      <c r="B53" s="28">
        <v>48</v>
      </c>
      <c r="C53" s="28"/>
      <c r="D53" s="31">
        <f>ROUND(130/INDEX('[1]功能-付费相关'!$BB$6:$BB$165,基本信息!U51,1)/1200,0)*600</f>
        <v>26241000</v>
      </c>
      <c r="E53" s="28">
        <v>120</v>
      </c>
      <c r="F53" s="31">
        <f>ROUND(60/INDEX('[1]功能-付费相关'!$AS$6:$AS$165,基本信息!C51,1)/600,0)*600</f>
        <v>88200</v>
      </c>
      <c r="G53" s="28"/>
      <c r="H53" s="31">
        <v>27000</v>
      </c>
      <c r="I53" s="31">
        <f>ROUND(20*4/INDEX('[1]功能-付费相关'!$U$6:$U$165,基本信息!U51,1)/4000,0)*4000/2</f>
        <v>1666000</v>
      </c>
      <c r="J53" s="31">
        <f>ROUND(50*2/INDEX('[1]功能-付费相关'!$AS$6:$AS$165,基本信息!U51,1)/2000,0)*2000</f>
        <v>104000</v>
      </c>
      <c r="K53" s="28">
        <v>88</v>
      </c>
      <c r="L53" s="31"/>
      <c r="M53" s="31">
        <v>2</v>
      </c>
      <c r="N53" s="28">
        <v>0</v>
      </c>
      <c r="O53" s="28"/>
      <c r="P53" s="28">
        <v>0</v>
      </c>
      <c r="Q53" s="28">
        <v>0</v>
      </c>
      <c r="S53" s="28">
        <v>48</v>
      </c>
      <c r="T53" s="31">
        <f>基本信息!C51</f>
        <v>144</v>
      </c>
      <c r="U53" s="31">
        <f>基本信息!D51</f>
        <v>140.46726197130886</v>
      </c>
      <c r="V53" s="31">
        <f>基本信息!E51</f>
        <v>137.36907746690912</v>
      </c>
      <c r="W53" s="31">
        <f>基本信息!F51</f>
        <v>134.84069197030891</v>
      </c>
      <c r="X53" s="31">
        <f>基本信息!G51</f>
        <v>132.25025188679561</v>
      </c>
      <c r="AA53" s="5">
        <v>49</v>
      </c>
      <c r="AB53" s="5">
        <f>求节点(T$6:T$44,$C$67:$C$105,$AA53)</f>
        <v>0</v>
      </c>
      <c r="AC53" s="5">
        <f>求节点(U$6:U$44,$C$67:$C$105,$AA53)</f>
        <v>0</v>
      </c>
      <c r="AD53" s="5">
        <f>求节点(V$6:V$44,$C$67:$C$105,$AA53)</f>
        <v>0</v>
      </c>
      <c r="AE53" s="5">
        <f>求节点(W$6:W$44,$C$67:$C$105,$AA53)</f>
        <v>0</v>
      </c>
      <c r="AF53" s="5">
        <f>求节点(X$6:X$44,$C$67:$C$105,$AA53)</f>
        <v>0</v>
      </c>
      <c r="AG53" s="5">
        <f>求节点(T$6:T$44,$D$67:$D$105,$AA53)+求节点(T$67:T$105,$Q$67:$Q$105,$AA53)</f>
        <v>2050200</v>
      </c>
      <c r="AH53" s="5">
        <f>求节点(U$6:U$44,$D$67:$D$105,$AA53)+求节点(U$67:U$105,$Q$67:$Q$105,$AA53)</f>
        <v>2226796.4415794024</v>
      </c>
      <c r="AI53" s="5">
        <f>求节点(V$6:V$44,$D$67:$D$105,$AA53)+求节点(V$67:V$105,$Q$67:$Q$105,$AA53)</f>
        <v>2681732.6835592934</v>
      </c>
      <c r="AJ53" s="5">
        <f>求节点(W$6:W$44,$D$67:$D$105,$AA53)+求节点(W$67:W$105,$Q$67:$Q$105,$AA53)</f>
        <v>3478272.3076246772</v>
      </c>
      <c r="AK53" s="5">
        <f>求节点(X$6:X$44,$D$67:$D$105,$AA53)+求节点(X$67:X$105,$Q$67:$Q$105,$AA53)</f>
        <v>3875973.5989633366</v>
      </c>
      <c r="AL53" s="5">
        <f>求节点(T$6:T$44,$F$67:$F$105,$AA53)+求节点(T$67:T$105,$P$67:$P$105,$AA53)</f>
        <v>517400</v>
      </c>
      <c r="AM53" s="5">
        <f>求节点(U$6:U$44,$F$67:$F$105,$AA53)+求节点(U$67:U$105,$P$67:$P$105,$AA53)</f>
        <v>530745.27974668366</v>
      </c>
      <c r="AN53" s="5">
        <f>求节点(V$6:V$44,$F$67:$F$105,$AA53)+求节点(V$67:V$105,$P$67:$P$105,$AA53)</f>
        <v>562327.0755063704</v>
      </c>
      <c r="AO53" s="5">
        <f>求节点(W$6:W$44,$F$67:$F$105,$AA53)+求节点(W$67:W$105,$P$67:$P$105,$AA53)</f>
        <v>610357.06006694329</v>
      </c>
      <c r="AP53" s="5">
        <f>求节点(X$6:X$44,$F$67:$F$105,$AA53)+求节点(X$67:X$105,$P$67:$P$105,$AA53)</f>
        <v>632279.81676264328</v>
      </c>
      <c r="AQ53" s="5">
        <f>求节点(T$6:T$44,$H$67:$H$105,$AA53)</f>
        <v>351600</v>
      </c>
      <c r="AR53" s="5">
        <f>求节点(U$6:U$44,$H$67:$H$105,$AA53)</f>
        <v>359826.54230959952</v>
      </c>
      <c r="AS53" s="5">
        <f>求节点(V$6:V$44,$H$67:$H$105,$AA53)</f>
        <v>379036.24530382222</v>
      </c>
      <c r="AT53" s="5">
        <f>求节点(W$6:W$44,$H$67:$H$105,$AA53)</f>
        <v>407421.38080785191</v>
      </c>
      <c r="AU53" s="5">
        <f>求节点(X$6:X$44,$H$67:$H$105,$AA53)</f>
        <v>420069.12505537114</v>
      </c>
      <c r="AV53" s="5">
        <f>求节点(T$6:T$44,$I$67:$I$105,$AA53)</f>
        <v>2472000</v>
      </c>
      <c r="AW53" s="5">
        <f>求节点(U$6:U$44,$I$67:$I$105,$AA53)</f>
        <v>2614593.4000330577</v>
      </c>
      <c r="AX53" s="5">
        <f>求节点(V$6:V$44,$I$67:$I$105,$AA53)</f>
        <v>2966434.0758738965</v>
      </c>
      <c r="AY53" s="5">
        <f>求节点(W$6:W$44,$I$67:$I$105,$AA53)</f>
        <v>3539260.8751914748</v>
      </c>
      <c r="AZ53" s="5">
        <f>求节点(X$6:X$44,$I$67:$I$105,$AA53)</f>
        <v>3811890.0289713331</v>
      </c>
      <c r="BA53" s="5">
        <f>求节点(T$6:T$44,$E$67:$E$105,$AA53)+求节点(T$6:T$44,$K$67:$K$105,$AA53)+求节点(T$67:T$105,$O$67:$O$105,$AA53)</f>
        <v>3397.333333333333</v>
      </c>
      <c r="BB53" s="5">
        <f>求节点(U$6:U$44,$E$67:$E$105,$AA53)+求节点(U$6:U$44,$K$67:$K$105,$AA53)+求节点(U$67:U$105,$O$67:$O$105,$AA53)</f>
        <v>3460.7081777924705</v>
      </c>
      <c r="BC53" s="5">
        <f>求节点(V$6:V$44,$E$67:$E$105,$AA53)+求节点(V$6:V$44,$K$67:$K$105,$AA53)+求节点(V$67:V$105,$O$67:$O$105,$AA53)</f>
        <v>3608.6940378961121</v>
      </c>
      <c r="BD53" s="5">
        <f>求节点(W$6:W$44,$E$67:$E$105,$AA53)+求节点(W$6:W$44,$K$67:$K$105,$AA53)+求节点(W$67:W$105,$O$67:$O$105,$AA53)</f>
        <v>3827.364711408637</v>
      </c>
      <c r="BE53" s="5">
        <f>求节点(X$6:X$44,$E$67:$E$105,$AA53)+求节点(X$6:X$44,$K$67:$K$105,$AA53)+求节点(X$67:X$105,$O$67:$O$105,$AA53)</f>
        <v>3924.7991856117478</v>
      </c>
      <c r="BF53" s="5">
        <f>求节点(T$6:T$44,$G$67:$G$105,$AA53)</f>
        <v>0</v>
      </c>
      <c r="BG53" s="5">
        <f>求节点(U$6:U$44,$G$67:$G$105,$AA53)</f>
        <v>0</v>
      </c>
      <c r="BH53" s="5">
        <f>求节点(V$6:V$44,$G$67:$G$105,$AA53)</f>
        <v>0</v>
      </c>
      <c r="BI53" s="5">
        <f>求节点(W$6:W$44,$G$67:$G$105,$AA53)</f>
        <v>0</v>
      </c>
      <c r="BJ53" s="5">
        <f>求节点(X$6:X$44,$G$67:$G$105,$AA53)</f>
        <v>0</v>
      </c>
      <c r="BK53" s="5">
        <f>求节点(T$6:T$44,$M$67:$M$105,$AA53)</f>
        <v>32.666666666666664</v>
      </c>
      <c r="BL53" s="5">
        <f>求节点(U$6:U$44,$M$67:$M$105,$AA53)</f>
        <v>33.276040171081448</v>
      </c>
      <c r="BM53" s="5">
        <f>求节点(V$6:V$44,$M$67:$M$105,$AA53)</f>
        <v>34.698981133616464</v>
      </c>
      <c r="BN53" s="5">
        <f>求节点(W$6:W$44,$M$67:$M$105,$AA53)</f>
        <v>36.801583763544585</v>
      </c>
      <c r="BO53" s="5">
        <f>求节点(X$6:X$44,$M$67:$M$105,$AA53)</f>
        <v>37.73845370780527</v>
      </c>
      <c r="BP53" s="5">
        <f>求节点(T$67:T$105,$L$67:$L$105,$AA53)</f>
        <v>0</v>
      </c>
      <c r="BQ53" s="5">
        <f>求节点(U$67:U$105,$L$67:$L$105,$AA53)</f>
        <v>0</v>
      </c>
      <c r="BR53" s="5">
        <f>求节点(V$67:V$105,$L$67:$L$105,$AA53)</f>
        <v>0</v>
      </c>
      <c r="BS53" s="5">
        <f>求节点(W$67:W$105,$L$67:$L$105,$AA53)</f>
        <v>0</v>
      </c>
      <c r="BT53" s="5">
        <f>求节点(X$67:X$105,$L$67:$L$105,$AA53)</f>
        <v>0</v>
      </c>
      <c r="BZ53" s="5">
        <v>49</v>
      </c>
      <c r="CA53" s="5">
        <f t="shared" si="9"/>
        <v>3397.333333333333</v>
      </c>
      <c r="CB53" s="5">
        <f t="shared" si="10"/>
        <v>3460.7081777924705</v>
      </c>
      <c r="CC53" s="5">
        <f t="shared" si="11"/>
        <v>3608.6940378961121</v>
      </c>
      <c r="CD53" s="5">
        <f t="shared" si="12"/>
        <v>3827.364711408637</v>
      </c>
      <c r="CE53" s="5">
        <f t="shared" si="13"/>
        <v>3924.7991856117478</v>
      </c>
      <c r="CF53" s="5">
        <f>(CA53-CA52)/节奏总纲!W52</f>
        <v>34.676415876806573</v>
      </c>
      <c r="CI53" s="5">
        <v>49</v>
      </c>
      <c r="CJ53" s="5">
        <f t="shared" si="14"/>
        <v>7839.9999999999991</v>
      </c>
      <c r="CK53" s="5">
        <f t="shared" si="15"/>
        <v>7986.2496410595477</v>
      </c>
      <c r="CL53" s="5">
        <f t="shared" si="16"/>
        <v>8327.7554720679509</v>
      </c>
      <c r="CM53" s="5">
        <f t="shared" si="17"/>
        <v>8832.3801032506999</v>
      </c>
      <c r="CN53" s="5">
        <f t="shared" si="18"/>
        <v>9057.2288898732641</v>
      </c>
      <c r="CO53" s="5">
        <f>(CJ53-CJ52)/节奏总纲!W52</f>
        <v>80.022498177245836</v>
      </c>
      <c r="CP53" s="5">
        <f t="shared" si="27"/>
        <v>114.69891405405241</v>
      </c>
      <c r="CR53" s="5">
        <v>49</v>
      </c>
      <c r="CS53" s="5">
        <f t="shared" si="28"/>
        <v>0</v>
      </c>
      <c r="CT53" s="5">
        <f t="shared" si="29"/>
        <v>0</v>
      </c>
      <c r="CU53" s="5">
        <f t="shared" si="30"/>
        <v>0</v>
      </c>
      <c r="CV53" s="5">
        <f t="shared" si="31"/>
        <v>0</v>
      </c>
      <c r="CW53" s="5">
        <f t="shared" si="32"/>
        <v>0</v>
      </c>
      <c r="CX53" s="5">
        <f t="shared" si="20"/>
        <v>0</v>
      </c>
      <c r="CY53" s="5">
        <f t="shared" si="21"/>
        <v>0</v>
      </c>
      <c r="CZ53" s="5">
        <f t="shared" si="22"/>
        <v>0</v>
      </c>
      <c r="DA53" s="5">
        <f t="shared" si="23"/>
        <v>0</v>
      </c>
      <c r="DB53" s="5">
        <f t="shared" si="24"/>
        <v>0</v>
      </c>
    </row>
    <row r="54" spans="2:106" x14ac:dyDescent="0.15">
      <c r="B54" s="28">
        <v>49</v>
      </c>
      <c r="C54" s="28"/>
      <c r="D54" s="30">
        <f t="shared" si="33"/>
        <v>26241000</v>
      </c>
      <c r="E54" s="28">
        <v>120</v>
      </c>
      <c r="F54" s="30">
        <f t="shared" si="34"/>
        <v>88200</v>
      </c>
      <c r="G54" s="28"/>
      <c r="H54" s="31">
        <v>27000</v>
      </c>
      <c r="I54" s="31">
        <f>ROUND(20*4/INDEX('[1]功能-付费相关'!$U$6:$U$165,基本信息!U52,1)/4000,0)*4000/2</f>
        <v>2006000</v>
      </c>
      <c r="J54" s="31">
        <f>ROUND(50*2/INDEX('[1]功能-付费相关'!$AS$6:$AS$165,基本信息!U52,1)/2000,0)*2000</f>
        <v>104000</v>
      </c>
      <c r="K54" s="28">
        <v>88</v>
      </c>
      <c r="L54" s="31"/>
      <c r="M54" s="31">
        <v>2</v>
      </c>
      <c r="N54" s="28">
        <v>0</v>
      </c>
      <c r="O54" s="28"/>
      <c r="P54" s="28">
        <v>0</v>
      </c>
      <c r="Q54" s="28">
        <v>0</v>
      </c>
      <c r="S54" s="28">
        <v>49</v>
      </c>
      <c r="T54" s="31">
        <f>基本信息!C52</f>
        <v>147</v>
      </c>
      <c r="U54" s="31">
        <f>基本信息!D52</f>
        <v>143.36236041426028</v>
      </c>
      <c r="V54" s="31">
        <f>基本信息!E52</f>
        <v>140.3403880410155</v>
      </c>
      <c r="W54" s="31">
        <f>基本信息!F52</f>
        <v>137.68215825717667</v>
      </c>
      <c r="X54" s="31">
        <f>基本信息!G52</f>
        <v>135.05058046985306</v>
      </c>
      <c r="AA54" s="5">
        <v>50</v>
      </c>
      <c r="AB54" s="5">
        <f>求节点(T$6:T$44,$C$67:$C$105,$AA54)</f>
        <v>0</v>
      </c>
      <c r="AC54" s="5">
        <f>求节点(U$6:U$44,$C$67:$C$105,$AA54)</f>
        <v>0</v>
      </c>
      <c r="AD54" s="5">
        <f>求节点(V$6:V$44,$C$67:$C$105,$AA54)</f>
        <v>0</v>
      </c>
      <c r="AE54" s="5">
        <f>求节点(W$6:W$44,$C$67:$C$105,$AA54)</f>
        <v>0</v>
      </c>
      <c r="AF54" s="5">
        <f>求节点(X$6:X$44,$C$67:$C$105,$AA54)</f>
        <v>0</v>
      </c>
      <c r="AG54" s="5">
        <f>求节点(T$6:T$44,$D$67:$D$105,$AA54)+求节点(T$67:T$105,$Q$67:$Q$105,$AA54)</f>
        <v>2243400</v>
      </c>
      <c r="AH54" s="5">
        <f>求节点(U$6:U$44,$D$67:$D$105,$AA54)+求节点(U$67:U$105,$Q$67:$Q$105,$AA54)</f>
        <v>2405199.210045266</v>
      </c>
      <c r="AI54" s="5">
        <f>求节点(V$6:V$44,$D$67:$D$105,$AA54)+求节点(V$67:V$105,$Q$67:$Q$105,$AA54)</f>
        <v>2958633.5131399711</v>
      </c>
      <c r="AJ54" s="5">
        <f>求节点(W$6:W$44,$D$67:$D$105,$AA54)+求节点(W$67:W$105,$Q$67:$Q$105,$AA54)</f>
        <v>3741608.5016752477</v>
      </c>
      <c r="AK54" s="5">
        <f>求节点(X$6:X$44,$D$67:$D$105,$AA54)+求节点(X$67:X$105,$Q$67:$Q$105,$AA54)</f>
        <v>4170395.0807535686</v>
      </c>
      <c r="AL54" s="5">
        <f>求节点(T$6:T$44,$F$67:$F$105,$AA54)+求节点(T$67:T$105,$P$67:$P$105,$AA54)</f>
        <v>532000</v>
      </c>
      <c r="AM54" s="5">
        <f>求节点(U$6:U$44,$F$67:$F$105,$AA54)+求节点(U$67:U$105,$P$67:$P$105,$AA54)</f>
        <v>544227.06245683681</v>
      </c>
      <c r="AN54" s="5">
        <f>求节点(V$6:V$44,$F$67:$F$105,$AA54)+求节点(V$67:V$105,$P$67:$P$105,$AA54)</f>
        <v>580092.31264798786</v>
      </c>
      <c r="AO54" s="5">
        <f>求节点(W$6:W$44,$F$67:$F$105,$AA54)+求节点(W$67:W$105,$P$67:$P$105,$AA54)</f>
        <v>624873.11882026098</v>
      </c>
      <c r="AP54" s="5">
        <f>求节点(X$6:X$44,$F$67:$F$105,$AA54)+求节点(X$67:X$105,$P$67:$P$105,$AA54)</f>
        <v>646969.86358661531</v>
      </c>
      <c r="AQ54" s="5">
        <f>求节点(T$6:T$44,$H$67:$H$105,$AA54)</f>
        <v>360600</v>
      </c>
      <c r="AR54" s="5">
        <f>求节点(U$6:U$44,$H$67:$H$105,$AA54)</f>
        <v>368137.23028161179</v>
      </c>
      <c r="AS54" s="5">
        <f>求节点(V$6:V$44,$H$67:$H$105,$AA54)</f>
        <v>389695.38758879271</v>
      </c>
      <c r="AT54" s="5">
        <f>求节点(W$6:W$44,$H$67:$H$105,$AA54)</f>
        <v>415796.03008861211</v>
      </c>
      <c r="AU54" s="5">
        <f>求节点(X$6:X$44,$H$67:$H$105,$AA54)</f>
        <v>428420.54826747114</v>
      </c>
      <c r="AV54" s="5">
        <f>求节点(T$6:T$44,$I$67:$I$105,$AA54)</f>
        <v>2628000</v>
      </c>
      <c r="AW54" s="5">
        <f>求节点(U$6:U$44,$I$67:$I$105,$AA54)</f>
        <v>2758645.3248812705</v>
      </c>
      <c r="AX54" s="5">
        <f>求节点(V$6:V$44,$I$67:$I$105,$AA54)</f>
        <v>3172510.8267166596</v>
      </c>
      <c r="AY54" s="5">
        <f>求节点(W$6:W$44,$I$67:$I$105,$AA54)</f>
        <v>3719781.0930211945</v>
      </c>
      <c r="AZ54" s="5">
        <f>求节点(X$6:X$44,$I$67:$I$105,$AA54)</f>
        <v>4002979.0031204228</v>
      </c>
      <c r="BA54" s="5">
        <f>求节点(T$6:T$44,$E$67:$E$105,$AA54)+求节点(T$6:T$44,$K$67:$K$105,$AA54)+求节点(T$67:T$105,$O$67:$O$105,$AA54)</f>
        <v>3466.666666666667</v>
      </c>
      <c r="BB54" s="5">
        <f>求节点(U$6:U$44,$E$67:$E$105,$AA54)+求节点(U$6:U$44,$K$67:$K$105,$AA54)+求节点(U$67:U$105,$O$67:$O$105,$AA54)</f>
        <v>3524.7312555027866</v>
      </c>
      <c r="BC54" s="5">
        <f>求节点(V$6:V$44,$E$67:$E$105,$AA54)+求节点(V$6:V$44,$K$67:$K$105,$AA54)+求节点(V$67:V$105,$O$67:$O$105,$AA54)</f>
        <v>3690.808911795144</v>
      </c>
      <c r="BD54" s="5">
        <f>求节点(W$6:W$44,$E$67:$E$105,$AA54)+求节点(W$6:W$44,$K$67:$K$105,$AA54)+求节点(W$67:W$105,$O$67:$O$105,$AA54)</f>
        <v>3891.8805280900488</v>
      </c>
      <c r="BE54" s="5">
        <f>求节点(X$6:X$44,$E$67:$E$105,$AA54)+求节点(X$6:X$44,$K$67:$K$105,$AA54)+求节点(X$67:X$105,$O$67:$O$105,$AA54)</f>
        <v>3989.1360755420001</v>
      </c>
      <c r="BF54" s="5">
        <f>求节点(T$6:T$44,$G$67:$G$105,$AA54)</f>
        <v>0</v>
      </c>
      <c r="BG54" s="5">
        <f>求节点(U$6:U$44,$G$67:$G$105,$AA54)</f>
        <v>0</v>
      </c>
      <c r="BH54" s="5">
        <f>求节点(V$6:V$44,$G$67:$G$105,$AA54)</f>
        <v>0</v>
      </c>
      <c r="BI54" s="5">
        <f>求节点(W$6:W$44,$G$67:$G$105,$AA54)</f>
        <v>0</v>
      </c>
      <c r="BJ54" s="5">
        <f>求节点(X$6:X$44,$G$67:$G$105,$AA54)</f>
        <v>0</v>
      </c>
      <c r="BK54" s="5">
        <f>求节点(T$6:T$44,$M$67:$M$105,$AA54)</f>
        <v>33.333333333333336</v>
      </c>
      <c r="BL54" s="5">
        <f>求节点(U$6:U$44,$M$67:$M$105,$AA54)</f>
        <v>33.891646687526794</v>
      </c>
      <c r="BM54" s="5">
        <f>求节点(V$6:V$44,$M$67:$M$105,$AA54)</f>
        <v>35.488547228799462</v>
      </c>
      <c r="BN54" s="5">
        <f>求节点(W$6:W$44,$M$67:$M$105,$AA54)</f>
        <v>37.421928154712006</v>
      </c>
      <c r="BO54" s="5">
        <f>求节点(X$6:X$44,$M$67:$M$105,$AA54)</f>
        <v>38.35707764944231</v>
      </c>
      <c r="BP54" s="5">
        <f>求节点(T$67:T$105,$L$67:$L$105,$AA54)</f>
        <v>0</v>
      </c>
      <c r="BQ54" s="5">
        <f>求节点(U$67:U$105,$L$67:$L$105,$AA54)</f>
        <v>0</v>
      </c>
      <c r="BR54" s="5">
        <f>求节点(V$67:V$105,$L$67:$L$105,$AA54)</f>
        <v>0</v>
      </c>
      <c r="BS54" s="5">
        <f>求节点(W$67:W$105,$L$67:$L$105,$AA54)</f>
        <v>0</v>
      </c>
      <c r="BT54" s="5">
        <f>求节点(X$67:X$105,$L$67:$L$105,$AA54)</f>
        <v>0</v>
      </c>
      <c r="BZ54" s="5">
        <v>50</v>
      </c>
      <c r="CA54" s="5">
        <f t="shared" si="9"/>
        <v>3466.666666666667</v>
      </c>
      <c r="CB54" s="5">
        <f t="shared" si="10"/>
        <v>3524.7312555027866</v>
      </c>
      <c r="CC54" s="5">
        <f t="shared" si="11"/>
        <v>3690.808911795144</v>
      </c>
      <c r="CD54" s="5">
        <f t="shared" si="12"/>
        <v>3891.8805280900488</v>
      </c>
      <c r="CE54" s="5">
        <f t="shared" si="13"/>
        <v>3989.1360755420001</v>
      </c>
      <c r="CF54" s="5">
        <f>(CA54-CA53)/节奏总纲!W53</f>
        <v>32.354240041311705</v>
      </c>
      <c r="CI54" s="5">
        <v>50</v>
      </c>
      <c r="CJ54" s="5">
        <f t="shared" si="14"/>
        <v>8000.0000000000009</v>
      </c>
      <c r="CK54" s="5">
        <f t="shared" si="15"/>
        <v>8133.9952050064303</v>
      </c>
      <c r="CL54" s="5">
        <f t="shared" si="16"/>
        <v>8517.2513349118708</v>
      </c>
      <c r="CM54" s="5">
        <f t="shared" si="17"/>
        <v>8981.2627571308822</v>
      </c>
      <c r="CN54" s="5">
        <f t="shared" si="18"/>
        <v>9205.6986358661543</v>
      </c>
      <c r="CO54" s="5">
        <f>(CJ54-CJ53)/节奏总纲!W53</f>
        <v>74.663630864565675</v>
      </c>
      <c r="CP54" s="5">
        <f t="shared" si="27"/>
        <v>107.01787090587737</v>
      </c>
      <c r="CR54" s="5">
        <v>50</v>
      </c>
      <c r="CS54" s="5">
        <f t="shared" si="28"/>
        <v>0</v>
      </c>
      <c r="CT54" s="5">
        <f t="shared" si="29"/>
        <v>0</v>
      </c>
      <c r="CU54" s="5">
        <f t="shared" si="30"/>
        <v>0</v>
      </c>
      <c r="CV54" s="5">
        <f t="shared" si="31"/>
        <v>0</v>
      </c>
      <c r="CW54" s="5">
        <f t="shared" si="32"/>
        <v>0</v>
      </c>
      <c r="CX54" s="5">
        <f t="shared" si="20"/>
        <v>0</v>
      </c>
      <c r="CY54" s="5">
        <f t="shared" si="21"/>
        <v>0</v>
      </c>
      <c r="CZ54" s="5">
        <f t="shared" si="22"/>
        <v>0</v>
      </c>
      <c r="DA54" s="5">
        <f t="shared" si="23"/>
        <v>0</v>
      </c>
      <c r="DB54" s="5">
        <f t="shared" si="24"/>
        <v>0</v>
      </c>
    </row>
    <row r="55" spans="2:106" x14ac:dyDescent="0.15">
      <c r="B55" s="28">
        <v>50</v>
      </c>
      <c r="C55" s="28"/>
      <c r="D55" s="30">
        <f t="shared" si="33"/>
        <v>26241000</v>
      </c>
      <c r="E55" s="28">
        <v>120</v>
      </c>
      <c r="F55" s="30">
        <f t="shared" si="34"/>
        <v>88200</v>
      </c>
      <c r="G55" s="28"/>
      <c r="H55" s="31">
        <v>27000</v>
      </c>
      <c r="I55" s="31">
        <f>ROUND(20*4/INDEX('[1]功能-付费相关'!$U$6:$U$165,基本信息!U53,1)/4000,0)*4000/2</f>
        <v>2006000</v>
      </c>
      <c r="J55" s="31">
        <f>ROUND(50*2/INDEX('[1]功能-付费相关'!$AS$6:$AS$165,基本信息!U53,1)/2000,0)*2000</f>
        <v>104000</v>
      </c>
      <c r="K55" s="28">
        <v>88</v>
      </c>
      <c r="L55" s="31"/>
      <c r="M55" s="31">
        <v>2</v>
      </c>
      <c r="N55" s="28">
        <v>0</v>
      </c>
      <c r="O55" s="28"/>
      <c r="P55" s="28">
        <v>0</v>
      </c>
      <c r="Q55" s="28">
        <v>0</v>
      </c>
      <c r="S55" s="28">
        <v>50</v>
      </c>
      <c r="T55" s="31">
        <f>基本信息!C53</f>
        <v>150</v>
      </c>
      <c r="U55" s="31">
        <f>基本信息!D53</f>
        <v>146.29363241059752</v>
      </c>
      <c r="V55" s="31">
        <f>基本信息!E53</f>
        <v>143.22559051690689</v>
      </c>
      <c r="W55" s="31">
        <f>基本信息!F53</f>
        <v>140.70061978068478</v>
      </c>
      <c r="X55" s="31">
        <f>基本信息!G53</f>
        <v>138.36886862427824</v>
      </c>
      <c r="AA55" s="5">
        <v>51</v>
      </c>
      <c r="AB55" s="5">
        <f>求节点(T$6:T$44,$C$67:$C$105,$AA55)</f>
        <v>0</v>
      </c>
      <c r="AC55" s="5">
        <f>求节点(U$6:U$44,$C$67:$C$105,$AA55)</f>
        <v>0</v>
      </c>
      <c r="AD55" s="5">
        <f>求节点(V$6:V$44,$C$67:$C$105,$AA55)</f>
        <v>0</v>
      </c>
      <c r="AE55" s="5">
        <f>求节点(W$6:W$44,$C$67:$C$105,$AA55)</f>
        <v>0</v>
      </c>
      <c r="AF55" s="5">
        <f>求节点(X$6:X$44,$C$67:$C$105,$AA55)</f>
        <v>0</v>
      </c>
      <c r="AG55" s="5">
        <f>求节点(T$6:T$44,$D$67:$D$105,$AA55)+求节点(T$67:T$105,$Q$67:$Q$105,$AA55)</f>
        <v>2436600</v>
      </c>
      <c r="AH55" s="5">
        <f>求节点(U$6:U$44,$D$67:$D$105,$AA55)+求节点(U$67:U$105,$Q$67:$Q$105,$AA55)</f>
        <v>2633946.4226655662</v>
      </c>
      <c r="AI55" s="5">
        <f>求节点(V$6:V$44,$D$67:$D$105,$AA55)+求节点(V$67:V$105,$Q$67:$Q$105,$AA55)</f>
        <v>3282259.1112450408</v>
      </c>
      <c r="AJ55" s="5">
        <f>求节点(W$6:W$44,$D$67:$D$105,$AA55)+求节点(W$67:W$105,$Q$67:$Q$105,$AA55)</f>
        <v>4011723.182944872</v>
      </c>
      <c r="AK55" s="5">
        <f>求节点(X$6:X$44,$D$67:$D$105,$AA55)+求节点(X$67:X$105,$Q$67:$Q$105,$AA55)</f>
        <v>4531246.6208222425</v>
      </c>
      <c r="AL55" s="5">
        <f>求节点(T$6:T$44,$F$67:$F$105,$AA55)+求节点(T$67:T$105,$P$67:$P$105,$AA55)</f>
        <v>546600</v>
      </c>
      <c r="AM55" s="5">
        <f>求节点(U$6:U$44,$F$67:$F$105,$AA55)+求节点(U$67:U$105,$P$67:$P$105,$AA55)</f>
        <v>559261.23327623389</v>
      </c>
      <c r="AN55" s="5">
        <f>求节点(V$6:V$44,$F$67:$F$105,$AA55)+求节点(V$67:V$105,$P$67:$P$105,$AA55)</f>
        <v>599552.09235131671</v>
      </c>
      <c r="AO55" s="5">
        <f>求节点(W$6:W$44,$F$67:$F$105,$AA55)+求节点(W$67:W$105,$P$67:$P$105,$AA55)</f>
        <v>639555.28892265761</v>
      </c>
      <c r="AP55" s="5">
        <f>求节点(X$6:X$44,$F$67:$F$105,$AA55)+求节点(X$67:X$105,$P$67:$P$105,$AA55)</f>
        <v>663832.08508515148</v>
      </c>
      <c r="AQ55" s="5">
        <f>求节点(T$6:T$44,$H$67:$H$105,$AA55)</f>
        <v>369600</v>
      </c>
      <c r="AR55" s="5">
        <f>求节点(U$6:U$44,$H$67:$H$105,$AA55)</f>
        <v>377196.73996574036</v>
      </c>
      <c r="AS55" s="5">
        <f>求节点(V$6:V$44,$H$67:$H$105,$AA55)</f>
        <v>401187.74558729812</v>
      </c>
      <c r="AT55" s="5">
        <f>求节点(W$6:W$44,$H$67:$H$105,$AA55)</f>
        <v>424249.85001899488</v>
      </c>
      <c r="AU55" s="5">
        <f>求节点(X$6:X$44,$H$67:$H$105,$AA55)</f>
        <v>437905.54786039772</v>
      </c>
      <c r="AV55" s="5">
        <f>求节点(T$6:T$44,$I$67:$I$105,$AA55)</f>
        <v>2784000</v>
      </c>
      <c r="AW55" s="5">
        <f>求节点(U$6:U$44,$I$67:$I$105,$AA55)</f>
        <v>2930870.3060043133</v>
      </c>
      <c r="AX55" s="5">
        <f>求节点(V$6:V$44,$I$67:$I$105,$AA55)</f>
        <v>3404891.4048817595</v>
      </c>
      <c r="AY55" s="5">
        <f>求节点(W$6:W$44,$I$67:$I$105,$AA55)</f>
        <v>3903500.1263789888</v>
      </c>
      <c r="AZ55" s="5">
        <f>求节点(X$6:X$44,$I$67:$I$105,$AA55)</f>
        <v>4229213.8082257826</v>
      </c>
      <c r="BA55" s="5">
        <f>求节点(T$6:T$44,$E$67:$E$105,$AA55)+求节点(T$6:T$44,$K$67:$K$105,$AA55)+求节点(T$67:T$105,$O$67:$O$105,$AA55)</f>
        <v>3536</v>
      </c>
      <c r="BB55" s="5">
        <f>求节点(U$6:U$44,$E$67:$E$105,$AA55)+求节点(U$6:U$44,$K$67:$K$105,$AA55)+求节点(U$67:U$105,$O$67:$O$105,$AA55)</f>
        <v>3594.5230338101483</v>
      </c>
      <c r="BC55" s="5">
        <f>求节点(V$6:V$44,$E$67:$E$105,$AA55)+求节点(V$6:V$44,$K$67:$K$105,$AA55)+求节点(V$67:V$105,$O$67:$O$105,$AA55)</f>
        <v>3779.3426326725189</v>
      </c>
      <c r="BD55" s="5">
        <f>求节点(W$6:W$44,$E$67:$E$105,$AA55)+求节点(W$6:W$44,$K$67:$K$105,$AA55)+求节点(W$67:W$105,$O$67:$O$105,$AA55)</f>
        <v>3957.006251998183</v>
      </c>
      <c r="BE55" s="5">
        <f>求节点(X$6:X$44,$E$67:$E$105,$AA55)+求节点(X$6:X$44,$K$67:$K$105,$AA55)+求节点(X$67:X$105,$O$67:$O$105,$AA55)</f>
        <v>4062.2057020356565</v>
      </c>
      <c r="BF55" s="5">
        <f>求节点(T$6:T$44,$G$67:$G$105,$AA55)</f>
        <v>0</v>
      </c>
      <c r="BG55" s="5">
        <f>求节点(U$6:U$44,$G$67:$G$105,$AA55)</f>
        <v>0</v>
      </c>
      <c r="BH55" s="5">
        <f>求节点(V$6:V$44,$G$67:$G$105,$AA55)</f>
        <v>0</v>
      </c>
      <c r="BI55" s="5">
        <f>求节点(W$6:W$44,$G$67:$G$105,$AA55)</f>
        <v>0</v>
      </c>
      <c r="BJ55" s="5">
        <f>求节点(X$6:X$44,$G$67:$G$105,$AA55)</f>
        <v>0</v>
      </c>
      <c r="BK55" s="5">
        <f>求节点(T$6:T$44,$M$67:$M$105,$AA55)</f>
        <v>34</v>
      </c>
      <c r="BL55" s="5">
        <f>求节点(U$6:U$44,$M$67:$M$105,$AA55)</f>
        <v>34.562721478943729</v>
      </c>
      <c r="BM55" s="5">
        <f>求节点(V$6:V$44,$M$67:$M$105,$AA55)</f>
        <v>36.339833006466527</v>
      </c>
      <c r="BN55" s="5">
        <f>求节点(W$6:W$44,$M$67:$M$105,$AA55)</f>
        <v>38.048137038444068</v>
      </c>
      <c r="BO55" s="5">
        <f>求节点(X$6:X$44,$M$67:$M$105,$AA55)</f>
        <v>39.059670211881311</v>
      </c>
      <c r="BP55" s="5">
        <f>求节点(T$67:T$105,$L$67:$L$105,$AA55)</f>
        <v>0</v>
      </c>
      <c r="BQ55" s="5">
        <f>求节点(U$67:U$105,$L$67:$L$105,$AA55)</f>
        <v>0</v>
      </c>
      <c r="BR55" s="5">
        <f>求节点(V$67:V$105,$L$67:$L$105,$AA55)</f>
        <v>0</v>
      </c>
      <c r="BS55" s="5">
        <f>求节点(W$67:W$105,$L$67:$L$105,$AA55)</f>
        <v>0</v>
      </c>
      <c r="BT55" s="5">
        <f>求节点(X$67:X$105,$L$67:$L$105,$AA55)</f>
        <v>0</v>
      </c>
      <c r="BZ55" s="5">
        <v>51</v>
      </c>
      <c r="CA55" s="5">
        <f t="shared" si="9"/>
        <v>3536</v>
      </c>
      <c r="CB55" s="5">
        <f t="shared" si="10"/>
        <v>3594.5230338101483</v>
      </c>
      <c r="CC55" s="5">
        <f t="shared" si="11"/>
        <v>3779.3426326725189</v>
      </c>
      <c r="CD55" s="5">
        <f t="shared" si="12"/>
        <v>3957.006251998183</v>
      </c>
      <c r="CE55" s="5">
        <f t="shared" si="13"/>
        <v>4062.2057020356565</v>
      </c>
      <c r="CF55" s="5">
        <f>(CA55-CA54)/节奏总纲!W54</f>
        <v>30.187573374644828</v>
      </c>
      <c r="CI55" s="5">
        <v>51</v>
      </c>
      <c r="CJ55" s="5">
        <f t="shared" si="14"/>
        <v>8160</v>
      </c>
      <c r="CK55" s="5">
        <f t="shared" si="15"/>
        <v>8295.053154946494</v>
      </c>
      <c r="CL55" s="5">
        <f t="shared" si="16"/>
        <v>8721.5599215519669</v>
      </c>
      <c r="CM55" s="5">
        <f t="shared" si="17"/>
        <v>9131.5528892265756</v>
      </c>
      <c r="CN55" s="5">
        <f t="shared" si="18"/>
        <v>9374.3208508515145</v>
      </c>
      <c r="CO55" s="5">
        <f>(CJ55-CJ54)/节奏总纲!W54</f>
        <v>69.663630864564894</v>
      </c>
      <c r="CP55" s="5">
        <f t="shared" si="27"/>
        <v>99.851204239209721</v>
      </c>
      <c r="CR55" s="5">
        <v>51</v>
      </c>
      <c r="CS55" s="5">
        <f t="shared" si="28"/>
        <v>0</v>
      </c>
      <c r="CT55" s="5">
        <f t="shared" si="29"/>
        <v>0</v>
      </c>
      <c r="CU55" s="5">
        <f t="shared" si="30"/>
        <v>0</v>
      </c>
      <c r="CV55" s="5">
        <f t="shared" si="31"/>
        <v>0</v>
      </c>
      <c r="CW55" s="5">
        <f t="shared" si="32"/>
        <v>0</v>
      </c>
      <c r="CX55" s="5">
        <f t="shared" si="20"/>
        <v>0</v>
      </c>
      <c r="CY55" s="5">
        <f t="shared" si="21"/>
        <v>0</v>
      </c>
      <c r="CZ55" s="5">
        <f t="shared" si="22"/>
        <v>0</v>
      </c>
      <c r="DA55" s="5">
        <f t="shared" si="23"/>
        <v>0</v>
      </c>
      <c r="DB55" s="5">
        <f t="shared" si="24"/>
        <v>0</v>
      </c>
    </row>
    <row r="56" spans="2:106" x14ac:dyDescent="0.15">
      <c r="B56" s="28">
        <v>51</v>
      </c>
      <c r="C56" s="28"/>
      <c r="D56" s="30">
        <f t="shared" si="33"/>
        <v>26241000</v>
      </c>
      <c r="E56" s="28">
        <v>120</v>
      </c>
      <c r="F56" s="30">
        <f t="shared" si="34"/>
        <v>88200</v>
      </c>
      <c r="G56" s="28"/>
      <c r="H56" s="31">
        <v>27000</v>
      </c>
      <c r="I56" s="31">
        <f>ROUND(20*4/INDEX('[1]功能-付费相关'!$U$6:$U$165,基本信息!U54,1)/4000,0)*4000/2</f>
        <v>2350000</v>
      </c>
      <c r="J56" s="31">
        <f>ROUND(50*2/INDEX('[1]功能-付费相关'!$AS$6:$AS$165,基本信息!U54,1)/2000,0)*2000</f>
        <v>106000</v>
      </c>
      <c r="K56" s="28">
        <v>88</v>
      </c>
      <c r="L56" s="31"/>
      <c r="M56" s="31">
        <v>2</v>
      </c>
      <c r="N56" s="28">
        <v>0</v>
      </c>
      <c r="O56" s="28"/>
      <c r="P56" s="28">
        <v>0</v>
      </c>
      <c r="Q56" s="28">
        <v>0</v>
      </c>
      <c r="S56" s="28">
        <v>51</v>
      </c>
      <c r="T56" s="31">
        <f>基本信息!C54</f>
        <v>153</v>
      </c>
      <c r="U56" s="31">
        <f>基本信息!D54</f>
        <v>149.22724439493442</v>
      </c>
      <c r="V56" s="31">
        <f>基本信息!E54</f>
        <v>146.18094645470723</v>
      </c>
      <c r="W56" s="31">
        <f>基本信息!F54</f>
        <v>143.69564459576247</v>
      </c>
      <c r="X56" s="31">
        <f>基本信息!G54</f>
        <v>141.61624630282981</v>
      </c>
      <c r="AA56" s="5">
        <v>52</v>
      </c>
      <c r="AB56" s="5">
        <f>求节点(T$6:T$44,$C$67:$C$105,$AA56)</f>
        <v>0</v>
      </c>
      <c r="AC56" s="5">
        <f>求节点(U$6:U$44,$C$67:$C$105,$AA56)</f>
        <v>0</v>
      </c>
      <c r="AD56" s="5">
        <f>求节点(V$6:V$44,$C$67:$C$105,$AA56)</f>
        <v>0</v>
      </c>
      <c r="AE56" s="5">
        <f>求节点(W$6:W$44,$C$67:$C$105,$AA56)</f>
        <v>0</v>
      </c>
      <c r="AF56" s="5">
        <f>求节点(X$6:X$44,$C$67:$C$105,$AA56)</f>
        <v>0</v>
      </c>
      <c r="AG56" s="5">
        <f>求节点(T$6:T$44,$D$67:$D$105,$AA56)+求节点(T$67:T$105,$Q$67:$Q$105,$AA56)</f>
        <v>2670400</v>
      </c>
      <c r="AH56" s="5">
        <f>求节点(U$6:U$44,$D$67:$D$105,$AA56)+求节点(U$67:U$105,$Q$67:$Q$105,$AA56)</f>
        <v>2873447.6083431859</v>
      </c>
      <c r="AI56" s="5">
        <f>求节点(V$6:V$44,$D$67:$D$105,$AA56)+求节点(V$67:V$105,$Q$67:$Q$105,$AA56)</f>
        <v>3691811.9565718616</v>
      </c>
      <c r="AJ56" s="5">
        <f>求节点(W$6:W$44,$D$67:$D$105,$AA56)+求节点(W$67:W$105,$Q$67:$Q$105,$AA56)</f>
        <v>4374532.8399596494</v>
      </c>
      <c r="AK56" s="5">
        <f>求节点(X$6:X$44,$D$67:$D$105,$AA56)+求节点(X$67:X$105,$Q$67:$Q$105,$AA56)</f>
        <v>4892098.1608909164</v>
      </c>
      <c r="AL56" s="5">
        <f>求节点(T$6:T$44,$F$67:$F$105,$AA56)+求节点(T$67:T$105,$P$67:$P$105,$AA56)</f>
        <v>561600</v>
      </c>
      <c r="AM56" s="5">
        <f>求节点(U$6:U$44,$F$67:$F$105,$AA56)+求节点(U$67:U$105,$P$67:$P$105,$AA56)</f>
        <v>574627.00652330101</v>
      </c>
      <c r="AN56" s="5">
        <f>求节点(V$6:V$44,$F$67:$F$105,$AA56)+求节点(V$67:V$105,$P$67:$P$105,$AA56)</f>
        <v>622128.15025625809</v>
      </c>
      <c r="AO56" s="5">
        <f>求节点(W$6:W$44,$F$67:$F$105,$AA56)+求节点(W$67:W$105,$P$67:$P$105,$AA56)</f>
        <v>656509.01121306769</v>
      </c>
      <c r="AP56" s="5">
        <f>求节点(X$6:X$44,$F$67:$F$105,$AA56)+求节点(X$67:X$105,$P$67:$P$105,$AA56)</f>
        <v>680694.30658368766</v>
      </c>
      <c r="AQ56" s="5">
        <f>求节点(T$6:T$44,$H$67:$H$105,$AA56)</f>
        <v>378600</v>
      </c>
      <c r="AR56" s="5">
        <f>求节点(U$6:U$44,$H$67:$H$105,$AA56)</f>
        <v>386416.20391398063</v>
      </c>
      <c r="AS56" s="5">
        <f>求节点(V$6:V$44,$H$67:$H$105,$AA56)</f>
        <v>414212.39437861042</v>
      </c>
      <c r="AT56" s="5">
        <f>求节点(W$6:W$44,$H$67:$H$105,$AA56)</f>
        <v>433786.31880735059</v>
      </c>
      <c r="AU56" s="5">
        <f>求节点(X$6:X$44,$H$67:$H$105,$AA56)</f>
        <v>447390.54745332431</v>
      </c>
      <c r="AV56" s="5">
        <f>求节点(T$6:T$44,$I$67:$I$105,$AA56)</f>
        <v>2958000</v>
      </c>
      <c r="AW56" s="5">
        <f>求节点(U$6:U$44,$I$67:$I$105,$AA56)</f>
        <v>3109113.2756702923</v>
      </c>
      <c r="AX56" s="5">
        <f>求节点(V$6:V$44,$I$67:$I$105,$AA56)</f>
        <v>3685644.9454944916</v>
      </c>
      <c r="AY56" s="5">
        <f>求节点(W$6:W$44,$I$67:$I$105,$AA56)</f>
        <v>4130962.5671086586</v>
      </c>
      <c r="AZ56" s="5">
        <f>求节点(X$6:X$44,$I$67:$I$105,$AA56)</f>
        <v>4455448.6133311428</v>
      </c>
      <c r="BA56" s="5">
        <f>求节点(T$6:T$44,$E$67:$E$105,$AA56)+求节点(T$6:T$44,$K$67:$K$105,$AA56)+求节点(T$67:T$105,$O$67:$O$105,$AA56)</f>
        <v>3605.333333333333</v>
      </c>
      <c r="BB56" s="5">
        <f>求节点(U$6:U$44,$E$67:$E$105,$AA56)+求节点(U$6:U$44,$K$67:$K$105,$AA56)+求节点(U$67:U$105,$O$67:$O$105,$AA56)</f>
        <v>3665.5470523743693</v>
      </c>
      <c r="BC56" s="5">
        <f>求节点(V$6:V$44,$E$67:$E$105,$AA56)+求节点(V$6:V$44,$K$67:$K$105,$AA56)+求节点(V$67:V$105,$O$67:$O$105,$AA56)</f>
        <v>3879.6806678055918</v>
      </c>
      <c r="BD56" s="5">
        <f>求节点(W$6:W$44,$E$67:$E$105,$AA56)+求节点(W$6:W$44,$K$67:$K$105,$AA56)+求节点(W$67:W$105,$O$67:$O$105,$AA56)</f>
        <v>4030.4723819232936</v>
      </c>
      <c r="BE56" s="5">
        <f>求节点(X$6:X$44,$E$67:$E$105,$AA56)+求节点(X$6:X$44,$K$67:$K$105,$AA56)+求节点(X$67:X$105,$O$67:$O$105,$AA56)</f>
        <v>4135.2753285293129</v>
      </c>
      <c r="BF56" s="5">
        <f>求节点(T$6:T$44,$G$67:$G$105,$AA56)</f>
        <v>0</v>
      </c>
      <c r="BG56" s="5">
        <f>求节点(U$6:U$44,$G$67:$G$105,$AA56)</f>
        <v>0</v>
      </c>
      <c r="BH56" s="5">
        <f>求节点(V$6:V$44,$G$67:$G$105,$AA56)</f>
        <v>0</v>
      </c>
      <c r="BI56" s="5">
        <f>求节点(W$6:W$44,$G$67:$G$105,$AA56)</f>
        <v>0</v>
      </c>
      <c r="BJ56" s="5">
        <f>求节点(X$6:X$44,$G$67:$G$105,$AA56)</f>
        <v>0</v>
      </c>
      <c r="BK56" s="5">
        <f>求节点(T$6:T$44,$M$67:$M$105,$AA56)</f>
        <v>34.666666666666664</v>
      </c>
      <c r="BL56" s="5">
        <f>求节点(U$6:U$44,$M$67:$M$105,$AA56)</f>
        <v>35.245644734368938</v>
      </c>
      <c r="BM56" s="5">
        <f>求节点(V$6:V$44,$M$67:$M$105,$AA56)</f>
        <v>37.304621805822997</v>
      </c>
      <c r="BN56" s="5">
        <f>求节点(W$6:W$44,$M$67:$M$105,$AA56)</f>
        <v>38.75454213387782</v>
      </c>
      <c r="BO56" s="5">
        <f>求节点(X$6:X$44,$M$67:$M$105,$AA56)</f>
        <v>39.76226277432032</v>
      </c>
      <c r="BP56" s="5">
        <f>求节点(T$67:T$105,$L$67:$L$105,$AA56)</f>
        <v>0</v>
      </c>
      <c r="BQ56" s="5">
        <f>求节点(U$67:U$105,$L$67:$L$105,$AA56)</f>
        <v>0</v>
      </c>
      <c r="BR56" s="5">
        <f>求节点(V$67:V$105,$L$67:$L$105,$AA56)</f>
        <v>0</v>
      </c>
      <c r="BS56" s="5">
        <f>求节点(W$67:W$105,$L$67:$L$105,$AA56)</f>
        <v>0</v>
      </c>
      <c r="BT56" s="5">
        <f>求节点(X$67:X$105,$L$67:$L$105,$AA56)</f>
        <v>0</v>
      </c>
      <c r="BZ56" s="5">
        <v>52</v>
      </c>
      <c r="CA56" s="5">
        <f t="shared" si="9"/>
        <v>3605.333333333333</v>
      </c>
      <c r="CB56" s="5">
        <f t="shared" si="10"/>
        <v>3665.5470523743693</v>
      </c>
      <c r="CC56" s="5">
        <f t="shared" si="11"/>
        <v>3879.6806678055918</v>
      </c>
      <c r="CD56" s="5">
        <f t="shared" si="12"/>
        <v>4030.4723819232936</v>
      </c>
      <c r="CE56" s="5">
        <f t="shared" si="13"/>
        <v>4135.2753285293129</v>
      </c>
      <c r="CF56" s="5">
        <f>(CA56-CA55)/节奏总纲!W55</f>
        <v>28.166001892981345</v>
      </c>
      <c r="CI56" s="5">
        <v>52</v>
      </c>
      <c r="CJ56" s="5">
        <f t="shared" si="14"/>
        <v>8320</v>
      </c>
      <c r="CK56" s="5">
        <f t="shared" si="15"/>
        <v>8458.9547362485446</v>
      </c>
      <c r="CL56" s="5">
        <f t="shared" si="16"/>
        <v>8953.1092333975193</v>
      </c>
      <c r="CM56" s="5">
        <f t="shared" si="17"/>
        <v>9301.0901121306761</v>
      </c>
      <c r="CN56" s="5">
        <f t="shared" si="18"/>
        <v>9542.9430658368765</v>
      </c>
      <c r="CO56" s="5">
        <f>(CJ56-CJ55)/节奏总纲!W55</f>
        <v>64.998465906880313</v>
      </c>
      <c r="CP56" s="5">
        <f t="shared" si="27"/>
        <v>93.164467799861654</v>
      </c>
      <c r="CR56" s="5">
        <v>52</v>
      </c>
      <c r="CS56" s="5">
        <f t="shared" si="28"/>
        <v>0</v>
      </c>
      <c r="CT56" s="5">
        <f t="shared" si="29"/>
        <v>0</v>
      </c>
      <c r="CU56" s="5">
        <f t="shared" si="30"/>
        <v>0</v>
      </c>
      <c r="CV56" s="5">
        <f t="shared" si="31"/>
        <v>0</v>
      </c>
      <c r="CW56" s="5">
        <f t="shared" si="32"/>
        <v>0</v>
      </c>
      <c r="CX56" s="5">
        <f t="shared" si="20"/>
        <v>0</v>
      </c>
      <c r="CY56" s="5">
        <f t="shared" si="21"/>
        <v>0</v>
      </c>
      <c r="CZ56" s="5">
        <f t="shared" si="22"/>
        <v>0</v>
      </c>
      <c r="DA56" s="5">
        <f t="shared" si="23"/>
        <v>0</v>
      </c>
      <c r="DB56" s="5">
        <f t="shared" si="24"/>
        <v>0</v>
      </c>
    </row>
    <row r="57" spans="2:106" x14ac:dyDescent="0.15">
      <c r="B57" s="28">
        <v>52</v>
      </c>
      <c r="C57" s="28"/>
      <c r="D57" s="29">
        <f t="shared" ref="D57" si="37">D56*1.2</f>
        <v>31489200</v>
      </c>
      <c r="E57" s="28">
        <v>120</v>
      </c>
      <c r="F57" s="30">
        <f t="shared" si="34"/>
        <v>88200</v>
      </c>
      <c r="G57" s="28"/>
      <c r="H57" s="31">
        <v>27000</v>
      </c>
      <c r="I57" s="31">
        <f>ROUND(20*4/INDEX('[1]功能-付费相关'!$U$6:$U$165,基本信息!U55,1)/4000,0)*4000/2</f>
        <v>2350000</v>
      </c>
      <c r="J57" s="31">
        <f>ROUND(50*2/INDEX('[1]功能-付费相关'!$AS$6:$AS$165,基本信息!U55,1)/2000,0)*2000</f>
        <v>106000</v>
      </c>
      <c r="K57" s="28">
        <v>88</v>
      </c>
      <c r="L57" s="31"/>
      <c r="M57" s="31">
        <v>2</v>
      </c>
      <c r="N57" s="28">
        <v>0</v>
      </c>
      <c r="O57" s="28"/>
      <c r="P57" s="28">
        <v>0</v>
      </c>
      <c r="Q57" s="28">
        <v>0</v>
      </c>
      <c r="S57" s="28">
        <v>52</v>
      </c>
      <c r="T57" s="31">
        <f>基本信息!C55</f>
        <v>156</v>
      </c>
      <c r="U57" s="31">
        <f>基本信息!D55</f>
        <v>151.87386680858575</v>
      </c>
      <c r="V57" s="31">
        <f>基本信息!E55</f>
        <v>148.70542536375274</v>
      </c>
      <c r="W57" s="31">
        <f>基本信息!F55</f>
        <v>146.41614684728927</v>
      </c>
      <c r="X57" s="31">
        <f>基本信息!G55</f>
        <v>144.48550825462956</v>
      </c>
      <c r="AA57" s="5">
        <v>53</v>
      </c>
      <c r="AB57" s="5">
        <f>求节点(T$6:T$44,$C$67:$C$105,$AA57)</f>
        <v>0</v>
      </c>
      <c r="AC57" s="5">
        <f>求节点(U$6:U$44,$C$67:$C$105,$AA57)</f>
        <v>0</v>
      </c>
      <c r="AD57" s="5">
        <f>求节点(V$6:V$44,$C$67:$C$105,$AA57)</f>
        <v>0</v>
      </c>
      <c r="AE57" s="5">
        <f>求节点(W$6:W$44,$C$67:$C$105,$AA57)</f>
        <v>0</v>
      </c>
      <c r="AF57" s="5">
        <f>求节点(X$6:X$44,$C$67:$C$105,$AA57)</f>
        <v>0</v>
      </c>
      <c r="AG57" s="5">
        <f>求节点(T$6:T$44,$D$67:$D$105,$AA57)+求节点(T$67:T$105,$Q$67:$Q$105,$AA57)</f>
        <v>2904200</v>
      </c>
      <c r="AH57" s="5">
        <f>求节点(U$6:U$44,$D$67:$D$105,$AA57)+求节点(U$67:U$105,$Q$67:$Q$105,$AA57)</f>
        <v>3112948.7940208055</v>
      </c>
      <c r="AI57" s="5">
        <f>求节点(V$6:V$44,$D$67:$D$105,$AA57)+求节点(V$67:V$105,$Q$67:$Q$105,$AA57)</f>
        <v>4058404.3499243883</v>
      </c>
      <c r="AJ57" s="5">
        <f>求节点(W$6:W$44,$D$67:$D$105,$AA57)+求节点(W$67:W$105,$Q$67:$Q$105,$AA57)</f>
        <v>4737342.4969744273</v>
      </c>
      <c r="AK57" s="5">
        <f>求节点(X$6:X$44,$D$67:$D$105,$AA57)+求节点(X$67:X$105,$Q$67:$Q$105,$AA57)</f>
        <v>5239063.5893063601</v>
      </c>
      <c r="AL57" s="5">
        <f>求节点(T$6:T$44,$F$67:$F$105,$AA57)+求节点(T$67:T$105,$P$67:$P$105,$AA57)</f>
        <v>576600</v>
      </c>
      <c r="AM57" s="5">
        <f>求节点(U$6:U$44,$F$67:$F$105,$AA57)+求节点(U$67:U$105,$P$67:$P$105,$AA57)</f>
        <v>589992.77977036813</v>
      </c>
      <c r="AN57" s="5">
        <f>求节点(V$6:V$44,$F$67:$F$105,$AA57)+求节点(V$67:V$105,$P$67:$P$105,$AA57)</f>
        <v>641736.65186562564</v>
      </c>
      <c r="AO57" s="5">
        <f>求节点(W$6:W$44,$F$67:$F$105,$AA57)+求节点(W$67:W$105,$P$67:$P$105,$AA57)</f>
        <v>673462.73350347788</v>
      </c>
      <c r="AP57" s="5">
        <f>求节点(X$6:X$44,$F$67:$F$105,$AA57)+求节点(X$67:X$105,$P$67:$P$105,$AA57)</f>
        <v>695303.33863984619</v>
      </c>
      <c r="AQ57" s="5">
        <f>求节点(T$6:T$44,$H$67:$H$105,$AA57)</f>
        <v>387600</v>
      </c>
      <c r="AR57" s="5">
        <f>求节点(U$6:U$44,$H$67:$H$105,$AA57)</f>
        <v>395635.6678622209</v>
      </c>
      <c r="AS57" s="5">
        <f>求节点(V$6:V$44,$H$67:$H$105,$AA57)</f>
        <v>425476.86667441443</v>
      </c>
      <c r="AT57" s="5">
        <f>求节点(W$6:W$44,$H$67:$H$105,$AA57)</f>
        <v>443322.78759570629</v>
      </c>
      <c r="AU57" s="5">
        <f>求节点(X$6:X$44,$H$67:$H$105,$AA57)</f>
        <v>455485.97852186684</v>
      </c>
      <c r="AV57" s="5">
        <f>求节点(T$6:T$44,$I$67:$I$105,$AA57)</f>
        <v>3132000</v>
      </c>
      <c r="AW57" s="5">
        <f>求节点(U$6:U$44,$I$67:$I$105,$AA57)</f>
        <v>3287356.2453362709</v>
      </c>
      <c r="AX57" s="5">
        <f>求节点(V$6:V$44,$I$67:$I$105,$AA57)</f>
        <v>3932766.7458638106</v>
      </c>
      <c r="AY57" s="5">
        <f>求节点(W$6:W$44,$I$67:$I$105,$AA57)</f>
        <v>4358425.0078383284</v>
      </c>
      <c r="AZ57" s="5">
        <f>求节点(X$6:X$44,$I$67:$I$105,$AA57)</f>
        <v>4674236.2636365676</v>
      </c>
      <c r="BA57" s="5">
        <f>求节点(T$6:T$44,$E$67:$E$105,$AA57)+求节点(T$6:T$44,$K$67:$K$105,$AA57)+求节点(T$67:T$105,$O$67:$O$105,$AA57)</f>
        <v>3674.666666666667</v>
      </c>
      <c r="BB57" s="5">
        <f>求节点(U$6:U$44,$E$67:$E$105,$AA57)+求节点(U$6:U$44,$K$67:$K$105,$AA57)+求节点(U$67:U$105,$O$67:$O$105,$AA57)</f>
        <v>3736.5710709385903</v>
      </c>
      <c r="BC57" s="5">
        <f>求节点(V$6:V$44,$E$67:$E$105,$AA57)+求节点(V$6:V$44,$K$67:$K$105,$AA57)+求节点(V$67:V$105,$O$67:$O$105,$AA57)</f>
        <v>3966.4588247510442</v>
      </c>
      <c r="BD57" s="5">
        <f>求节点(W$6:W$44,$E$67:$E$105,$AA57)+求节点(W$6:W$44,$K$67:$K$105,$AA57)+求节点(W$67:W$105,$O$67:$O$105,$AA57)</f>
        <v>4103.9385118484042</v>
      </c>
      <c r="BE57" s="5">
        <f>求节点(X$6:X$44,$E$67:$E$105,$AA57)+求节点(X$6:X$44,$K$67:$K$105,$AA57)+求节点(X$67:X$105,$O$67:$O$105,$AA57)</f>
        <v>4197.6401308351224</v>
      </c>
      <c r="BF57" s="5">
        <f>求节点(T$6:T$44,$G$67:$G$105,$AA57)</f>
        <v>0</v>
      </c>
      <c r="BG57" s="5">
        <f>求节点(U$6:U$44,$G$67:$G$105,$AA57)</f>
        <v>0</v>
      </c>
      <c r="BH57" s="5">
        <f>求节点(V$6:V$44,$G$67:$G$105,$AA57)</f>
        <v>0</v>
      </c>
      <c r="BI57" s="5">
        <f>求节点(W$6:W$44,$G$67:$G$105,$AA57)</f>
        <v>0</v>
      </c>
      <c r="BJ57" s="5">
        <f>求节点(X$6:X$44,$G$67:$G$105,$AA57)</f>
        <v>0</v>
      </c>
      <c r="BK57" s="5">
        <f>求节点(T$6:T$44,$M$67:$M$105,$AA57)</f>
        <v>35.333333333333336</v>
      </c>
      <c r="BL57" s="5">
        <f>求节点(U$6:U$44,$M$67:$M$105,$AA57)</f>
        <v>35.928567989794139</v>
      </c>
      <c r="BM57" s="5">
        <f>求节点(V$6:V$44,$M$67:$M$105,$AA57)</f>
        <v>38.139027161067737</v>
      </c>
      <c r="BN57" s="5">
        <f>求节点(W$6:W$44,$M$67:$M$105,$AA57)</f>
        <v>39.460947229311579</v>
      </c>
      <c r="BO57" s="5">
        <f>求节点(X$6:X$44,$M$67:$M$105,$AA57)</f>
        <v>40.361924334953102</v>
      </c>
      <c r="BP57" s="5">
        <f>求节点(T$67:T$105,$L$67:$L$105,$AA57)</f>
        <v>0</v>
      </c>
      <c r="BQ57" s="5">
        <f>求节点(U$67:U$105,$L$67:$L$105,$AA57)</f>
        <v>0</v>
      </c>
      <c r="BR57" s="5">
        <f>求节点(V$67:V$105,$L$67:$L$105,$AA57)</f>
        <v>0</v>
      </c>
      <c r="BS57" s="5">
        <f>求节点(W$67:W$105,$L$67:$L$105,$AA57)</f>
        <v>0</v>
      </c>
      <c r="BT57" s="5">
        <f>求节点(X$67:X$105,$L$67:$L$105,$AA57)</f>
        <v>0</v>
      </c>
      <c r="BZ57" s="5">
        <v>53</v>
      </c>
      <c r="CA57" s="5">
        <f t="shared" si="9"/>
        <v>3674.666666666667</v>
      </c>
      <c r="CB57" s="5">
        <f t="shared" si="10"/>
        <v>3736.5710709385903</v>
      </c>
      <c r="CC57" s="5">
        <f t="shared" si="11"/>
        <v>3966.4588247510442</v>
      </c>
      <c r="CD57" s="5">
        <f t="shared" si="12"/>
        <v>4103.9385118484042</v>
      </c>
      <c r="CE57" s="5">
        <f t="shared" si="13"/>
        <v>4197.6401308351224</v>
      </c>
      <c r="CF57" s="5">
        <f>(CA57-CA56)/节奏总纲!W56</f>
        <v>26.279809005840466</v>
      </c>
      <c r="CI57" s="5">
        <v>53</v>
      </c>
      <c r="CJ57" s="5">
        <f t="shared" si="14"/>
        <v>8480</v>
      </c>
      <c r="CK57" s="5">
        <f t="shared" si="15"/>
        <v>8622.8563175505933</v>
      </c>
      <c r="CL57" s="5">
        <f t="shared" si="16"/>
        <v>9153.3665186562575</v>
      </c>
      <c r="CM57" s="5">
        <f t="shared" si="17"/>
        <v>9470.6273350347783</v>
      </c>
      <c r="CN57" s="5">
        <f t="shared" si="18"/>
        <v>9686.8618403887449</v>
      </c>
      <c r="CO57" s="5">
        <f>(CJ57-CJ56)/节奏总纲!W56</f>
        <v>60.645713090400548</v>
      </c>
      <c r="CP57" s="5">
        <f t="shared" si="27"/>
        <v>86.925522096241011</v>
      </c>
      <c r="CR57" s="5">
        <v>53</v>
      </c>
      <c r="CS57" s="5">
        <f t="shared" si="28"/>
        <v>0</v>
      </c>
      <c r="CT57" s="5">
        <f t="shared" si="29"/>
        <v>0</v>
      </c>
      <c r="CU57" s="5">
        <f t="shared" si="30"/>
        <v>0</v>
      </c>
      <c r="CV57" s="5">
        <f t="shared" si="31"/>
        <v>0</v>
      </c>
      <c r="CW57" s="5">
        <f t="shared" si="32"/>
        <v>0</v>
      </c>
      <c r="CX57" s="5">
        <f t="shared" si="20"/>
        <v>0</v>
      </c>
      <c r="CY57" s="5">
        <f t="shared" si="21"/>
        <v>0</v>
      </c>
      <c r="CZ57" s="5">
        <f t="shared" si="22"/>
        <v>0</v>
      </c>
      <c r="DA57" s="5">
        <f t="shared" si="23"/>
        <v>0</v>
      </c>
      <c r="DB57" s="5">
        <f t="shared" si="24"/>
        <v>0</v>
      </c>
    </row>
    <row r="58" spans="2:106" x14ac:dyDescent="0.15">
      <c r="B58" s="28">
        <v>53</v>
      </c>
      <c r="C58" s="28"/>
      <c r="D58" s="31">
        <f>ROUND(130/INDEX('[1]功能-付费相关'!$BB$6:$BB$165,基本信息!U56,1)/1200,0)*600</f>
        <v>34926600</v>
      </c>
      <c r="E58" s="28">
        <v>120</v>
      </c>
      <c r="F58" s="31">
        <f>ROUND(60/INDEX('[1]功能-付费相关'!$AS$6:$AS$165,基本信息!C56,1)/600,0)*600</f>
        <v>95400</v>
      </c>
      <c r="G58" s="28"/>
      <c r="H58" s="31">
        <v>27000</v>
      </c>
      <c r="I58" s="31">
        <v>2236000</v>
      </c>
      <c r="J58" s="31">
        <f>ROUND(50*2/INDEX('[1]功能-付费相关'!$AS$6:$AS$165,基本信息!U56,1)/2000,0)*2000</f>
        <v>106000</v>
      </c>
      <c r="K58" s="28">
        <v>88</v>
      </c>
      <c r="L58" s="31"/>
      <c r="M58" s="31">
        <v>2</v>
      </c>
      <c r="N58" s="28">
        <v>0</v>
      </c>
      <c r="O58" s="28"/>
      <c r="P58" s="28">
        <v>0</v>
      </c>
      <c r="Q58" s="28">
        <v>0</v>
      </c>
      <c r="S58" s="28">
        <v>53</v>
      </c>
      <c r="T58" s="31">
        <f>基本信息!C56</f>
        <v>159</v>
      </c>
      <c r="U58" s="31">
        <f>基本信息!D56</f>
        <v>152.63727744274277</v>
      </c>
      <c r="V58" s="31">
        <f>基本信息!E56</f>
        <v>149.42224420744043</v>
      </c>
      <c r="W58" s="31">
        <f>基本信息!F56</f>
        <v>147.18971508748848</v>
      </c>
      <c r="X58" s="31">
        <f>基本信息!G56</f>
        <v>145.35380447598564</v>
      </c>
      <c r="AA58" s="5">
        <v>54</v>
      </c>
      <c r="AB58" s="5">
        <f>求节点(T$6:T$44,$C$67:$C$105,$AA58)</f>
        <v>0</v>
      </c>
      <c r="AC58" s="5">
        <f>求节点(U$6:U$44,$C$67:$C$105,$AA58)</f>
        <v>0</v>
      </c>
      <c r="AD58" s="5">
        <f>求节点(V$6:V$44,$C$67:$C$105,$AA58)</f>
        <v>0</v>
      </c>
      <c r="AE58" s="5">
        <f>求节点(W$6:W$44,$C$67:$C$105,$AA58)</f>
        <v>0</v>
      </c>
      <c r="AF58" s="5">
        <f>求节点(X$6:X$44,$C$67:$C$105,$AA58)</f>
        <v>0</v>
      </c>
      <c r="AG58" s="5">
        <f>求节点(T$6:T$44,$D$67:$D$105,$AA58)+求节点(T$67:T$105,$Q$67:$Q$105,$AA58)</f>
        <v>3138000</v>
      </c>
      <c r="AH58" s="5">
        <f>求节点(U$6:U$44,$D$67:$D$105,$AA58)+求节点(U$67:U$105,$Q$67:$Q$105,$AA58)</f>
        <v>3389920.5153701827</v>
      </c>
      <c r="AI58" s="5">
        <f>求节点(V$6:V$44,$D$67:$D$105,$AA58)+求节点(V$67:V$105,$Q$67:$Q$105,$AA58)</f>
        <v>4314111.1250399761</v>
      </c>
      <c r="AJ58" s="5">
        <f>求节点(W$6:W$44,$D$67:$D$105,$AA58)+求节点(W$67:W$105,$Q$67:$Q$105,$AA58)</f>
        <v>5096405.5665372657</v>
      </c>
      <c r="AK58" s="5">
        <f>求节点(X$6:X$44,$D$67:$D$105,$AA58)+求节点(X$67:X$105,$Q$67:$Q$105,$AA58)</f>
        <v>5578927.3553359723</v>
      </c>
      <c r="AL58" s="5">
        <f>求节点(T$6:T$44,$F$67:$F$105,$AA58)+求节点(T$67:T$105,$P$67:$P$105,$AA58)</f>
        <v>591600</v>
      </c>
      <c r="AM58" s="5">
        <f>求节点(U$6:U$44,$F$67:$F$105,$AA58)+求节点(U$67:U$105,$P$67:$P$105,$AA58)</f>
        <v>605486.78459284396</v>
      </c>
      <c r="AN58" s="5">
        <f>求节点(V$6:V$44,$F$67:$F$105,$AA58)+求节点(V$67:V$105,$P$67:$P$105,$AA58)</f>
        <v>653685.56659065303</v>
      </c>
      <c r="AO58" s="5">
        <f>求节点(W$6:W$44,$F$67:$F$105,$AA58)+求节点(W$67:W$105,$P$67:$P$105,$AA58)</f>
        <v>689654.87998843833</v>
      </c>
      <c r="AP58" s="5">
        <f>求节点(X$6:X$44,$F$67:$F$105,$AA58)+求节点(X$67:X$105,$P$67:$P$105,$AA58)</f>
        <v>708760.04014367436</v>
      </c>
      <c r="AQ58" s="5">
        <f>求节点(T$6:T$44,$H$67:$H$105,$AA58)</f>
        <v>396600</v>
      </c>
      <c r="AR58" s="5">
        <f>求节点(U$6:U$44,$H$67:$H$105,$AA58)</f>
        <v>404611.60649587156</v>
      </c>
      <c r="AS58" s="5">
        <f>求节点(V$6:V$44,$H$67:$H$105,$AA58)</f>
        <v>432198.13120724238</v>
      </c>
      <c r="AT58" s="5">
        <f>求节点(W$6:W$44,$H$67:$H$105,$AA58)</f>
        <v>452386.2146278015</v>
      </c>
      <c r="AU58" s="5">
        <f>求节点(X$6:X$44,$H$67:$H$105,$AA58)</f>
        <v>462870.7537373823</v>
      </c>
      <c r="AV58" s="5">
        <f>求节点(T$6:T$44,$I$67:$I$105,$AA58)</f>
        <v>3306000</v>
      </c>
      <c r="AW58" s="5">
        <f>求节点(U$6:U$44,$I$67:$I$105,$AA58)</f>
        <v>3478694.6289110086</v>
      </c>
      <c r="AX58" s="5">
        <f>求节点(V$6:V$44,$I$67:$I$105,$AA58)</f>
        <v>4093081.3517579292</v>
      </c>
      <c r="AY58" s="5">
        <f>求节点(W$6:W$44,$I$67:$I$105,$AA58)</f>
        <v>4583998.692498222</v>
      </c>
      <c r="AZ58" s="5">
        <f>求节点(X$6:X$44,$I$67:$I$105,$AA58)</f>
        <v>4889215.2754660184</v>
      </c>
      <c r="BA58" s="5">
        <f>求节点(T$6:T$44,$E$67:$E$105,$AA58)+求节点(T$6:T$44,$K$67:$K$105,$AA58)+求节点(T$67:T$105,$O$67:$O$105,$AA58)</f>
        <v>3744</v>
      </c>
      <c r="BB58" s="5">
        <f>求节点(U$6:U$44,$E$67:$E$105,$AA58)+求节点(U$6:U$44,$K$67:$K$105,$AA58)+求节点(U$67:U$105,$O$67:$O$105,$AA58)</f>
        <v>3805.7190426348625</v>
      </c>
      <c r="BC58" s="5">
        <f>求节点(V$6:V$44,$E$67:$E$105,$AA58)+求节点(V$6:V$44,$K$67:$K$105,$AA58)+求节点(V$67:V$105,$O$67:$O$105,$AA58)</f>
        <v>4018.2374552261635</v>
      </c>
      <c r="BD58" s="5">
        <f>求节点(W$6:W$44,$E$67:$E$105,$AA58)+求节点(W$6:W$44,$K$67:$K$105,$AA58)+求节点(W$67:W$105,$O$67:$O$105,$AA58)</f>
        <v>4173.760468243805</v>
      </c>
      <c r="BE58" s="5">
        <f>求节点(X$6:X$44,$E$67:$E$105,$AA58)+求节点(X$6:X$44,$K$67:$K$105,$AA58)+求节点(X$67:X$105,$O$67:$O$105,$AA58)</f>
        <v>4254.5302510139081</v>
      </c>
      <c r="BF58" s="5">
        <f>求节点(T$6:T$44,$G$67:$G$105,$AA58)</f>
        <v>0</v>
      </c>
      <c r="BG58" s="5">
        <f>求节点(U$6:U$44,$G$67:$G$105,$AA58)</f>
        <v>0</v>
      </c>
      <c r="BH58" s="5">
        <f>求节点(V$6:V$44,$G$67:$G$105,$AA58)</f>
        <v>0</v>
      </c>
      <c r="BI58" s="5">
        <f>求节点(W$6:W$44,$G$67:$G$105,$AA58)</f>
        <v>0</v>
      </c>
      <c r="BJ58" s="5">
        <f>求节点(X$6:X$44,$G$67:$G$105,$AA58)</f>
        <v>0</v>
      </c>
      <c r="BK58" s="5">
        <f>求节点(T$6:T$44,$M$67:$M$105,$AA58)</f>
        <v>36</v>
      </c>
      <c r="BL58" s="5">
        <f>求节点(U$6:U$44,$M$67:$M$105,$AA58)</f>
        <v>36.593452333027521</v>
      </c>
      <c r="BM58" s="5">
        <f>求节点(V$6:V$44,$M$67:$M$105,$AA58)</f>
        <v>38.636898607943877</v>
      </c>
      <c r="BN58" s="5">
        <f>求节点(W$6:W$44,$M$67:$M$105,$AA58)</f>
        <v>40.132312194651966</v>
      </c>
      <c r="BO58" s="5">
        <f>求节点(X$6:X$44,$M$67:$M$105,$AA58)</f>
        <v>40.908944721287575</v>
      </c>
      <c r="BP58" s="5">
        <f>求节点(T$67:T$105,$L$67:$L$105,$AA58)</f>
        <v>0</v>
      </c>
      <c r="BQ58" s="5">
        <f>求节点(U$67:U$105,$L$67:$L$105,$AA58)</f>
        <v>0</v>
      </c>
      <c r="BR58" s="5">
        <f>求节点(V$67:V$105,$L$67:$L$105,$AA58)</f>
        <v>0</v>
      </c>
      <c r="BS58" s="5">
        <f>求节点(W$67:W$105,$L$67:$L$105,$AA58)</f>
        <v>0</v>
      </c>
      <c r="BT58" s="5">
        <f>求节点(X$67:X$105,$L$67:$L$105,$AA58)</f>
        <v>0</v>
      </c>
      <c r="BZ58" s="5">
        <v>54</v>
      </c>
      <c r="CA58" s="5">
        <f t="shared" si="9"/>
        <v>3744</v>
      </c>
      <c r="CB58" s="5">
        <f t="shared" si="10"/>
        <v>3805.7190426348625</v>
      </c>
      <c r="CC58" s="5">
        <f t="shared" si="11"/>
        <v>4018.2374552261635</v>
      </c>
      <c r="CD58" s="5">
        <f t="shared" si="12"/>
        <v>4173.760468243805</v>
      </c>
      <c r="CE58" s="5">
        <f t="shared" si="13"/>
        <v>4254.5302510139081</v>
      </c>
      <c r="CF58" s="5">
        <f>(CA58-CA57)/节奏总纲!W57</f>
        <v>24.51992881373469</v>
      </c>
      <c r="CI58" s="5">
        <v>54</v>
      </c>
      <c r="CJ58" s="5">
        <f t="shared" si="14"/>
        <v>8640</v>
      </c>
      <c r="CK58" s="5">
        <f t="shared" si="15"/>
        <v>8782.4285599266059</v>
      </c>
      <c r="CL58" s="5">
        <f t="shared" si="16"/>
        <v>9272.8556659065307</v>
      </c>
      <c r="CM58" s="5">
        <f t="shared" si="17"/>
        <v>9631.7549267164723</v>
      </c>
      <c r="CN58" s="5">
        <f t="shared" si="18"/>
        <v>9818.1467331090189</v>
      </c>
      <c r="CO58" s="5">
        <f>(CJ58-CJ57)/节奏总纲!W57</f>
        <v>56.584451108618765</v>
      </c>
      <c r="CP58" s="5">
        <f t="shared" si="27"/>
        <v>81.104379922353459</v>
      </c>
      <c r="CR58" s="5">
        <v>54</v>
      </c>
      <c r="CS58" s="5">
        <f t="shared" si="28"/>
        <v>0</v>
      </c>
      <c r="CT58" s="5">
        <f t="shared" si="29"/>
        <v>0</v>
      </c>
      <c r="CU58" s="5">
        <f t="shared" si="30"/>
        <v>0</v>
      </c>
      <c r="CV58" s="5">
        <f t="shared" si="31"/>
        <v>0</v>
      </c>
      <c r="CW58" s="5">
        <f t="shared" si="32"/>
        <v>0</v>
      </c>
      <c r="CX58" s="5">
        <f t="shared" si="20"/>
        <v>0</v>
      </c>
      <c r="CY58" s="5">
        <f t="shared" si="21"/>
        <v>0</v>
      </c>
      <c r="CZ58" s="5">
        <f t="shared" si="22"/>
        <v>0</v>
      </c>
      <c r="DA58" s="5">
        <f t="shared" si="23"/>
        <v>0</v>
      </c>
      <c r="DB58" s="5">
        <f t="shared" si="24"/>
        <v>0</v>
      </c>
    </row>
    <row r="59" spans="2:106" x14ac:dyDescent="0.15">
      <c r="AA59" s="5">
        <v>55</v>
      </c>
      <c r="AB59" s="5">
        <f>求节点(T$6:T$44,$C$67:$C$105,$AA59)</f>
        <v>0</v>
      </c>
      <c r="AC59" s="5">
        <f>求节点(U$6:U$44,$C$67:$C$105,$AA59)</f>
        <v>0</v>
      </c>
      <c r="AD59" s="5">
        <f>求节点(V$6:V$44,$C$67:$C$105,$AA59)</f>
        <v>0</v>
      </c>
      <c r="AE59" s="5">
        <f>求节点(W$6:W$44,$C$67:$C$105,$AA59)</f>
        <v>0</v>
      </c>
      <c r="AF59" s="5">
        <f>求节点(X$6:X$44,$C$67:$C$105,$AA59)</f>
        <v>0</v>
      </c>
      <c r="AG59" s="5">
        <f>求节点(T$6:T$44,$D$67:$D$105,$AA59)+求节点(T$67:T$105,$Q$67:$Q$105,$AA59)</f>
        <v>3421000</v>
      </c>
      <c r="AH59" s="5">
        <f>求节点(U$6:U$44,$D$67:$D$105,$AA59)+求节点(U$67:U$105,$Q$67:$Q$105,$AA59)</f>
        <v>3671269.3978113169</v>
      </c>
      <c r="AI59" s="5">
        <f>求节点(V$6:V$44,$D$67:$D$105,$AA59)+求节点(V$67:V$105,$Q$67:$Q$105,$AA59)</f>
        <v>4569817.9001555638</v>
      </c>
      <c r="AJ59" s="5">
        <f>求节点(W$6:W$44,$D$67:$D$105,$AA59)+求节点(W$67:W$105,$Q$67:$Q$105,$AA59)</f>
        <v>5443400.6331627825</v>
      </c>
      <c r="AK59" s="5">
        <f>求节点(X$6:X$44,$D$67:$D$105,$AA59)+求节点(X$67:X$105,$Q$67:$Q$105,$AA59)</f>
        <v>5918791.1213655835</v>
      </c>
      <c r="AL59" s="5">
        <f>求节点(T$6:T$44,$F$67:$F$105,$AA59)+求节点(T$67:T$105,$P$67:$P$105,$AA59)</f>
        <v>607200</v>
      </c>
      <c r="AM59" s="5">
        <f>求节点(U$6:U$44,$F$67:$F$105,$AA59)+求节点(U$67:U$105,$P$67:$P$105,$AA59)</f>
        <v>620995.76892528811</v>
      </c>
      <c r="AN59" s="5">
        <f>求节点(V$6:V$44,$F$67:$F$105,$AA59)+求节点(V$67:V$105,$P$67:$P$105,$AA59)</f>
        <v>665634.48131568055</v>
      </c>
      <c r="AO59" s="5">
        <f>求节点(W$6:W$44,$F$67:$F$105,$AA59)+求节点(W$67:W$105,$P$67:$P$105,$AA59)</f>
        <v>703393.9410523168</v>
      </c>
      <c r="AP59" s="5">
        <f>求节点(X$6:X$44,$F$67:$F$105,$AA59)+求节点(X$67:X$105,$P$67:$P$105,$AA59)</f>
        <v>722216.74164750264</v>
      </c>
      <c r="AQ59" s="5">
        <f>求节点(T$6:T$44,$H$67:$H$105,$AA59)</f>
        <v>405600</v>
      </c>
      <c r="AR59" s="5">
        <f>求节点(U$6:U$44,$H$67:$H$105,$AA59)</f>
        <v>413559.09745689703</v>
      </c>
      <c r="AS59" s="5">
        <f>求节点(V$6:V$44,$H$67:$H$105,$AA59)</f>
        <v>438919.39574007032</v>
      </c>
      <c r="AT59" s="5">
        <f>求节点(W$6:W$44,$H$67:$H$105,$AA59)</f>
        <v>459925.94326041779</v>
      </c>
      <c r="AU59" s="5">
        <f>求节点(X$6:X$44,$H$67:$H$105,$AA59)</f>
        <v>470255.52895289776</v>
      </c>
      <c r="AV59" s="5">
        <f>求节点(T$6:T$44,$I$67:$I$105,$AA59)</f>
        <v>3500000</v>
      </c>
      <c r="AW59" s="5">
        <f>求节点(U$6:U$44,$I$67:$I$105,$AA59)</f>
        <v>3671562.7674042243</v>
      </c>
      <c r="AX59" s="5">
        <f>求节点(V$6:V$44,$I$67:$I$105,$AA59)</f>
        <v>4253395.9576520473</v>
      </c>
      <c r="AY59" s="5">
        <f>求节点(W$6:W$44,$I$67:$I$105,$AA59)</f>
        <v>4803488.5704699391</v>
      </c>
      <c r="AZ59" s="5">
        <f>求节点(X$6:X$44,$I$67:$I$105,$AA59)</f>
        <v>5104194.2872954682</v>
      </c>
      <c r="BA59" s="5">
        <f>求节点(T$6:T$44,$E$67:$E$105,$AA59)+求节点(T$6:T$44,$K$67:$K$105,$AA59)+求节点(T$67:T$105,$O$67:$O$105,$AA59)</f>
        <v>3813.333333333333</v>
      </c>
      <c r="BB59" s="5">
        <f>求节点(U$6:U$44,$E$67:$E$105,$AA59)+求节点(U$6:U$44,$K$67:$K$105,$AA59)+求节点(U$67:U$105,$O$67:$O$105,$AA59)</f>
        <v>3874.6478618901697</v>
      </c>
      <c r="BC59" s="5">
        <f>求节点(V$6:V$44,$E$67:$E$105,$AA59)+求节点(V$6:V$44,$K$67:$K$105,$AA59)+求节点(V$67:V$105,$O$67:$O$105,$AA59)</f>
        <v>4070.0160857012825</v>
      </c>
      <c r="BD59" s="5">
        <f>求节点(W$6:W$44,$E$67:$E$105,$AA59)+求节点(W$6:W$44,$K$67:$K$105,$AA59)+求节点(W$67:W$105,$O$67:$O$105,$AA59)</f>
        <v>4231.8443036358112</v>
      </c>
      <c r="BE59" s="5">
        <f>求节点(X$6:X$44,$E$67:$E$105,$AA59)+求节点(X$6:X$44,$K$67:$K$105,$AA59)+求节点(X$67:X$105,$O$67:$O$105,$AA59)</f>
        <v>4311.4203711926939</v>
      </c>
      <c r="BF59" s="5">
        <f>求节点(T$6:T$44,$G$67:$G$105,$AA59)</f>
        <v>0</v>
      </c>
      <c r="BG59" s="5">
        <f>求节点(U$6:U$44,$G$67:$G$105,$AA59)</f>
        <v>0</v>
      </c>
      <c r="BH59" s="5">
        <f>求节点(V$6:V$44,$G$67:$G$105,$AA59)</f>
        <v>0</v>
      </c>
      <c r="BI59" s="5">
        <f>求节点(W$6:W$44,$G$67:$G$105,$AA59)</f>
        <v>0</v>
      </c>
      <c r="BJ59" s="5">
        <f>求节点(X$6:X$44,$G$67:$G$105,$AA59)</f>
        <v>0</v>
      </c>
      <c r="BK59" s="5">
        <f>求节点(T$6:T$44,$M$67:$M$105,$AA59)</f>
        <v>36.666666666666664</v>
      </c>
      <c r="BL59" s="5">
        <f>求节点(U$6:U$44,$M$67:$M$105,$AA59)</f>
        <v>37.256229441251634</v>
      </c>
      <c r="BM59" s="5">
        <f>求节点(V$6:V$44,$M$67:$M$105,$AA59)</f>
        <v>39.134770054820024</v>
      </c>
      <c r="BN59" s="5">
        <f>求节点(W$6:W$44,$M$67:$M$105,$AA59)</f>
        <v>40.690810611882796</v>
      </c>
      <c r="BO59" s="5">
        <f>求节点(X$6:X$44,$M$67:$M$105,$AA59)</f>
        <v>41.455965107622056</v>
      </c>
      <c r="BP59" s="5">
        <f>求节点(T$67:T$105,$L$67:$L$105,$AA59)</f>
        <v>0</v>
      </c>
      <c r="BQ59" s="5">
        <f>求节点(U$67:U$105,$L$67:$L$105,$AA59)</f>
        <v>0</v>
      </c>
      <c r="BR59" s="5">
        <f>求节点(V$67:V$105,$L$67:$L$105,$AA59)</f>
        <v>0</v>
      </c>
      <c r="BS59" s="5">
        <f>求节点(W$67:W$105,$L$67:$L$105,$AA59)</f>
        <v>0</v>
      </c>
      <c r="BT59" s="5">
        <f>求节点(X$67:X$105,$L$67:$L$105,$AA59)</f>
        <v>0</v>
      </c>
      <c r="BZ59" s="5">
        <v>55</v>
      </c>
      <c r="CA59" s="5">
        <f t="shared" si="9"/>
        <v>3813.333333333333</v>
      </c>
      <c r="CB59" s="5">
        <f t="shared" si="10"/>
        <v>3874.6478618901697</v>
      </c>
      <c r="CC59" s="5">
        <f t="shared" si="11"/>
        <v>4070.0160857012825</v>
      </c>
      <c r="CD59" s="5">
        <f t="shared" si="12"/>
        <v>4231.8443036358112</v>
      </c>
      <c r="CE59" s="5">
        <f t="shared" si="13"/>
        <v>4311.4203711926939</v>
      </c>
      <c r="CF59" s="5">
        <f>(CA59-CA58)/节奏总纲!W58</f>
        <v>22.877902533348497</v>
      </c>
      <c r="CI59" s="5">
        <v>55</v>
      </c>
      <c r="CJ59" s="5">
        <f t="shared" si="14"/>
        <v>8800</v>
      </c>
      <c r="CK59" s="5">
        <f t="shared" si="15"/>
        <v>8941.4950659003916</v>
      </c>
      <c r="CL59" s="5">
        <f t="shared" si="16"/>
        <v>9392.3448131568057</v>
      </c>
      <c r="CM59" s="5">
        <f t="shared" si="17"/>
        <v>9765.7945468518701</v>
      </c>
      <c r="CN59" s="5">
        <f t="shared" si="18"/>
        <v>9949.4316258292929</v>
      </c>
      <c r="CO59" s="5">
        <f>(CJ59-CJ58)/节奏总纲!W58</f>
        <v>52.795159692342914</v>
      </c>
      <c r="CP59" s="5">
        <f t="shared" si="27"/>
        <v>75.67306222569141</v>
      </c>
      <c r="CR59" s="5">
        <v>55</v>
      </c>
      <c r="CS59" s="5">
        <f t="shared" si="28"/>
        <v>0</v>
      </c>
      <c r="CT59" s="5">
        <f t="shared" si="29"/>
        <v>0</v>
      </c>
      <c r="CU59" s="5">
        <f t="shared" si="30"/>
        <v>0</v>
      </c>
      <c r="CV59" s="5">
        <f t="shared" si="31"/>
        <v>0</v>
      </c>
      <c r="CW59" s="5">
        <f t="shared" si="32"/>
        <v>0</v>
      </c>
      <c r="CX59" s="5">
        <f t="shared" si="20"/>
        <v>0</v>
      </c>
      <c r="CY59" s="5">
        <f t="shared" si="21"/>
        <v>0</v>
      </c>
      <c r="CZ59" s="5">
        <f t="shared" si="22"/>
        <v>0</v>
      </c>
      <c r="DA59" s="5">
        <f t="shared" si="23"/>
        <v>0</v>
      </c>
      <c r="DB59" s="5">
        <f t="shared" si="24"/>
        <v>0</v>
      </c>
    </row>
    <row r="60" spans="2:106" x14ac:dyDescent="0.15">
      <c r="AA60" s="5">
        <v>56</v>
      </c>
      <c r="AB60" s="5">
        <f>求节点(T$6:T$44,$C$67:$C$105,$AA60)</f>
        <v>0</v>
      </c>
      <c r="AC60" s="5">
        <f>求节点(U$6:U$44,$C$67:$C$105,$AA60)</f>
        <v>0</v>
      </c>
      <c r="AD60" s="5">
        <f>求节点(V$6:V$44,$C$67:$C$105,$AA60)</f>
        <v>0</v>
      </c>
      <c r="AE60" s="5">
        <f>求节点(W$6:W$44,$C$67:$C$105,$AA60)</f>
        <v>0</v>
      </c>
      <c r="AF60" s="5">
        <f>求节点(X$6:X$44,$C$67:$C$105,$AA60)</f>
        <v>0</v>
      </c>
      <c r="AG60" s="5">
        <f>求节点(T$6:T$44,$D$67:$D$105,$AA60)+求节点(T$67:T$105,$Q$67:$Q$105,$AA60)</f>
        <v>3704000</v>
      </c>
      <c r="AH60" s="5">
        <f>求节点(U$6:U$44,$D$67:$D$105,$AA60)+求节点(U$67:U$105,$Q$67:$Q$105,$AA60)</f>
        <v>3952618.2802524511</v>
      </c>
      <c r="AI60" s="5">
        <f>求节点(V$6:V$44,$D$67:$D$105,$AA60)+求节点(V$67:V$105,$Q$67:$Q$105,$AA60)</f>
        <v>4825524.6752711516</v>
      </c>
      <c r="AJ60" s="5">
        <f>求节点(W$6:W$44,$D$67:$D$105,$AA60)+求节点(W$67:W$105,$Q$67:$Q$105,$AA60)</f>
        <v>5790395.6997882994</v>
      </c>
      <c r="AK60" s="5">
        <f>求节点(X$6:X$44,$D$67:$D$105,$AA60)+求节点(X$67:X$105,$Q$67:$Q$105,$AA60)</f>
        <v>6259522.5582739897</v>
      </c>
      <c r="AL60" s="5">
        <f>求节点(T$6:T$44,$F$67:$F$105,$AA60)+求节点(T$67:T$105,$P$67:$P$105,$AA60)</f>
        <v>622800</v>
      </c>
      <c r="AM60" s="5">
        <f>求节点(U$6:U$44,$F$67:$F$105,$AA60)+求节点(U$67:U$105,$P$67:$P$105,$AA60)</f>
        <v>636504.75325773226</v>
      </c>
      <c r="AN60" s="5">
        <f>求节点(V$6:V$44,$F$67:$F$105,$AA60)+求节点(V$67:V$105,$P$67:$P$105,$AA60)</f>
        <v>677583.39604070806</v>
      </c>
      <c r="AO60" s="5">
        <f>求节点(W$6:W$44,$F$67:$F$105,$AA60)+求节点(W$67:W$105,$P$67:$P$105,$AA60)</f>
        <v>717133.00211619528</v>
      </c>
      <c r="AP60" s="5">
        <f>求节点(X$6:X$44,$F$67:$F$105,$AA60)+求节点(X$67:X$105,$P$67:$P$105,$AA60)</f>
        <v>735692.34535246971</v>
      </c>
      <c r="AQ60" s="5">
        <f>求节点(T$6:T$44,$H$67:$H$105,$AA60)</f>
        <v>414600</v>
      </c>
      <c r="AR60" s="5">
        <f>求节点(U$6:U$44,$H$67:$H$105,$AA60)</f>
        <v>422506.5884179225</v>
      </c>
      <c r="AS60" s="5">
        <f>求节点(V$6:V$44,$H$67:$H$105,$AA60)</f>
        <v>445640.66027289827</v>
      </c>
      <c r="AT60" s="5">
        <f>求节点(W$6:W$44,$H$67:$H$105,$AA60)</f>
        <v>467465.67189303401</v>
      </c>
      <c r="AU60" s="5">
        <f>求节点(X$6:X$44,$H$67:$H$105,$AA60)</f>
        <v>477648.88871601335</v>
      </c>
      <c r="AV60" s="5">
        <f>求节点(T$6:T$44,$I$67:$I$105,$AA60)</f>
        <v>3694000</v>
      </c>
      <c r="AW60" s="5">
        <f>求节点(U$6:U$44,$I$67:$I$105,$AA60)</f>
        <v>3864430.9058974404</v>
      </c>
      <c r="AX60" s="5">
        <f>求节点(V$6:V$44,$I$67:$I$105,$AA60)</f>
        <v>4413710.5635461658</v>
      </c>
      <c r="AY60" s="5">
        <f>求节点(W$6:W$44,$I$67:$I$105,$AA60)</f>
        <v>5022978.4484416572</v>
      </c>
      <c r="AZ60" s="5">
        <f>求节点(X$6:X$44,$I$67:$I$105,$AA60)</f>
        <v>5319564.438912428</v>
      </c>
      <c r="BA60" s="5">
        <f>求节点(T$6:T$44,$E$67:$E$105,$AA60)+求节点(T$6:T$44,$K$67:$K$105,$AA60)+求节点(T$67:T$105,$O$67:$O$105,$AA60)</f>
        <v>3882.666666666667</v>
      </c>
      <c r="BB60" s="5">
        <f>求节点(U$6:U$44,$E$67:$E$105,$AA60)+求节点(U$6:U$44,$K$67:$K$105,$AA60)+求节点(U$67:U$105,$O$67:$O$105,$AA60)</f>
        <v>3943.5766811454769</v>
      </c>
      <c r="BC60" s="5">
        <f>求节点(V$6:V$44,$E$67:$E$105,$AA60)+求节点(V$6:V$44,$K$67:$K$105,$AA60)+求节点(V$67:V$105,$O$67:$O$105,$AA60)</f>
        <v>4121.7947161764014</v>
      </c>
      <c r="BD60" s="5">
        <f>求节点(W$6:W$44,$E$67:$E$105,$AA60)+求节点(W$6:W$44,$K$67:$K$105,$AA60)+求节点(W$67:W$105,$O$67:$O$105,$AA60)</f>
        <v>4289.9281390278175</v>
      </c>
      <c r="BE60" s="5">
        <f>求节点(X$6:X$44,$E$67:$E$105,$AA60)+求节点(X$6:X$44,$K$67:$K$105,$AA60)+求节点(X$67:X$105,$O$67:$O$105,$AA60)</f>
        <v>4368.3766241826215</v>
      </c>
      <c r="BF60" s="5">
        <f>求节点(T$6:T$44,$G$67:$G$105,$AA60)</f>
        <v>0</v>
      </c>
      <c r="BG60" s="5">
        <f>求节点(U$6:U$44,$G$67:$G$105,$AA60)</f>
        <v>0</v>
      </c>
      <c r="BH60" s="5">
        <f>求节点(V$6:V$44,$G$67:$G$105,$AA60)</f>
        <v>0</v>
      </c>
      <c r="BI60" s="5">
        <f>求节点(W$6:W$44,$G$67:$G$105,$AA60)</f>
        <v>0</v>
      </c>
      <c r="BJ60" s="5">
        <f>求节点(X$6:X$44,$G$67:$G$105,$AA60)</f>
        <v>0</v>
      </c>
      <c r="BK60" s="5">
        <f>求节点(T$6:T$44,$M$67:$M$105,$AA60)</f>
        <v>37.333333333333336</v>
      </c>
      <c r="BL60" s="5">
        <f>求节点(U$6:U$44,$M$67:$M$105,$AA60)</f>
        <v>37.919006549475739</v>
      </c>
      <c r="BM60" s="5">
        <f>求节点(V$6:V$44,$M$67:$M$105,$AA60)</f>
        <v>39.63264150169617</v>
      </c>
      <c r="BN60" s="5">
        <f>求节点(W$6:W$44,$M$67:$M$105,$AA60)</f>
        <v>41.249309029113633</v>
      </c>
      <c r="BO60" s="5">
        <f>求节点(X$6:X$44,$M$67:$M$105,$AA60)</f>
        <v>42.003621386371364</v>
      </c>
      <c r="BP60" s="5">
        <f>求节点(T$67:T$105,$L$67:$L$105,$AA60)</f>
        <v>0</v>
      </c>
      <c r="BQ60" s="5">
        <f>求节点(U$67:U$105,$L$67:$L$105,$AA60)</f>
        <v>0</v>
      </c>
      <c r="BR60" s="5">
        <f>求节点(V$67:V$105,$L$67:$L$105,$AA60)</f>
        <v>0</v>
      </c>
      <c r="BS60" s="5">
        <f>求节点(W$67:W$105,$L$67:$L$105,$AA60)</f>
        <v>0</v>
      </c>
      <c r="BT60" s="5">
        <f>求节点(X$67:X$105,$L$67:$L$105,$AA60)</f>
        <v>0</v>
      </c>
      <c r="BZ60" s="5">
        <v>56</v>
      </c>
      <c r="CA60" s="5">
        <f t="shared" si="9"/>
        <v>3882.666666666667</v>
      </c>
      <c r="CB60" s="5">
        <f t="shared" si="10"/>
        <v>3943.5766811454769</v>
      </c>
      <c r="CC60" s="5">
        <f t="shared" si="11"/>
        <v>4121.7947161764014</v>
      </c>
      <c r="CD60" s="5">
        <f t="shared" si="12"/>
        <v>4289.9281390278175</v>
      </c>
      <c r="CE60" s="5">
        <f t="shared" si="13"/>
        <v>4368.3766241826215</v>
      </c>
      <c r="CF60" s="5">
        <f>(CA60-CA59)/节奏总纲!W59</f>
        <v>21.345837840778099</v>
      </c>
      <c r="CI60" s="5">
        <v>56</v>
      </c>
      <c r="CJ60" s="5">
        <f t="shared" si="14"/>
        <v>8960</v>
      </c>
      <c r="CK60" s="5">
        <f t="shared" si="15"/>
        <v>9100.5615718741774</v>
      </c>
      <c r="CL60" s="5">
        <f t="shared" si="16"/>
        <v>9511.8339604070807</v>
      </c>
      <c r="CM60" s="5">
        <f t="shared" si="17"/>
        <v>9899.8341669872716</v>
      </c>
      <c r="CN60" s="5">
        <f t="shared" si="18"/>
        <v>10080.869132729127</v>
      </c>
      <c r="CO60" s="5">
        <f>(CJ60-CJ59)/节奏总纲!W59</f>
        <v>49.259625786410567</v>
      </c>
      <c r="CP60" s="5">
        <f t="shared" si="27"/>
        <v>70.605463627188669</v>
      </c>
      <c r="CR60" s="5">
        <v>56</v>
      </c>
      <c r="CS60" s="5">
        <f t="shared" si="28"/>
        <v>0</v>
      </c>
      <c r="CT60" s="5">
        <f t="shared" si="29"/>
        <v>0</v>
      </c>
      <c r="CU60" s="5">
        <f t="shared" si="30"/>
        <v>0</v>
      </c>
      <c r="CV60" s="5">
        <f t="shared" si="31"/>
        <v>0</v>
      </c>
      <c r="CW60" s="5">
        <f t="shared" si="32"/>
        <v>0</v>
      </c>
      <c r="CX60" s="5">
        <f t="shared" si="20"/>
        <v>0</v>
      </c>
      <c r="CY60" s="5">
        <f t="shared" si="21"/>
        <v>0</v>
      </c>
      <c r="CZ60" s="5">
        <f t="shared" si="22"/>
        <v>0</v>
      </c>
      <c r="DA60" s="5">
        <f t="shared" si="23"/>
        <v>0</v>
      </c>
      <c r="DB60" s="5">
        <f t="shared" si="24"/>
        <v>0</v>
      </c>
    </row>
    <row r="61" spans="2:106" x14ac:dyDescent="0.15">
      <c r="AA61" s="5">
        <v>57</v>
      </c>
      <c r="AB61" s="5">
        <f>求节点(T$6:T$44,$C$67:$C$105,$AA61)</f>
        <v>0</v>
      </c>
      <c r="AC61" s="5">
        <f>求节点(U$6:U$44,$C$67:$C$105,$AA61)</f>
        <v>0</v>
      </c>
      <c r="AD61" s="5">
        <f>求节点(V$6:V$44,$C$67:$C$105,$AA61)</f>
        <v>0</v>
      </c>
      <c r="AE61" s="5">
        <f>求节点(W$6:W$44,$C$67:$C$105,$AA61)</f>
        <v>0</v>
      </c>
      <c r="AF61" s="5">
        <f>求节点(X$6:X$44,$C$67:$C$105,$AA61)</f>
        <v>0</v>
      </c>
      <c r="AG61" s="5">
        <f>求节点(T$6:T$44,$D$67:$D$105,$AA61)+求节点(T$67:T$105,$Q$67:$Q$105,$AA61)</f>
        <v>3987000</v>
      </c>
      <c r="AH61" s="5">
        <f>求节点(U$6:U$44,$D$67:$D$105,$AA61)+求节点(U$67:U$105,$Q$67:$Q$105,$AA61)</f>
        <v>4279451.3522935594</v>
      </c>
      <c r="AI61" s="5">
        <f>求节点(V$6:V$44,$D$67:$D$105,$AA61)+求节点(V$67:V$105,$Q$67:$Q$105,$AA61)</f>
        <v>5100286.779953707</v>
      </c>
      <c r="AJ61" s="5">
        <f>求节点(W$6:W$44,$D$67:$D$105,$AA61)+求节点(W$67:W$105,$Q$67:$Q$105,$AA61)</f>
        <v>6137390.7664138163</v>
      </c>
      <c r="AK61" s="5">
        <f>求节点(X$6:X$44,$D$67:$D$105,$AA61)+求节点(X$67:X$105,$Q$67:$Q$105,$AA61)</f>
        <v>6758366.2674014913</v>
      </c>
      <c r="AL61" s="5">
        <f>求节点(T$6:T$44,$F$67:$F$105,$AA61)+求节点(T$67:T$105,$P$67:$P$105,$AA61)</f>
        <v>638400</v>
      </c>
      <c r="AM61" s="5">
        <f>求节点(U$6:U$44,$F$67:$F$105,$AA61)+求节点(U$67:U$105,$P$67:$P$105,$AA61)</f>
        <v>652065.95104175515</v>
      </c>
      <c r="AN61" s="5">
        <f>求节点(V$6:V$44,$F$67:$F$105,$AA61)+求节点(V$67:V$105,$P$67:$P$105,$AA61)</f>
        <v>689808.55430043652</v>
      </c>
      <c r="AO61" s="5">
        <f>求节点(W$6:W$44,$F$67:$F$105,$AA61)+求节点(W$67:W$105,$P$67:$P$105,$AA61)</f>
        <v>730872.06318007386</v>
      </c>
      <c r="AP61" s="5">
        <f>求节点(X$6:X$44,$F$67:$F$105,$AA61)+求节点(X$67:X$105,$P$67:$P$105,$AA61)</f>
        <v>752612.42327578878</v>
      </c>
      <c r="AQ61" s="5">
        <f>求节点(T$6:T$44,$H$67:$H$105,$AA61)</f>
        <v>423600</v>
      </c>
      <c r="AR61" s="5">
        <f>求节点(U$6:U$44,$H$67:$H$105,$AA61)</f>
        <v>431287.09746098722</v>
      </c>
      <c r="AS61" s="5">
        <f>求节点(V$6:V$44,$H$67:$H$105,$AA61)</f>
        <v>452470.54809170292</v>
      </c>
      <c r="AT61" s="5">
        <f>求节点(W$6:W$44,$H$67:$H$105,$AA61)</f>
        <v>475005.4005256503</v>
      </c>
      <c r="AU61" s="5">
        <f>求节点(X$6:X$44,$H$67:$H$105,$AA61)</f>
        <v>486606.57702835876</v>
      </c>
      <c r="AV61" s="5">
        <f>求节点(T$6:T$44,$I$67:$I$105,$AA61)</f>
        <v>3888000</v>
      </c>
      <c r="AW61" s="5">
        <f>求节点(U$6:U$44,$I$67:$I$105,$AA61)</f>
        <v>4071351.5098102144</v>
      </c>
      <c r="AX61" s="5">
        <f>求节点(V$6:V$44,$I$67:$I$105,$AA61)</f>
        <v>4586453.733336241</v>
      </c>
      <c r="AY61" s="5">
        <f>求节点(W$6:W$44,$I$67:$I$105,$AA61)</f>
        <v>5242468.3264133744</v>
      </c>
      <c r="AZ61" s="5">
        <f>求节点(X$6:X$44,$I$67:$I$105,$AA61)</f>
        <v>5606210.4649074813</v>
      </c>
      <c r="BA61" s="5">
        <f>求节点(T$6:T$44,$E$67:$E$105,$AA61)+求节点(T$6:T$44,$K$67:$K$105,$AA61)+求节点(T$67:T$105,$O$67:$O$105,$AA61)</f>
        <v>3952</v>
      </c>
      <c r="BB61" s="5">
        <f>求节点(U$6:U$44,$E$67:$E$105,$AA61)+求节点(U$6:U$44,$K$67:$K$105,$AA61)+求节点(U$67:U$105,$O$67:$O$105,$AA61)</f>
        <v>4011.2191211809386</v>
      </c>
      <c r="BC61" s="5">
        <f>求节点(V$6:V$44,$E$67:$E$105,$AA61)+求节点(V$6:V$44,$K$67:$K$105,$AA61)+求节点(V$67:V$105,$O$67:$O$105,$AA61)</f>
        <v>4174.4101482620081</v>
      </c>
      <c r="BD61" s="5">
        <f>求节点(W$6:W$44,$E$67:$E$105,$AA61)+求节点(W$6:W$44,$K$67:$K$105,$AA61)+求节点(W$67:W$105,$O$67:$O$105,$AA61)</f>
        <v>4348.0119744198246</v>
      </c>
      <c r="BE61" s="5">
        <f>求节点(X$6:X$44,$E$67:$E$105,$AA61)+求节点(X$6:X$44,$K$67:$K$105,$AA61)+求节点(X$67:X$105,$O$67:$O$105,$AA61)</f>
        <v>4437.3840008110601</v>
      </c>
      <c r="BF61" s="5">
        <f>求节点(T$6:T$44,$G$67:$G$105,$AA61)</f>
        <v>0</v>
      </c>
      <c r="BG61" s="5">
        <f>求节点(U$6:U$44,$G$67:$G$105,$AA61)</f>
        <v>0</v>
      </c>
      <c r="BH61" s="5">
        <f>求节点(V$6:V$44,$G$67:$G$105,$AA61)</f>
        <v>0</v>
      </c>
      <c r="BI61" s="5">
        <f>求节点(W$6:W$44,$G$67:$G$105,$AA61)</f>
        <v>0</v>
      </c>
      <c r="BJ61" s="5">
        <f>求节点(X$6:X$44,$G$67:$G$105,$AA61)</f>
        <v>0</v>
      </c>
      <c r="BK61" s="5">
        <f>求节点(T$6:T$44,$M$67:$M$105,$AA61)</f>
        <v>38</v>
      </c>
      <c r="BL61" s="5">
        <f>求节点(U$6:U$44,$M$67:$M$105,$AA61)</f>
        <v>38.569414626739793</v>
      </c>
      <c r="BM61" s="5">
        <f>求节点(V$6:V$44,$M$67:$M$105,$AA61)</f>
        <v>40.138559117903924</v>
      </c>
      <c r="BN61" s="5">
        <f>求节点(W$6:W$44,$M$67:$M$105,$AA61)</f>
        <v>41.807807446344462</v>
      </c>
      <c r="BO61" s="5">
        <f>求节点(X$6:X$44,$M$67:$M$105,$AA61)</f>
        <v>42.667153853952506</v>
      </c>
      <c r="BP61" s="5">
        <f>求节点(T$67:T$105,$L$67:$L$105,$AA61)</f>
        <v>0</v>
      </c>
      <c r="BQ61" s="5">
        <f>求节点(U$67:U$105,$L$67:$L$105,$AA61)</f>
        <v>0</v>
      </c>
      <c r="BR61" s="5">
        <f>求节点(V$67:V$105,$L$67:$L$105,$AA61)</f>
        <v>0</v>
      </c>
      <c r="BS61" s="5">
        <f>求节点(W$67:W$105,$L$67:$L$105,$AA61)</f>
        <v>0</v>
      </c>
      <c r="BT61" s="5">
        <f>求节点(X$67:X$105,$L$67:$L$105,$AA61)</f>
        <v>0</v>
      </c>
      <c r="BZ61" s="5">
        <v>57</v>
      </c>
      <c r="CA61" s="5">
        <f t="shared" si="9"/>
        <v>3952</v>
      </c>
      <c r="CB61" s="5">
        <f t="shared" si="10"/>
        <v>4011.2191211809386</v>
      </c>
      <c r="CC61" s="5">
        <f t="shared" si="11"/>
        <v>4174.4101482620081</v>
      </c>
      <c r="CD61" s="5">
        <f t="shared" si="12"/>
        <v>4348.0119744198246</v>
      </c>
      <c r="CE61" s="5">
        <f t="shared" si="13"/>
        <v>4437.3840008110601</v>
      </c>
      <c r="CF61" s="5">
        <f>(CA61-CA60)/节奏总纲!W60</f>
        <v>19.91637093744027</v>
      </c>
      <c r="CI61" s="5">
        <v>57</v>
      </c>
      <c r="CJ61" s="5">
        <f t="shared" si="14"/>
        <v>9120</v>
      </c>
      <c r="CK61" s="5">
        <f t="shared" si="15"/>
        <v>9256.6595104175503</v>
      </c>
      <c r="CL61" s="5">
        <f t="shared" si="16"/>
        <v>9633.2541882969417</v>
      </c>
      <c r="CM61" s="5">
        <f t="shared" si="17"/>
        <v>10033.873787122671</v>
      </c>
      <c r="CN61" s="5">
        <f t="shared" si="18"/>
        <v>10240.116924948601</v>
      </c>
      <c r="CO61" s="5">
        <f>(CJ61-CJ60)/节奏总纲!W60</f>
        <v>45.960856009477745</v>
      </c>
      <c r="CP61" s="5">
        <f t="shared" si="27"/>
        <v>65.877226946918015</v>
      </c>
      <c r="CR61" s="5">
        <v>57</v>
      </c>
      <c r="CS61" s="5">
        <f t="shared" si="28"/>
        <v>0</v>
      </c>
      <c r="CT61" s="5">
        <f t="shared" si="29"/>
        <v>0</v>
      </c>
      <c r="CU61" s="5">
        <f t="shared" si="30"/>
        <v>0</v>
      </c>
      <c r="CV61" s="5">
        <f t="shared" si="31"/>
        <v>0</v>
      </c>
      <c r="CW61" s="5">
        <f t="shared" si="32"/>
        <v>0</v>
      </c>
      <c r="CX61" s="5">
        <f t="shared" si="20"/>
        <v>0</v>
      </c>
      <c r="CY61" s="5">
        <f t="shared" si="21"/>
        <v>0</v>
      </c>
      <c r="CZ61" s="5">
        <f t="shared" si="22"/>
        <v>0</v>
      </c>
      <c r="DA61" s="5">
        <f t="shared" si="23"/>
        <v>0</v>
      </c>
      <c r="DB61" s="5">
        <f t="shared" si="24"/>
        <v>0</v>
      </c>
    </row>
    <row r="62" spans="2:106" x14ac:dyDescent="0.15">
      <c r="AA62" s="5">
        <v>58</v>
      </c>
      <c r="AB62" s="5">
        <f>求节点(T$6:T$44,$C$67:$C$105,$AA62)</f>
        <v>0</v>
      </c>
      <c r="AC62" s="5">
        <f>求节点(U$6:U$44,$C$67:$C$105,$AA62)</f>
        <v>0</v>
      </c>
      <c r="AD62" s="5">
        <f>求节点(V$6:V$44,$C$67:$C$105,$AA62)</f>
        <v>0</v>
      </c>
      <c r="AE62" s="5">
        <f>求节点(W$6:W$44,$C$67:$C$105,$AA62)</f>
        <v>0</v>
      </c>
      <c r="AF62" s="5">
        <f>求节点(X$6:X$44,$C$67:$C$105,$AA62)</f>
        <v>0</v>
      </c>
      <c r="AG62" s="5">
        <f>求节点(T$6:T$44,$D$67:$D$105,$AA62)+求节点(T$67:T$105,$Q$67:$Q$105,$AA62)</f>
        <v>4329400</v>
      </c>
      <c r="AH62" s="5">
        <f>求节点(U$6:U$44,$D$67:$D$105,$AA62)+求节点(U$67:U$105,$Q$67:$Q$105,$AA62)</f>
        <v>4612616.5400812086</v>
      </c>
      <c r="AI62" s="5">
        <f>求节点(V$6:V$44,$D$67:$D$105,$AA62)+求节点(V$67:V$105,$Q$67:$Q$105,$AA62)</f>
        <v>5428684.4612666294</v>
      </c>
      <c r="AJ62" s="5">
        <f>求节点(W$6:W$44,$D$67:$D$105,$AA62)+求节点(W$67:W$105,$Q$67:$Q$105,$AA62)</f>
        <v>6611592.0006929282</v>
      </c>
      <c r="AK62" s="5">
        <f>求节点(X$6:X$44,$D$67:$D$105,$AA62)+求节点(X$67:X$105,$Q$67:$Q$105,$AA62)</f>
        <v>7257209.9765289938</v>
      </c>
      <c r="AL62" s="5">
        <f>求节点(T$6:T$44,$F$67:$F$105,$AA62)+求节点(T$67:T$105,$P$67:$P$105,$AA62)</f>
        <v>654400</v>
      </c>
      <c r="AM62" s="5">
        <f>求节点(U$6:U$44,$F$67:$F$105,$AA62)+求节点(U$67:U$105,$P$67:$P$105,$AA62)</f>
        <v>667634.41776080418</v>
      </c>
      <c r="AN62" s="5">
        <f>求节点(V$6:V$44,$F$67:$F$105,$AA62)+求节点(V$67:V$105,$P$67:$P$105,$AA62)</f>
        <v>702811.26307284576</v>
      </c>
      <c r="AO62" s="5">
        <f>求节点(W$6:W$44,$F$67:$F$105,$AA62)+求节点(W$67:W$105,$P$67:$P$105,$AA62)</f>
        <v>747634.0463124098</v>
      </c>
      <c r="AP62" s="5">
        <f>求节点(X$6:X$44,$F$67:$F$105,$AA62)+求节点(X$67:X$105,$P$67:$P$105,$AA62)</f>
        <v>769532.50119910797</v>
      </c>
      <c r="AQ62" s="5">
        <f>求节点(T$6:T$44,$H$67:$H$105,$AA62)</f>
        <v>432600</v>
      </c>
      <c r="AR62" s="5">
        <f>求节点(U$6:U$44,$H$67:$H$105,$AA62)</f>
        <v>440044.3599904523</v>
      </c>
      <c r="AS62" s="5">
        <f>求节点(V$6:V$44,$H$67:$H$105,$AA62)</f>
        <v>459606.18095461052</v>
      </c>
      <c r="AT62" s="5">
        <f>求节点(W$6:W$44,$H$67:$H$105,$AA62)</f>
        <v>483970.96569480514</v>
      </c>
      <c r="AU62" s="5">
        <f>求节点(X$6:X$44,$H$67:$H$105,$AA62)</f>
        <v>495564.26534070418</v>
      </c>
      <c r="AV62" s="5">
        <f>求节点(T$6:T$44,$I$67:$I$105,$AA62)</f>
        <v>4102666.6666666665</v>
      </c>
      <c r="AW62" s="5">
        <f>求节点(U$6:U$44,$I$67:$I$105,$AA62)</f>
        <v>4280228.4382907888</v>
      </c>
      <c r="AX62" s="5">
        <f>求节点(V$6:V$44,$I$67:$I$105,$AA62)</f>
        <v>4794179.9344564388</v>
      </c>
      <c r="AY62" s="5">
        <f>求节点(W$6:W$44,$I$67:$I$105,$AA62)</f>
        <v>5521870.9022337655</v>
      </c>
      <c r="AZ62" s="5">
        <f>求节点(X$6:X$44,$I$67:$I$105,$AA62)</f>
        <v>5892856.4909025338</v>
      </c>
      <c r="BA62" s="5">
        <f>求节点(T$6:T$44,$E$67:$E$105,$AA62)+求节点(T$6:T$44,$K$67:$K$105,$AA62)+求节点(T$67:T$105,$O$67:$O$105,$AA62)</f>
        <v>4021.333333333333</v>
      </c>
      <c r="BB62" s="5">
        <f>求节点(U$6:U$44,$E$67:$E$105,$AA62)+求节点(U$6:U$44,$K$67:$K$105,$AA62)+求节点(U$67:U$105,$O$67:$O$105,$AA62)</f>
        <v>4078.682476963485</v>
      </c>
      <c r="BC62" s="5">
        <f>求节点(V$6:V$44,$E$67:$E$105,$AA62)+求节点(V$6:V$44,$K$67:$K$105,$AA62)+求节点(V$67:V$105,$O$67:$O$105,$AA62)</f>
        <v>4229.3809495762589</v>
      </c>
      <c r="BD62" s="5">
        <f>求节点(W$6:W$44,$E$67:$E$105,$AA62)+求节点(W$6:W$44,$K$67:$K$105,$AA62)+求节点(W$67:W$105,$O$67:$O$105,$AA62)</f>
        <v>4417.0800320192393</v>
      </c>
      <c r="BE62" s="5">
        <f>求节点(X$6:X$44,$E$67:$E$105,$AA62)+求节点(X$6:X$44,$K$67:$K$105,$AA62)+求节点(X$67:X$105,$O$67:$O$105,$AA62)</f>
        <v>4506.3913774394987</v>
      </c>
      <c r="BF62" s="5">
        <f>求节点(T$6:T$44,$G$67:$G$105,$AA62)</f>
        <v>0</v>
      </c>
      <c r="BG62" s="5">
        <f>求节点(U$6:U$44,$G$67:$G$105,$AA62)</f>
        <v>0</v>
      </c>
      <c r="BH62" s="5">
        <f>求节点(V$6:V$44,$G$67:$G$105,$AA62)</f>
        <v>0</v>
      </c>
      <c r="BI62" s="5">
        <f>求节点(W$6:W$44,$G$67:$G$105,$AA62)</f>
        <v>0</v>
      </c>
      <c r="BJ62" s="5">
        <f>求节点(X$6:X$44,$G$67:$G$105,$AA62)</f>
        <v>0</v>
      </c>
      <c r="BK62" s="5">
        <f>求节点(T$6:T$44,$M$67:$M$105,$AA62)</f>
        <v>38.666666666666664</v>
      </c>
      <c r="BL62" s="5">
        <f>求节点(U$6:U$44,$M$67:$M$105,$AA62)</f>
        <v>39.218100740033506</v>
      </c>
      <c r="BM62" s="5">
        <f>求节点(V$6:V$44,$M$67:$M$105,$AA62)</f>
        <v>40.667124515156331</v>
      </c>
      <c r="BN62" s="5">
        <f>求节点(W$6:W$44,$M$67:$M$105,$AA62)</f>
        <v>42.471923384800384</v>
      </c>
      <c r="BO62" s="5">
        <f>求节点(X$6:X$44,$M$67:$M$105,$AA62)</f>
        <v>43.330686321533641</v>
      </c>
      <c r="BP62" s="5">
        <f>求节点(T$67:T$105,$L$67:$L$105,$AA62)</f>
        <v>0</v>
      </c>
      <c r="BQ62" s="5">
        <f>求节点(U$67:U$105,$L$67:$L$105,$AA62)</f>
        <v>0</v>
      </c>
      <c r="BR62" s="5">
        <f>求节点(V$67:V$105,$L$67:$L$105,$AA62)</f>
        <v>0</v>
      </c>
      <c r="BS62" s="5">
        <f>求节点(W$67:W$105,$L$67:$L$105,$AA62)</f>
        <v>0</v>
      </c>
      <c r="BT62" s="5">
        <f>求节点(X$67:X$105,$L$67:$L$105,$AA62)</f>
        <v>0</v>
      </c>
      <c r="BZ62" s="5">
        <v>58</v>
      </c>
      <c r="CA62" s="5">
        <f t="shared" si="9"/>
        <v>4021.333333333333</v>
      </c>
      <c r="CB62" s="5">
        <f t="shared" si="10"/>
        <v>4078.682476963485</v>
      </c>
      <c r="CC62" s="5">
        <f t="shared" si="11"/>
        <v>4229.3809495762589</v>
      </c>
      <c r="CD62" s="5">
        <f t="shared" si="12"/>
        <v>4417.0800320192393</v>
      </c>
      <c r="CE62" s="5">
        <f t="shared" si="13"/>
        <v>4506.3913774394987</v>
      </c>
      <c r="CF62" s="5">
        <f>(CA62-CA61)/节奏总纲!W61</f>
        <v>18.582631156316868</v>
      </c>
      <c r="CI62" s="5">
        <v>58</v>
      </c>
      <c r="CJ62" s="5">
        <f t="shared" si="14"/>
        <v>9280</v>
      </c>
      <c r="CK62" s="5">
        <f t="shared" si="15"/>
        <v>9412.3441776080417</v>
      </c>
      <c r="CL62" s="5">
        <f t="shared" si="16"/>
        <v>9760.1098836375204</v>
      </c>
      <c r="CM62" s="5">
        <f t="shared" si="17"/>
        <v>10193.261612352093</v>
      </c>
      <c r="CN62" s="5">
        <f t="shared" si="18"/>
        <v>10399.364717168073</v>
      </c>
      <c r="CO62" s="5">
        <f>(CJ62-CJ61)/节奏总纲!W61</f>
        <v>42.882994976116038</v>
      </c>
      <c r="CP62" s="5">
        <f t="shared" si="27"/>
        <v>61.465626132432902</v>
      </c>
      <c r="CR62" s="5">
        <v>58</v>
      </c>
      <c r="CS62" s="5">
        <f t="shared" si="28"/>
        <v>0</v>
      </c>
      <c r="CT62" s="5">
        <f t="shared" si="29"/>
        <v>0</v>
      </c>
      <c r="CU62" s="5">
        <f t="shared" si="30"/>
        <v>0</v>
      </c>
      <c r="CV62" s="5">
        <f t="shared" si="31"/>
        <v>0</v>
      </c>
      <c r="CW62" s="5">
        <f t="shared" si="32"/>
        <v>0</v>
      </c>
      <c r="CX62" s="5">
        <f t="shared" si="20"/>
        <v>0</v>
      </c>
      <c r="CY62" s="5">
        <f t="shared" si="21"/>
        <v>0</v>
      </c>
      <c r="CZ62" s="5">
        <f t="shared" si="22"/>
        <v>0</v>
      </c>
      <c r="DA62" s="5">
        <f t="shared" si="23"/>
        <v>0</v>
      </c>
      <c r="DB62" s="5">
        <f t="shared" si="24"/>
        <v>0</v>
      </c>
    </row>
    <row r="63" spans="2:106" x14ac:dyDescent="0.15">
      <c r="AA63" s="5">
        <v>59</v>
      </c>
      <c r="AB63" s="5">
        <f>求节点(T$6:T$44,$C$67:$C$105,$AA63)</f>
        <v>0</v>
      </c>
      <c r="AC63" s="5">
        <f>求节点(U$6:U$44,$C$67:$C$105,$AA63)</f>
        <v>0</v>
      </c>
      <c r="AD63" s="5">
        <f>求节点(V$6:V$44,$C$67:$C$105,$AA63)</f>
        <v>0</v>
      </c>
      <c r="AE63" s="5">
        <f>求节点(W$6:W$44,$C$67:$C$105,$AA63)</f>
        <v>0</v>
      </c>
      <c r="AF63" s="5">
        <f>求节点(X$6:X$44,$C$67:$C$105,$AA63)</f>
        <v>0</v>
      </c>
      <c r="AG63" s="5">
        <f>求节点(T$6:T$44,$D$67:$D$105,$AA63)+求节点(T$67:T$105,$Q$67:$Q$105,$AA63)</f>
        <v>4671800</v>
      </c>
      <c r="AH63" s="5">
        <f>求节点(U$6:U$44,$D$67:$D$105,$AA63)+求节点(U$67:U$105,$Q$67:$Q$105,$AA63)</f>
        <v>4945781.7278688578</v>
      </c>
      <c r="AI63" s="5">
        <f>求节点(V$6:V$44,$D$67:$D$105,$AA63)+求节点(V$67:V$105,$Q$67:$Q$105,$AA63)</f>
        <v>5757082.1425795527</v>
      </c>
      <c r="AJ63" s="5">
        <f>求节点(W$6:W$44,$D$67:$D$105,$AA63)+求节点(W$67:W$105,$Q$67:$Q$105,$AA63)</f>
        <v>7152535.4868253274</v>
      </c>
      <c r="AK63" s="5">
        <f>求节点(X$6:X$44,$D$67:$D$105,$AA63)+求节点(X$67:X$105,$Q$67:$Q$105,$AA63)</f>
        <v>7756053.6856564954</v>
      </c>
      <c r="AL63" s="5">
        <f>求节点(T$6:T$44,$F$67:$F$105,$AA63)+求节点(T$67:T$105,$P$67:$P$105,$AA63)</f>
        <v>670400</v>
      </c>
      <c r="AM63" s="5">
        <f>求节点(U$6:U$44,$F$67:$F$105,$AA63)+求节点(U$67:U$105,$P$67:$P$105,$AA63)</f>
        <v>683202.88447985321</v>
      </c>
      <c r="AN63" s="5">
        <f>求节点(V$6:V$44,$F$67:$F$105,$AA63)+求节点(V$67:V$105,$P$67:$P$105,$AA63)</f>
        <v>715813.97184525512</v>
      </c>
      <c r="AO63" s="5">
        <f>求节点(W$6:W$44,$F$67:$F$105,$AA63)+求节点(W$67:W$105,$P$67:$P$105,$AA63)</f>
        <v>765982.08953717188</v>
      </c>
      <c r="AP63" s="5">
        <f>求节点(X$6:X$44,$F$67:$F$105,$AA63)+求节点(X$67:X$105,$P$67:$P$105,$AA63)</f>
        <v>786452.57912242704</v>
      </c>
      <c r="AQ63" s="5">
        <f>求节点(T$6:T$44,$H$67:$H$105,$AA63)</f>
        <v>441600</v>
      </c>
      <c r="AR63" s="5">
        <f>求节点(U$6:U$44,$H$67:$H$105,$AA63)</f>
        <v>448801.62251991738</v>
      </c>
      <c r="AS63" s="5">
        <f>求节点(V$6:V$44,$H$67:$H$105,$AA63)</f>
        <v>466741.81381751806</v>
      </c>
      <c r="AT63" s="5">
        <f>求节点(W$6:W$44,$H$67:$H$105,$AA63)</f>
        <v>493684.63563732628</v>
      </c>
      <c r="AU63" s="5">
        <f>求节点(X$6:X$44,$H$67:$H$105,$AA63)</f>
        <v>504521.9536530496</v>
      </c>
      <c r="AV63" s="5">
        <f>求节点(T$6:T$44,$I$67:$I$105,$AA63)</f>
        <v>4317333.333333333</v>
      </c>
      <c r="AW63" s="5">
        <f>求节点(U$6:U$44,$I$67:$I$105,$AA63)</f>
        <v>4489105.3667713627</v>
      </c>
      <c r="AX63" s="5">
        <f>求节点(V$6:V$44,$I$67:$I$105,$AA63)</f>
        <v>5001906.1355766365</v>
      </c>
      <c r="AY63" s="5">
        <f>求节点(W$6:W$44,$I$67:$I$105,$AA63)</f>
        <v>5832708.340394442</v>
      </c>
      <c r="AZ63" s="5">
        <f>求节点(X$6:X$44,$I$67:$I$105,$AA63)</f>
        <v>6179502.5168975871</v>
      </c>
      <c r="BA63" s="5">
        <f>求节点(T$6:T$44,$E$67:$E$105,$AA63)+求节点(T$6:T$44,$K$67:$K$105,$AA63)+求节点(T$67:T$105,$O$67:$O$105,$AA63)</f>
        <v>4090.666666666667</v>
      </c>
      <c r="BB63" s="5">
        <f>求节点(U$6:U$44,$E$67:$E$105,$AA63)+求节点(U$6:U$44,$K$67:$K$105,$AA63)+求节点(U$67:U$105,$O$67:$O$105,$AA63)</f>
        <v>4146.1458327460305</v>
      </c>
      <c r="BC63" s="5">
        <f>求节点(V$6:V$44,$E$67:$E$105,$AA63)+求节点(V$6:V$44,$K$67:$K$105,$AA63)+求节点(V$67:V$105,$O$67:$O$105,$AA63)</f>
        <v>4284.3517508905097</v>
      </c>
      <c r="BD63" s="5">
        <f>求节点(W$6:W$44,$E$67:$E$105,$AA63)+求节点(W$6:W$44,$K$67:$K$105,$AA63)+求节点(W$67:W$105,$O$67:$O$105,$AA63)</f>
        <v>4491.9112671319954</v>
      </c>
      <c r="BE63" s="5">
        <f>求节点(X$6:X$44,$E$67:$E$105,$AA63)+求节点(X$6:X$44,$K$67:$K$105,$AA63)+求节点(X$67:X$105,$O$67:$O$105,$AA63)</f>
        <v>4575.3987540679373</v>
      </c>
      <c r="BF63" s="5">
        <f>求节点(T$6:T$44,$G$67:$G$105,$AA63)</f>
        <v>0</v>
      </c>
      <c r="BG63" s="5">
        <f>求节点(U$6:U$44,$G$67:$G$105,$AA63)</f>
        <v>0</v>
      </c>
      <c r="BH63" s="5">
        <f>求节点(V$6:V$44,$G$67:$G$105,$AA63)</f>
        <v>0</v>
      </c>
      <c r="BI63" s="5">
        <f>求节点(W$6:W$44,$G$67:$G$105,$AA63)</f>
        <v>0</v>
      </c>
      <c r="BJ63" s="5">
        <f>求节点(X$6:X$44,$G$67:$G$105,$AA63)</f>
        <v>0</v>
      </c>
      <c r="BK63" s="5">
        <f>求节点(T$6:T$44,$M$67:$M$105,$AA63)</f>
        <v>39.333333333333336</v>
      </c>
      <c r="BL63" s="5">
        <f>求节点(U$6:U$44,$M$67:$M$105,$AA63)</f>
        <v>39.866786853327213</v>
      </c>
      <c r="BM63" s="5">
        <f>求节点(V$6:V$44,$M$67:$M$105,$AA63)</f>
        <v>41.195689912408746</v>
      </c>
      <c r="BN63" s="5">
        <f>求节点(W$6:W$44,$M$67:$M$105,$AA63)</f>
        <v>43.191454491653801</v>
      </c>
      <c r="BO63" s="5">
        <f>求节点(X$6:X$44,$M$67:$M$105,$AA63)</f>
        <v>43.994218789114782</v>
      </c>
      <c r="BP63" s="5">
        <f>求节点(T$67:T$105,$L$67:$L$105,$AA63)</f>
        <v>0</v>
      </c>
      <c r="BQ63" s="5">
        <f>求节点(U$67:U$105,$L$67:$L$105,$AA63)</f>
        <v>0</v>
      </c>
      <c r="BR63" s="5">
        <f>求节点(V$67:V$105,$L$67:$L$105,$AA63)</f>
        <v>0</v>
      </c>
      <c r="BS63" s="5">
        <f>求节点(W$67:W$105,$L$67:$L$105,$AA63)</f>
        <v>0</v>
      </c>
      <c r="BT63" s="5">
        <f>求节点(X$67:X$105,$L$67:$L$105,$AA63)</f>
        <v>0</v>
      </c>
      <c r="BZ63" s="5">
        <v>59</v>
      </c>
      <c r="CA63" s="5">
        <f t="shared" si="9"/>
        <v>4090.666666666667</v>
      </c>
      <c r="CB63" s="5">
        <f t="shared" si="10"/>
        <v>4146.1458327460305</v>
      </c>
      <c r="CC63" s="5">
        <f t="shared" si="11"/>
        <v>4284.3517508905097</v>
      </c>
      <c r="CD63" s="5">
        <f t="shared" si="12"/>
        <v>4491.9112671319954</v>
      </c>
      <c r="CE63" s="5">
        <f t="shared" si="13"/>
        <v>4575.3987540679373</v>
      </c>
      <c r="CF63" s="5">
        <f>(CA63-CA62)/节奏总纲!W62</f>
        <v>17.338207938403297</v>
      </c>
      <c r="CI63" s="5">
        <v>59</v>
      </c>
      <c r="CJ63" s="5">
        <f t="shared" si="14"/>
        <v>9440</v>
      </c>
      <c r="CK63" s="5">
        <f t="shared" si="15"/>
        <v>9568.0288447985313</v>
      </c>
      <c r="CL63" s="5">
        <f t="shared" si="16"/>
        <v>9886.9655789780991</v>
      </c>
      <c r="CM63" s="5">
        <f t="shared" si="17"/>
        <v>10365.949077996913</v>
      </c>
      <c r="CN63" s="5">
        <f t="shared" si="18"/>
        <v>10558.612509387547</v>
      </c>
      <c r="CO63" s="5">
        <f>(CJ63-CJ62)/节奏总纲!W62</f>
        <v>40.011249088622648</v>
      </c>
      <c r="CP63" s="5">
        <f t="shared" si="27"/>
        <v>57.349457027025949</v>
      </c>
      <c r="CR63" s="5">
        <v>59</v>
      </c>
      <c r="CS63" s="5">
        <f t="shared" si="28"/>
        <v>0</v>
      </c>
      <c r="CT63" s="5">
        <f t="shared" si="29"/>
        <v>0</v>
      </c>
      <c r="CU63" s="5">
        <f t="shared" si="30"/>
        <v>0</v>
      </c>
      <c r="CV63" s="5">
        <f t="shared" si="31"/>
        <v>0</v>
      </c>
      <c r="CW63" s="5">
        <f t="shared" si="32"/>
        <v>0</v>
      </c>
      <c r="CX63" s="5">
        <f t="shared" si="20"/>
        <v>0</v>
      </c>
      <c r="CY63" s="5">
        <f t="shared" si="21"/>
        <v>0</v>
      </c>
      <c r="CZ63" s="5">
        <f t="shared" si="22"/>
        <v>0</v>
      </c>
      <c r="DA63" s="5">
        <f t="shared" si="23"/>
        <v>0</v>
      </c>
      <c r="DB63" s="5">
        <f t="shared" si="24"/>
        <v>0</v>
      </c>
    </row>
    <row r="64" spans="2:106" x14ac:dyDescent="0.15">
      <c r="C64" s="5" t="s">
        <v>23</v>
      </c>
      <c r="AA64" s="5">
        <v>60</v>
      </c>
      <c r="AB64" s="5">
        <f>求节点(T$6:T$44,$C$67:$C$105,$AA64)</f>
        <v>0</v>
      </c>
      <c r="AC64" s="5">
        <f>求节点(U$6:U$44,$C$67:$C$105,$AA64)</f>
        <v>0</v>
      </c>
      <c r="AD64" s="5">
        <f>求节点(V$6:V$44,$C$67:$C$105,$AA64)</f>
        <v>0</v>
      </c>
      <c r="AE64" s="5">
        <f>求节点(W$6:W$44,$C$67:$C$105,$AA64)</f>
        <v>0</v>
      </c>
      <c r="AF64" s="5">
        <f>求节点(X$6:X$44,$C$67:$C$105,$AA64)</f>
        <v>0</v>
      </c>
      <c r="AG64" s="5">
        <f>求节点(T$6:T$44,$D$67:$D$105,$AA64)+求节点(T$67:T$105,$Q$67:$Q$105,$AA64)</f>
        <v>5014200</v>
      </c>
      <c r="AH64" s="5">
        <f>求节点(U$6:U$44,$D$67:$D$105,$AA64)+求节点(U$67:U$105,$Q$67:$Q$105,$AA64)</f>
        <v>5386073.1928345347</v>
      </c>
      <c r="AI64" s="5">
        <f>求节点(V$6:V$44,$D$67:$D$105,$AA64)+求节点(V$67:V$105,$Q$67:$Q$105,$AA64)</f>
        <v>6085479.823892476</v>
      </c>
      <c r="AJ64" s="5">
        <f>求节点(W$6:W$44,$D$67:$D$105,$AA64)+求节点(W$67:W$105,$Q$67:$Q$105,$AA64)</f>
        <v>7693478.9729577266</v>
      </c>
      <c r="AK64" s="5">
        <f>求节点(X$6:X$44,$D$67:$D$105,$AA64)+求节点(X$67:X$105,$Q$67:$Q$105,$AA64)</f>
        <v>8689455.801675722</v>
      </c>
      <c r="AL64" s="5">
        <f>求节点(T$6:T$44,$F$67:$F$105,$AA64)+求节点(T$67:T$105,$P$67:$P$105,$AA64)</f>
        <v>686400</v>
      </c>
      <c r="AM64" s="5">
        <f>求节点(U$6:U$44,$F$67:$F$105,$AA64)+求节点(U$67:U$105,$P$67:$P$105,$AA64)</f>
        <v>701124.09551541856</v>
      </c>
      <c r="AN64" s="5">
        <f>求节点(V$6:V$44,$F$67:$F$105,$AA64)+求节点(V$67:V$105,$P$67:$P$105,$AA64)</f>
        <v>728816.68061766447</v>
      </c>
      <c r="AO64" s="5">
        <f>求节点(W$6:W$44,$F$67:$F$105,$AA64)+求节点(W$67:W$105,$P$67:$P$105,$AA64)</f>
        <v>784330.13276193407</v>
      </c>
      <c r="AP64" s="5">
        <f>求节点(X$6:X$44,$F$67:$F$105,$AA64)+求节点(X$67:X$105,$P$67:$P$105,$AA64)</f>
        <v>813249.47403421951</v>
      </c>
      <c r="AQ64" s="5">
        <f>求节点(T$6:T$44,$H$67:$H$105,$AA64)</f>
        <v>450600</v>
      </c>
      <c r="AR64" s="5">
        <f>求节点(U$6:U$44,$H$67:$H$105,$AA64)</f>
        <v>458680.29631943704</v>
      </c>
      <c r="AS64" s="5">
        <f>求节点(V$6:V$44,$H$67:$H$105,$AA64)</f>
        <v>473877.44668042561</v>
      </c>
      <c r="AT64" s="5">
        <f>求节点(W$6:W$44,$H$67:$H$105,$AA64)</f>
        <v>503398.30557984742</v>
      </c>
      <c r="AU64" s="5">
        <f>求节点(X$6:X$44,$H$67:$H$105,$AA64)</f>
        <v>518384.21070735494</v>
      </c>
      <c r="AV64" s="5">
        <f>求节点(T$6:T$44,$I$67:$I$105,$AA64)</f>
        <v>4532000</v>
      </c>
      <c r="AW64" s="5">
        <f>求节点(U$6:U$44,$I$67:$I$105,$AA64)</f>
        <v>4767226.4039658336</v>
      </c>
      <c r="AX64" s="5">
        <f>求节点(V$6:V$44,$I$67:$I$105,$AA64)</f>
        <v>5209632.3366968343</v>
      </c>
      <c r="AY64" s="5">
        <f>求节点(W$6:W$44,$I$67:$I$105,$AA64)</f>
        <v>6143545.7785551185</v>
      </c>
      <c r="AZ64" s="5">
        <f>求节点(X$6:X$44,$I$67:$I$105,$AA64)</f>
        <v>6642494.7428901531</v>
      </c>
      <c r="BA64" s="5">
        <f>求节点(T$6:T$44,$E$67:$E$105,$AA64)+求节点(T$6:T$44,$K$67:$K$105,$AA64)+求节点(T$67:T$105,$O$67:$O$105,$AA64)</f>
        <v>4160</v>
      </c>
      <c r="BB64" s="5">
        <f>求节点(U$6:U$44,$E$67:$E$105,$AA64)+求节点(U$6:U$44,$K$67:$K$105,$AA64)+求节点(U$67:U$105,$O$67:$O$105,$AA64)</f>
        <v>4222.2482086830705</v>
      </c>
      <c r="BC64" s="5">
        <f>求节点(V$6:V$44,$E$67:$E$105,$AA64)+求节点(V$6:V$44,$K$67:$K$105,$AA64)+求节点(V$67:V$105,$O$67:$O$105,$AA64)</f>
        <v>4339.3225522047605</v>
      </c>
      <c r="BD64" s="5">
        <f>求节点(W$6:W$44,$E$67:$E$105,$AA64)+求节点(W$6:W$44,$K$67:$K$105,$AA64)+求节点(W$67:W$105,$O$67:$O$105,$AA64)</f>
        <v>4566.7425022447505</v>
      </c>
      <c r="BE64" s="5">
        <f>求节点(X$6:X$44,$E$67:$E$105,$AA64)+求节点(X$6:X$44,$K$67:$K$105,$AA64)+求节点(X$67:X$105,$O$67:$O$105,$AA64)</f>
        <v>4682.1894750788824</v>
      </c>
      <c r="BF64" s="5">
        <f>求节点(T$6:T$44,$G$67:$G$105,$AA64)</f>
        <v>0</v>
      </c>
      <c r="BG64" s="5">
        <f>求节点(U$6:U$44,$G$67:$G$105,$AA64)</f>
        <v>0</v>
      </c>
      <c r="BH64" s="5">
        <f>求节点(V$6:V$44,$G$67:$G$105,$AA64)</f>
        <v>0</v>
      </c>
      <c r="BI64" s="5">
        <f>求节点(W$6:W$44,$G$67:$G$105,$AA64)</f>
        <v>0</v>
      </c>
      <c r="BJ64" s="5">
        <f>求节点(X$6:X$44,$G$67:$G$105,$AA64)</f>
        <v>0</v>
      </c>
      <c r="BK64" s="5">
        <f>求节点(T$6:T$44,$M$67:$M$105,$AA64)</f>
        <v>40</v>
      </c>
      <c r="BL64" s="5">
        <f>求节点(U$6:U$44,$M$67:$M$105,$AA64)</f>
        <v>40.598540468106442</v>
      </c>
      <c r="BM64" s="5">
        <f>求节点(V$6:V$44,$M$67:$M$105,$AA64)</f>
        <v>41.724255309661153</v>
      </c>
      <c r="BN64" s="5">
        <f>求节点(W$6:W$44,$M$67:$M$105,$AA64)</f>
        <v>43.910985598507217</v>
      </c>
      <c r="BO64" s="5">
        <f>求节点(X$6:X$44,$M$67:$M$105,$AA64)</f>
        <v>45.021052644989254</v>
      </c>
      <c r="BP64" s="5">
        <f>求节点(T$67:T$105,$L$67:$L$105,$AA64)</f>
        <v>0</v>
      </c>
      <c r="BQ64" s="5">
        <f>求节点(U$67:U$105,$L$67:$L$105,$AA64)</f>
        <v>0</v>
      </c>
      <c r="BR64" s="5">
        <f>求节点(V$67:V$105,$L$67:$L$105,$AA64)</f>
        <v>0</v>
      </c>
      <c r="BS64" s="5">
        <f>求节点(W$67:W$105,$L$67:$L$105,$AA64)</f>
        <v>0</v>
      </c>
      <c r="BT64" s="5">
        <f>求节点(X$67:X$105,$L$67:$L$105,$AA64)</f>
        <v>0</v>
      </c>
      <c r="BZ64" s="5">
        <v>60</v>
      </c>
      <c r="CA64" s="5">
        <f t="shared" si="9"/>
        <v>4160</v>
      </c>
      <c r="CB64" s="5">
        <f t="shared" si="10"/>
        <v>4222.2482086830705</v>
      </c>
      <c r="CC64" s="5">
        <f t="shared" si="11"/>
        <v>4339.3225522047605</v>
      </c>
      <c r="CD64" s="5">
        <f t="shared" si="12"/>
        <v>4566.7425022447505</v>
      </c>
      <c r="CE64" s="5">
        <f t="shared" si="13"/>
        <v>4682.1894750788824</v>
      </c>
      <c r="CF64" s="5">
        <f>(CA64-CA63)/节奏总纲!W63</f>
        <v>16.177120020655749</v>
      </c>
      <c r="CI64" s="5">
        <v>60</v>
      </c>
      <c r="CJ64" s="5">
        <f t="shared" si="14"/>
        <v>9600</v>
      </c>
      <c r="CK64" s="5">
        <f t="shared" si="15"/>
        <v>9743.6497123455465</v>
      </c>
      <c r="CL64" s="5">
        <f t="shared" si="16"/>
        <v>10013.821274318676</v>
      </c>
      <c r="CM64" s="5">
        <f t="shared" si="17"/>
        <v>10538.636543641733</v>
      </c>
      <c r="CN64" s="5">
        <f t="shared" si="18"/>
        <v>10805.052634797421</v>
      </c>
      <c r="CO64" s="5">
        <f>(CJ64-CJ63)/节奏总纲!W63</f>
        <v>37.33181543228266</v>
      </c>
      <c r="CP64" s="5">
        <f t="shared" si="27"/>
        <v>53.50893545293841</v>
      </c>
      <c r="CR64" s="5">
        <v>60</v>
      </c>
      <c r="CS64" s="5">
        <f t="shared" si="28"/>
        <v>0</v>
      </c>
      <c r="CT64" s="5">
        <f t="shared" si="29"/>
        <v>0</v>
      </c>
      <c r="CU64" s="5">
        <f t="shared" si="30"/>
        <v>0</v>
      </c>
      <c r="CV64" s="5">
        <f t="shared" si="31"/>
        <v>0</v>
      </c>
      <c r="CW64" s="5">
        <f t="shared" si="32"/>
        <v>0</v>
      </c>
      <c r="CX64" s="5">
        <f t="shared" si="20"/>
        <v>0</v>
      </c>
      <c r="CY64" s="5">
        <f t="shared" si="21"/>
        <v>0</v>
      </c>
      <c r="CZ64" s="5">
        <f t="shared" si="22"/>
        <v>0</v>
      </c>
      <c r="DA64" s="5">
        <f t="shared" si="23"/>
        <v>0</v>
      </c>
      <c r="DB64" s="5">
        <f t="shared" si="24"/>
        <v>0</v>
      </c>
    </row>
    <row r="65" spans="2:106" x14ac:dyDescent="0.15">
      <c r="C65" s="23" t="s">
        <v>36</v>
      </c>
      <c r="D65" s="23"/>
      <c r="E65" s="23"/>
      <c r="F65" s="23"/>
      <c r="G65" s="23"/>
      <c r="H65" s="23"/>
      <c r="I65" s="23" t="s">
        <v>24</v>
      </c>
      <c r="J65" s="23"/>
      <c r="K65" s="23"/>
      <c r="L65" s="23"/>
      <c r="N65" s="23" t="s">
        <v>35</v>
      </c>
      <c r="O65" s="23"/>
      <c r="P65" s="23"/>
      <c r="Q65" s="23"/>
      <c r="T65" s="23" t="s">
        <v>45</v>
      </c>
      <c r="U65" s="23"/>
      <c r="V65" s="23"/>
      <c r="W65" s="23"/>
      <c r="X65" s="23"/>
      <c r="AA65" s="5">
        <v>61</v>
      </c>
      <c r="AB65" s="5">
        <f>求节点(T$6:T$44,$C$67:$C$105,$AA65)</f>
        <v>0</v>
      </c>
      <c r="AC65" s="5">
        <f>求节点(U$6:U$44,$C$67:$C$105,$AA65)</f>
        <v>0</v>
      </c>
      <c r="AD65" s="5">
        <f>求节点(V$6:V$44,$C$67:$C$105,$AA65)</f>
        <v>0</v>
      </c>
      <c r="AE65" s="5">
        <f>求节点(W$6:W$44,$C$67:$C$105,$AA65)</f>
        <v>0</v>
      </c>
      <c r="AF65" s="5">
        <f>求节点(X$6:X$44,$C$67:$C$105,$AA65)</f>
        <v>0</v>
      </c>
      <c r="AG65" s="5">
        <f>求节点(T$6:T$44,$D$67:$D$105,$AA65)+求节点(T$67:T$105,$Q$67:$Q$105,$AA65)</f>
        <v>5428400</v>
      </c>
      <c r="AH65" s="5">
        <f>求节点(U$6:U$44,$D$67:$D$105,$AA65)+求节点(U$67:U$105,$Q$67:$Q$105,$AA65)</f>
        <v>5854049.1910314579</v>
      </c>
      <c r="AI65" s="5">
        <f>求节点(V$6:V$44,$D$67:$D$105,$AA65)+求节点(V$67:V$105,$Q$67:$Q$105,$AA65)</f>
        <v>6560907.3116332525</v>
      </c>
      <c r="AJ65" s="5">
        <f>求节点(W$6:W$44,$D$67:$D$105,$AA65)+求节点(W$67:W$105,$Q$67:$Q$105,$AA65)</f>
        <v>8513722.3617728408</v>
      </c>
      <c r="AK65" s="5">
        <f>求节点(X$6:X$44,$D$67:$D$105,$AA65)+求节点(X$67:X$105,$Q$67:$Q$105,$AA65)</f>
        <v>9625463.0259900931</v>
      </c>
      <c r="AL65" s="5">
        <f>求节点(T$6:T$44,$F$67:$F$105,$AA65)+求节点(T$67:T$105,$P$67:$P$105,$AA65)</f>
        <v>702800</v>
      </c>
      <c r="AM65" s="5">
        <f>求节点(U$6:U$44,$F$67:$F$105,$AA65)+求节点(U$67:U$105,$P$67:$P$105,$AA65)</f>
        <v>719653.32383610797</v>
      </c>
      <c r="AN65" s="5">
        <f>求节点(V$6:V$44,$F$67:$F$105,$AA65)+求节点(V$67:V$105,$P$67:$P$105,$AA65)</f>
        <v>745914.89285268413</v>
      </c>
      <c r="AO65" s="5">
        <f>求节点(W$6:W$44,$F$67:$F$105,$AA65)+求节点(W$67:W$105,$P$67:$P$105,$AA65)</f>
        <v>808208.65330505674</v>
      </c>
      <c r="AP65" s="5">
        <f>求节点(X$6:X$44,$F$67:$F$105,$AA65)+求节点(X$67:X$105,$P$67:$P$105,$AA65)</f>
        <v>839909.9924629723</v>
      </c>
      <c r="AQ65" s="5">
        <f>求节点(T$6:T$44,$H$67:$H$105,$AA65)</f>
        <v>459600</v>
      </c>
      <c r="AR65" s="5">
        <f>求节点(U$6:U$44,$H$67:$H$105,$AA65)</f>
        <v>468848.77527591289</v>
      </c>
      <c r="AS65" s="5">
        <f>求节点(V$6:V$44,$H$67:$H$105,$AA65)</f>
        <v>483060.82562789158</v>
      </c>
      <c r="AT65" s="5">
        <f>求节点(W$6:W$44,$H$67:$H$105,$AA65)</f>
        <v>515776.88964054658</v>
      </c>
      <c r="AU65" s="5">
        <f>求节点(X$6:X$44,$H$67:$H$105,$AA65)</f>
        <v>532154.99623148621</v>
      </c>
      <c r="AV65" s="5">
        <f>求节点(T$6:T$44,$I$67:$I$105,$AA65)</f>
        <v>4794000</v>
      </c>
      <c r="AW65" s="5">
        <f>求节点(U$6:U$44,$I$67:$I$105,$AA65)</f>
        <v>5063242.1246987972</v>
      </c>
      <c r="AX65" s="5">
        <f>求节点(V$6:V$44,$I$67:$I$105,$AA65)</f>
        <v>5492746.4200925315</v>
      </c>
      <c r="AY65" s="5">
        <f>求节点(W$6:W$44,$I$67:$I$105,$AA65)</f>
        <v>6555390.9057693714</v>
      </c>
      <c r="AZ65" s="5">
        <f>求节点(X$6:X$44,$I$67:$I$105,$AA65)</f>
        <v>7103322.0910221105</v>
      </c>
      <c r="BA65" s="5">
        <f>求节点(T$6:T$44,$E$67:$E$105,$AA65)+求节点(T$6:T$44,$K$67:$K$105,$AA65)+求节点(T$67:T$105,$O$67:$O$105,$AA65)</f>
        <v>4229.333333333333</v>
      </c>
      <c r="BB65" s="5">
        <f>求节点(U$6:U$44,$E$67:$E$105,$AA65)+求节点(U$6:U$44,$K$67:$K$105,$AA65)+求节点(U$67:U$105,$O$67:$O$105,$AA65)</f>
        <v>4300.583157681107</v>
      </c>
      <c r="BC65" s="5">
        <f>求节点(V$6:V$44,$E$67:$E$105,$AA65)+求节点(V$6:V$44,$K$67:$K$105,$AA65)+求节点(V$67:V$105,$O$67:$O$105,$AA65)</f>
        <v>4410.0685826148692</v>
      </c>
      <c r="BD65" s="5">
        <f>求节点(W$6:W$44,$E$67:$E$105,$AA65)+求节点(W$6:W$44,$K$67:$K$105,$AA65)+求节点(W$67:W$105,$O$67:$O$105,$AA65)</f>
        <v>4662.1034461197669</v>
      </c>
      <c r="BE65" s="5">
        <f>求节点(X$6:X$44,$E$67:$E$105,$AA65)+求节点(X$6:X$44,$K$67:$K$105,$AA65)+求节点(X$67:X$105,$O$67:$O$105,$AA65)</f>
        <v>4788.2755265240412</v>
      </c>
      <c r="BF65" s="5">
        <f>求节点(T$6:T$44,$G$67:$G$105,$AA65)</f>
        <v>0</v>
      </c>
      <c r="BG65" s="5">
        <f>求节点(U$6:U$44,$G$67:$G$105,$AA65)</f>
        <v>0</v>
      </c>
      <c r="BH65" s="5">
        <f>求节点(V$6:V$44,$G$67:$G$105,$AA65)</f>
        <v>0</v>
      </c>
      <c r="BI65" s="5">
        <f>求节点(W$6:W$44,$G$67:$G$105,$AA65)</f>
        <v>0</v>
      </c>
      <c r="BJ65" s="5">
        <f>求节点(X$6:X$44,$G$67:$G$105,$AA65)</f>
        <v>0</v>
      </c>
      <c r="BK65" s="5">
        <f>求节点(T$6:T$44,$M$67:$M$105,$AA65)</f>
        <v>40.666666666666664</v>
      </c>
      <c r="BL65" s="5">
        <f>求节点(U$6:U$44,$M$67:$M$105,$AA65)</f>
        <v>41.351761131549104</v>
      </c>
      <c r="BM65" s="5">
        <f>求节点(V$6:V$44,$M$67:$M$105,$AA65)</f>
        <v>42.404505602066045</v>
      </c>
      <c r="BN65" s="5">
        <f>求节点(W$6:W$44,$M$67:$M$105,$AA65)</f>
        <v>44.827917751151602</v>
      </c>
      <c r="BO65" s="5">
        <f>求节点(X$6:X$44,$M$67:$M$105,$AA65)</f>
        <v>46.041110831961937</v>
      </c>
      <c r="BP65" s="5">
        <f>求节点(T$67:T$105,$L$67:$L$105,$AA65)</f>
        <v>0</v>
      </c>
      <c r="BQ65" s="5">
        <f>求节点(U$67:U$105,$L$67:$L$105,$AA65)</f>
        <v>0</v>
      </c>
      <c r="BR65" s="5">
        <f>求节点(V$67:V$105,$L$67:$L$105,$AA65)</f>
        <v>0</v>
      </c>
      <c r="BS65" s="5">
        <f>求节点(W$67:W$105,$L$67:$L$105,$AA65)</f>
        <v>0</v>
      </c>
      <c r="BT65" s="5">
        <f>求节点(X$67:X$105,$L$67:$L$105,$AA65)</f>
        <v>0</v>
      </c>
      <c r="BZ65" s="5">
        <v>61</v>
      </c>
      <c r="CA65" s="5">
        <f t="shared" si="9"/>
        <v>4229.333333333333</v>
      </c>
      <c r="CB65" s="5">
        <f t="shared" si="10"/>
        <v>4300.583157681107</v>
      </c>
      <c r="CC65" s="5">
        <f t="shared" si="11"/>
        <v>4410.0685826148692</v>
      </c>
      <c r="CD65" s="5">
        <f t="shared" si="12"/>
        <v>4662.1034461197669</v>
      </c>
      <c r="CE65" s="5">
        <f t="shared" si="13"/>
        <v>4788.2755265240412</v>
      </c>
      <c r="CF65" s="5">
        <f>(CA65-CA64)/节奏总纲!W64</f>
        <v>15.093786687322414</v>
      </c>
      <c r="CI65" s="5">
        <v>61</v>
      </c>
      <c r="CJ65" s="5">
        <f t="shared" si="14"/>
        <v>9760</v>
      </c>
      <c r="CK65" s="5">
        <f t="shared" si="15"/>
        <v>9924.422671571785</v>
      </c>
      <c r="CL65" s="5">
        <f t="shared" si="16"/>
        <v>10177.081344495851</v>
      </c>
      <c r="CM65" s="5">
        <f t="shared" si="17"/>
        <v>10758.700260276384</v>
      </c>
      <c r="CN65" s="5">
        <f t="shared" si="18"/>
        <v>11049.866599670864</v>
      </c>
      <c r="CO65" s="5">
        <f>(CJ65-CJ64)/节奏总纲!W64</f>
        <v>34.831815432282646</v>
      </c>
      <c r="CP65" s="5">
        <f t="shared" si="27"/>
        <v>49.92560211960506</v>
      </c>
      <c r="CR65" s="5">
        <v>61</v>
      </c>
      <c r="CS65" s="5">
        <f t="shared" si="28"/>
        <v>0</v>
      </c>
      <c r="CT65" s="5">
        <f t="shared" si="29"/>
        <v>0</v>
      </c>
      <c r="CU65" s="5">
        <f t="shared" si="30"/>
        <v>0</v>
      </c>
      <c r="CV65" s="5">
        <f t="shared" si="31"/>
        <v>0</v>
      </c>
      <c r="CW65" s="5">
        <f t="shared" si="32"/>
        <v>0</v>
      </c>
      <c r="CX65" s="5">
        <f t="shared" si="20"/>
        <v>0</v>
      </c>
      <c r="CY65" s="5">
        <f t="shared" si="21"/>
        <v>0</v>
      </c>
      <c r="CZ65" s="5">
        <f t="shared" si="22"/>
        <v>0</v>
      </c>
      <c r="DA65" s="5">
        <f t="shared" si="23"/>
        <v>0</v>
      </c>
      <c r="DB65" s="5">
        <f t="shared" si="24"/>
        <v>0</v>
      </c>
    </row>
    <row r="66" spans="2:106" x14ac:dyDescent="0.15">
      <c r="B66" s="5" t="s">
        <v>17</v>
      </c>
      <c r="C66" s="5" t="str">
        <f>C5</f>
        <v>玩家经验</v>
      </c>
      <c r="D66" s="5" t="str">
        <f>D5</f>
        <v>武将经验</v>
      </c>
      <c r="E66" s="5" t="str">
        <f>E5</f>
        <v>钻石</v>
      </c>
      <c r="F66" s="5" t="str">
        <f>F5</f>
        <v>银币</v>
      </c>
      <c r="G66" s="5" t="str">
        <f>G5</f>
        <v>普通抽奖卷</v>
      </c>
      <c r="H66" s="5" t="str">
        <f>H5</f>
        <v>加速时间</v>
      </c>
      <c r="I66" s="5" t="str">
        <f>I5</f>
        <v>资源</v>
      </c>
      <c r="J66" s="5" t="str">
        <f>J5</f>
        <v>银币</v>
      </c>
      <c r="K66" s="5" t="str">
        <f>K5</f>
        <v>钻石</v>
      </c>
      <c r="L66" s="5" t="str">
        <f>L5</f>
        <v>新兵</v>
      </c>
      <c r="M66" s="5" t="str">
        <f>M5</f>
        <v>黄金点将令</v>
      </c>
      <c r="N66" s="5" t="str">
        <f>N5</f>
        <v>资源</v>
      </c>
      <c r="O66" s="5" t="str">
        <f>O5</f>
        <v>钻石</v>
      </c>
      <c r="P66" s="5" t="str">
        <f>P5</f>
        <v>银币</v>
      </c>
      <c r="Q66" s="5" t="str">
        <f>Q5</f>
        <v>武将经验</v>
      </c>
      <c r="S66" s="5" t="s">
        <v>17</v>
      </c>
      <c r="T66" s="5" t="s">
        <v>8</v>
      </c>
      <c r="U66" s="5" t="s">
        <v>9</v>
      </c>
      <c r="V66" s="5" t="s">
        <v>10</v>
      </c>
      <c r="W66" s="5" t="s">
        <v>11</v>
      </c>
      <c r="X66" s="5" t="s">
        <v>12</v>
      </c>
      <c r="AA66" s="5">
        <v>62</v>
      </c>
      <c r="AB66" s="5">
        <f>求节点(T$6:T$44,$C$67:$C$105,$AA66)</f>
        <v>0</v>
      </c>
      <c r="AC66" s="5">
        <f>求节点(U$6:U$44,$C$67:$C$105,$AA66)</f>
        <v>0</v>
      </c>
      <c r="AD66" s="5">
        <f>求节点(V$6:V$44,$C$67:$C$105,$AA66)</f>
        <v>0</v>
      </c>
      <c r="AE66" s="5">
        <f>求节点(W$6:W$44,$C$67:$C$105,$AA66)</f>
        <v>0</v>
      </c>
      <c r="AF66" s="5">
        <f>求节点(X$6:X$44,$C$67:$C$105,$AA66)</f>
        <v>0</v>
      </c>
      <c r="AG66" s="5">
        <f>求节点(T$6:T$44,$D$67:$D$105,$AA66)+求节点(T$67:T$105,$Q$67:$Q$105,$AA66)</f>
        <v>5842600</v>
      </c>
      <c r="AH66" s="5">
        <f>求节点(U$6:U$44,$D$67:$D$105,$AA66)+求节点(U$67:U$105,$Q$67:$Q$105,$AA66)</f>
        <v>6340584.66997342</v>
      </c>
      <c r="AI66" s="5">
        <f>求节点(V$6:V$44,$D$67:$D$105,$AA66)+求节点(V$67:V$105,$Q$67:$Q$105,$AA66)</f>
        <v>7196696.2228467092</v>
      </c>
      <c r="AJ66" s="5">
        <f>求节点(W$6:W$44,$D$67:$D$105,$AA66)+求节点(W$67:W$105,$Q$67:$Q$105,$AA66)</f>
        <v>9373396.4483996406</v>
      </c>
      <c r="AK66" s="5">
        <f>求节点(X$6:X$44,$D$67:$D$105,$AA66)+求节点(X$67:X$105,$Q$67:$Q$105,$AA66)</f>
        <v>10538196.518409653</v>
      </c>
      <c r="AL66" s="5">
        <f>求节点(T$6:T$44,$F$67:$F$105,$AA66)+求节点(T$67:T$105,$P$67:$P$105,$AA66)</f>
        <v>719200</v>
      </c>
      <c r="AM66" s="5">
        <f>求节点(U$6:U$44,$F$67:$F$105,$AA66)+求节点(U$67:U$105,$P$67:$P$105,$AA66)</f>
        <v>738441.85831913038</v>
      </c>
      <c r="AN66" s="5">
        <f>求节点(V$6:V$44,$F$67:$F$105,$AA66)+求节点(V$67:V$105,$P$67:$P$105,$AA66)</f>
        <v>767479.95967357152</v>
      </c>
      <c r="AO66" s="5">
        <f>求节点(W$6:W$44,$F$67:$F$105,$AA66)+求节点(W$67:W$105,$P$67:$P$105,$AA66)</f>
        <v>832867.94955844665</v>
      </c>
      <c r="AP66" s="5">
        <f>求节点(X$6:X$44,$F$67:$F$105,$AA66)+求节点(X$67:X$105,$P$67:$P$105,$AA66)</f>
        <v>862293.10263129941</v>
      </c>
      <c r="AQ66" s="5">
        <f>求节点(T$6:T$44,$H$67:$H$105,$AA66)</f>
        <v>468600</v>
      </c>
      <c r="AR66" s="5">
        <f>求节点(U$6:U$44,$H$67:$H$105,$AA66)</f>
        <v>479104.51322777488</v>
      </c>
      <c r="AS66" s="5">
        <f>求节点(V$6:V$44,$H$67:$H$105,$AA66)</f>
        <v>494477.62570953788</v>
      </c>
      <c r="AT66" s="5">
        <f>求节点(W$6:W$44,$H$67:$H$105,$AA66)</f>
        <v>528531.6980474724</v>
      </c>
      <c r="AU66" s="5">
        <f>求节点(X$6:X$44,$H$67:$H$105,$AA66)</f>
        <v>543346.55131564965</v>
      </c>
      <c r="AV66" s="5">
        <f>求节点(T$6:T$44,$I$67:$I$105,$AA66)</f>
        <v>5056000</v>
      </c>
      <c r="AW66" s="5">
        <f>求节点(U$6:U$44,$I$67:$I$105,$AA66)</f>
        <v>5366144.423288797</v>
      </c>
      <c r="AX66" s="5">
        <f>求节点(V$6:V$44,$I$67:$I$105,$AA66)</f>
        <v>5858084.0227052122</v>
      </c>
      <c r="AY66" s="5">
        <f>求节点(W$6:W$44,$I$67:$I$105,$AA66)</f>
        <v>6981495.9866229668</v>
      </c>
      <c r="AZ66" s="5">
        <f>求节点(X$6:X$44,$I$67:$I$105,$AA66)</f>
        <v>7492954.0087670628</v>
      </c>
      <c r="BA66" s="5">
        <f>求节点(T$6:T$44,$E$67:$E$105,$AA66)+求节点(T$6:T$44,$K$67:$K$105,$AA66)+求节点(T$67:T$105,$O$67:$O$105,$AA66)</f>
        <v>4298.666666666667</v>
      </c>
      <c r="BB66" s="5">
        <f>求节点(U$6:U$44,$E$67:$E$105,$AA66)+求节点(U$6:U$44,$K$67:$K$105,$AA66)+求节点(U$67:U$105,$O$67:$O$105,$AA66)</f>
        <v>4379.5903241250808</v>
      </c>
      <c r="BC66" s="5">
        <f>求节点(V$6:V$44,$E$67:$E$105,$AA66)+求节点(V$6:V$44,$K$67:$K$105,$AA66)+求节点(V$67:V$105,$O$67:$O$105,$AA66)</f>
        <v>4498.0202276882919</v>
      </c>
      <c r="BD66" s="5">
        <f>求节点(W$6:W$44,$E$67:$E$105,$AA66)+求节点(W$6:W$44,$K$67:$K$105,$AA66)+求节点(W$67:W$105,$O$67:$O$105,$AA66)</f>
        <v>4760.362710884232</v>
      </c>
      <c r="BE66" s="5">
        <f>求节点(X$6:X$44,$E$67:$E$105,$AA66)+求节点(X$6:X$44,$K$67:$K$105,$AA66)+求节点(X$67:X$105,$O$67:$O$105,$AA66)</f>
        <v>4874.4919508761159</v>
      </c>
      <c r="BF66" s="5">
        <f>求节点(T$6:T$44,$G$67:$G$105,$AA66)</f>
        <v>0</v>
      </c>
      <c r="BG66" s="5">
        <f>求节点(U$6:U$44,$G$67:$G$105,$AA66)</f>
        <v>0</v>
      </c>
      <c r="BH66" s="5">
        <f>求节点(V$6:V$44,$G$67:$G$105,$AA66)</f>
        <v>0</v>
      </c>
      <c r="BI66" s="5">
        <f>求节点(W$6:W$44,$G$67:$G$105,$AA66)</f>
        <v>0</v>
      </c>
      <c r="BJ66" s="5">
        <f>求节点(X$6:X$44,$G$67:$G$105,$AA66)</f>
        <v>0</v>
      </c>
      <c r="BK66" s="5">
        <f>求节点(T$6:T$44,$M$67:$M$105,$AA66)</f>
        <v>41.333333333333336</v>
      </c>
      <c r="BL66" s="5">
        <f>求节点(U$6:U$44,$M$67:$M$105,$AA66)</f>
        <v>42.111445424279623</v>
      </c>
      <c r="BM66" s="5">
        <f>求节点(V$6:V$44,$M$67:$M$105,$AA66)</f>
        <v>43.250194497002809</v>
      </c>
      <c r="BN66" s="5">
        <f>求节点(W$6:W$44,$M$67:$M$105,$AA66)</f>
        <v>45.772718373886846</v>
      </c>
      <c r="BO66" s="5">
        <f>求节点(X$6:X$44,$M$67:$M$105,$AA66)</f>
        <v>46.870114912270346</v>
      </c>
      <c r="BP66" s="5">
        <f>求节点(T$67:T$105,$L$67:$L$105,$AA66)</f>
        <v>0</v>
      </c>
      <c r="BQ66" s="5">
        <f>求节点(U$67:U$105,$L$67:$L$105,$AA66)</f>
        <v>0</v>
      </c>
      <c r="BR66" s="5">
        <f>求节点(V$67:V$105,$L$67:$L$105,$AA66)</f>
        <v>0</v>
      </c>
      <c r="BS66" s="5">
        <f>求节点(W$67:W$105,$L$67:$L$105,$AA66)</f>
        <v>0</v>
      </c>
      <c r="BT66" s="5">
        <f>求节点(X$67:X$105,$L$67:$L$105,$AA66)</f>
        <v>0</v>
      </c>
      <c r="BZ66" s="5">
        <v>62</v>
      </c>
      <c r="CA66" s="5">
        <f t="shared" si="9"/>
        <v>4298.666666666667</v>
      </c>
      <c r="CB66" s="5">
        <f t="shared" si="10"/>
        <v>4379.5903241250808</v>
      </c>
      <c r="CC66" s="5">
        <f t="shared" si="11"/>
        <v>4498.0202276882919</v>
      </c>
      <c r="CD66" s="5">
        <f t="shared" si="12"/>
        <v>4760.362710884232</v>
      </c>
      <c r="CE66" s="5">
        <f t="shared" si="13"/>
        <v>4874.4919508761159</v>
      </c>
      <c r="CF66" s="5">
        <f>(CA66-CA65)/节奏总纲!W65</f>
        <v>14.083000946490939</v>
      </c>
      <c r="CI66" s="5">
        <v>62</v>
      </c>
      <c r="CJ66" s="5">
        <f t="shared" si="14"/>
        <v>9920</v>
      </c>
      <c r="CK66" s="5">
        <f t="shared" si="15"/>
        <v>10106.746901827109</v>
      </c>
      <c r="CL66" s="5">
        <f t="shared" si="16"/>
        <v>10380.046679280675</v>
      </c>
      <c r="CM66" s="5">
        <f t="shared" si="17"/>
        <v>10985.452409732843</v>
      </c>
      <c r="CN66" s="5">
        <f t="shared" si="18"/>
        <v>11248.827578944883</v>
      </c>
      <c r="CO66" s="5">
        <f>(CJ66-CJ65)/节奏总纲!W65</f>
        <v>32.499232953440341</v>
      </c>
      <c r="CP66" s="5">
        <f t="shared" si="27"/>
        <v>46.582233899931282</v>
      </c>
      <c r="CR66" s="5">
        <v>62</v>
      </c>
      <c r="CS66" s="5">
        <f t="shared" si="28"/>
        <v>0</v>
      </c>
      <c r="CT66" s="5">
        <f t="shared" si="29"/>
        <v>0</v>
      </c>
      <c r="CU66" s="5">
        <f t="shared" si="30"/>
        <v>0</v>
      </c>
      <c r="CV66" s="5">
        <f t="shared" si="31"/>
        <v>0</v>
      </c>
      <c r="CW66" s="5">
        <f t="shared" si="32"/>
        <v>0</v>
      </c>
      <c r="CX66" s="5">
        <f t="shared" si="20"/>
        <v>0</v>
      </c>
      <c r="CY66" s="5">
        <f t="shared" si="21"/>
        <v>0</v>
      </c>
      <c r="CZ66" s="5">
        <f t="shared" si="22"/>
        <v>0</v>
      </c>
      <c r="DA66" s="5">
        <f t="shared" si="23"/>
        <v>0</v>
      </c>
      <c r="DB66" s="5">
        <f t="shared" si="24"/>
        <v>0</v>
      </c>
    </row>
    <row r="67" spans="2:106" x14ac:dyDescent="0.15">
      <c r="B67" s="5">
        <v>1</v>
      </c>
      <c r="C67" s="5">
        <f>SUM(C$6:C6)</f>
        <v>0</v>
      </c>
      <c r="D67" s="5">
        <f>SUM(D$6:D6)</f>
        <v>2400</v>
      </c>
      <c r="E67" s="5">
        <f>SUM(E$6:E6)</f>
        <v>120</v>
      </c>
      <c r="F67" s="5">
        <f>SUM(F$6:F6)</f>
        <v>20400</v>
      </c>
      <c r="G67" s="5">
        <f>SUM(G$6:G6)</f>
        <v>0</v>
      </c>
      <c r="H67" s="5">
        <f>SUM(H$6:H6)</f>
        <v>1800</v>
      </c>
      <c r="I67" s="5">
        <f>SUM(I$6:I6)</f>
        <v>14000</v>
      </c>
      <c r="J67" s="5">
        <f>SUM(J$6:J6)</f>
        <v>34000</v>
      </c>
      <c r="K67" s="5">
        <f>SUM(K$6:K6)</f>
        <v>88</v>
      </c>
      <c r="L67" s="5">
        <f>SUM(L$6:L6)</f>
        <v>0</v>
      </c>
      <c r="M67" s="5">
        <f>SUM(M$6:M6)</f>
        <v>2</v>
      </c>
      <c r="N67" s="5">
        <f>SUM(N$6:N6)</f>
        <v>0</v>
      </c>
      <c r="O67" s="5">
        <f>SUM(O$6:O6)</f>
        <v>0</v>
      </c>
      <c r="P67" s="5">
        <f>SUM(P$6:P6)</f>
        <v>0</v>
      </c>
      <c r="Q67" s="5">
        <f>SUM(Q$6:Q6)</f>
        <v>0</v>
      </c>
      <c r="S67" s="5">
        <v>1</v>
      </c>
      <c r="T67" s="5">
        <f>T6+1</f>
        <v>4</v>
      </c>
      <c r="U67" s="5">
        <f>U6+1</f>
        <v>3.9320551802347885</v>
      </c>
      <c r="V67" s="5">
        <f>V6+1</f>
        <v>3.8277252402841926</v>
      </c>
      <c r="W67" s="5">
        <f>W6+1</f>
        <v>3.6928398347515645</v>
      </c>
      <c r="X67" s="5">
        <f>X6+1</f>
        <v>3.6238087965093833</v>
      </c>
      <c r="AA67" s="5">
        <v>63</v>
      </c>
      <c r="AB67" s="5">
        <f>求节点(T$6:T$44,$C$67:$C$105,$AA67)</f>
        <v>0</v>
      </c>
      <c r="AC67" s="5">
        <f>求节点(U$6:U$44,$C$67:$C$105,$AA67)</f>
        <v>0</v>
      </c>
      <c r="AD67" s="5">
        <f>求节点(V$6:V$44,$C$67:$C$105,$AA67)</f>
        <v>0</v>
      </c>
      <c r="AE67" s="5">
        <f>求节点(W$6:W$44,$C$67:$C$105,$AA67)</f>
        <v>0</v>
      </c>
      <c r="AF67" s="5">
        <f>求节点(X$6:X$44,$C$67:$C$105,$AA67)</f>
        <v>0</v>
      </c>
      <c r="AG67" s="5">
        <f>求节点(T$6:T$44,$D$67:$D$105,$AA67)+求节点(T$67:T$105,$Q$67:$Q$105,$AA67)</f>
        <v>6256800</v>
      </c>
      <c r="AH67" s="5">
        <f>求节点(U$6:U$44,$D$67:$D$105,$AA67)+求节点(U$67:U$105,$Q$67:$Q$105,$AA67)</f>
        <v>6941720.7498876154</v>
      </c>
      <c r="AI67" s="5">
        <f>求节点(V$6:V$44,$D$67:$D$105,$AA67)+求节点(V$67:V$105,$Q$67:$Q$105,$AA67)</f>
        <v>7856224.9151601037</v>
      </c>
      <c r="AJ67" s="5">
        <f>求节点(W$6:W$44,$D$67:$D$105,$AA67)+求节点(W$67:W$105,$Q$67:$Q$105,$AA67)</f>
        <v>10299338.325190114</v>
      </c>
      <c r="AK67" s="5">
        <f>求节点(X$6:X$44,$D$67:$D$105,$AA67)+求节点(X$67:X$105,$Q$67:$Q$105,$AA67)</f>
        <v>11450930.010829212</v>
      </c>
      <c r="AL67" s="5">
        <f>求节点(T$6:T$44,$F$67:$F$105,$AA67)+求节点(T$67:T$105,$P$67:$P$105,$AA67)</f>
        <v>735600</v>
      </c>
      <c r="AM67" s="5">
        <f>求节点(U$6:U$44,$F$67:$F$105,$AA67)+求节点(U$67:U$105,$P$67:$P$105,$AA67)</f>
        <v>758831.54977671488</v>
      </c>
      <c r="AN67" s="5">
        <f>求节点(V$6:V$44,$F$67:$F$105,$AA67)+求节点(V$67:V$105,$P$67:$P$105,$AA67)</f>
        <v>789348.6869828318</v>
      </c>
      <c r="AO67" s="5">
        <f>求节点(W$6:W$44,$F$67:$F$105,$AA67)+求节点(W$67:W$105,$P$67:$P$105,$AA67)</f>
        <v>856435.54475943057</v>
      </c>
      <c r="AP67" s="5">
        <f>求节点(X$6:X$44,$F$67:$F$105,$AA67)+求节点(X$67:X$105,$P$67:$P$105,$AA67)</f>
        <v>884676.2127996264</v>
      </c>
      <c r="AQ67" s="5">
        <f>求节点(T$6:T$44,$H$67:$H$105,$AA67)</f>
        <v>477600</v>
      </c>
      <c r="AR67" s="5">
        <f>求节点(U$6:U$44,$H$67:$H$105,$AA67)</f>
        <v>489899.05576414312</v>
      </c>
      <c r="AS67" s="5">
        <f>求节点(V$6:V$44,$H$67:$H$105,$AA67)</f>
        <v>506021.73464629235</v>
      </c>
      <c r="AT67" s="5">
        <f>求节点(W$6:W$44,$H$67:$H$105,$AA67)</f>
        <v>540417.77237971534</v>
      </c>
      <c r="AU67" s="5">
        <f>求节点(X$6:X$44,$H$67:$H$105,$AA67)</f>
        <v>554538.1063998132</v>
      </c>
      <c r="AV67" s="5">
        <f>求节点(T$6:T$44,$I$67:$I$105,$AA67)</f>
        <v>5318000</v>
      </c>
      <c r="AW67" s="5">
        <f>求节点(U$6:U$44,$I$67:$I$105,$AA67)</f>
        <v>5711569.7844525808</v>
      </c>
      <c r="AX67" s="5">
        <f>求节点(V$6:V$44,$I$67:$I$105,$AA67)</f>
        <v>6229496.4685539147</v>
      </c>
      <c r="AY67" s="5">
        <f>求节点(W$6:W$44,$I$67:$I$105,$AA67)</f>
        <v>7390989.1124789771</v>
      </c>
      <c r="AZ67" s="5">
        <f>求节点(X$6:X$44,$I$67:$I$105,$AA67)</f>
        <v>7882585.926512016</v>
      </c>
      <c r="BA67" s="5">
        <f>求节点(T$6:T$44,$E$67:$E$105,$AA67)+求节点(T$6:T$44,$K$67:$K$105,$AA67)+求节点(T$67:T$105,$O$67:$O$105,$AA67)</f>
        <v>4368</v>
      </c>
      <c r="BB67" s="5">
        <f>求节点(U$6:U$44,$E$67:$E$105,$AA67)+求节点(U$6:U$44,$K$67:$K$105,$AA67)+求节点(U$67:U$105,$O$67:$O$105,$AA67)</f>
        <v>4462.7482814422883</v>
      </c>
      <c r="BC67" s="5">
        <f>求节点(V$6:V$44,$E$67:$E$105,$AA67)+求节点(V$6:V$44,$K$67:$K$105,$AA67)+求节点(V$67:V$105,$O$67:$O$105,$AA67)</f>
        <v>4586.952622460326</v>
      </c>
      <c r="BD67" s="5">
        <f>求节点(W$6:W$44,$E$67:$E$105,$AA67)+求节点(W$6:W$44,$K$67:$K$105,$AA67)+求节点(W$67:W$105,$O$67:$O$105,$AA67)</f>
        <v>4851.9295057400286</v>
      </c>
      <c r="BE67" s="5">
        <f>求节点(X$6:X$44,$E$67:$E$105,$AA67)+求节点(X$6:X$44,$K$67:$K$105,$AA67)+求节点(X$67:X$105,$O$67:$O$105,$AA67)</f>
        <v>4960.7083752281906</v>
      </c>
      <c r="BF67" s="5">
        <f>求节点(T$6:T$44,$G$67:$G$105,$AA67)</f>
        <v>0</v>
      </c>
      <c r="BG67" s="5">
        <f>求节点(U$6:U$44,$G$67:$G$105,$AA67)</f>
        <v>0</v>
      </c>
      <c r="BH67" s="5">
        <f>求节点(V$6:V$44,$G$67:$G$105,$AA67)</f>
        <v>0</v>
      </c>
      <c r="BI67" s="5">
        <f>求节点(W$6:W$44,$G$67:$G$105,$AA67)</f>
        <v>0</v>
      </c>
      <c r="BJ67" s="5">
        <f>求节点(X$6:X$44,$G$67:$G$105,$AA67)</f>
        <v>0</v>
      </c>
      <c r="BK67" s="5">
        <f>求节点(T$6:T$44,$M$67:$M$105,$AA67)</f>
        <v>42</v>
      </c>
      <c r="BL67" s="5">
        <f>求节点(U$6:U$44,$M$67:$M$105,$AA67)</f>
        <v>42.911041167714309</v>
      </c>
      <c r="BM67" s="5">
        <f>求节点(V$6:V$44,$M$67:$M$105,$AA67)</f>
        <v>44.105313677503133</v>
      </c>
      <c r="BN67" s="5">
        <f>求节点(W$6:W$44,$M$67:$M$105,$AA67)</f>
        <v>46.653168324423355</v>
      </c>
      <c r="BO67" s="5">
        <f>求节点(X$6:X$44,$M$67:$M$105,$AA67)</f>
        <v>47.699118992578754</v>
      </c>
      <c r="BP67" s="5">
        <f>求节点(T$67:T$105,$L$67:$L$105,$AA67)</f>
        <v>0</v>
      </c>
      <c r="BQ67" s="5">
        <f>求节点(U$67:U$105,$L$67:$L$105,$AA67)</f>
        <v>0</v>
      </c>
      <c r="BR67" s="5">
        <f>求节点(V$67:V$105,$L$67:$L$105,$AA67)</f>
        <v>0</v>
      </c>
      <c r="BS67" s="5">
        <f>求节点(W$67:W$105,$L$67:$L$105,$AA67)</f>
        <v>0</v>
      </c>
      <c r="BT67" s="5">
        <f>求节点(X$67:X$105,$L$67:$L$105,$AA67)</f>
        <v>0</v>
      </c>
      <c r="BZ67" s="5">
        <v>63</v>
      </c>
      <c r="CA67" s="5">
        <f t="shared" si="9"/>
        <v>4368</v>
      </c>
      <c r="CB67" s="5">
        <f t="shared" si="10"/>
        <v>4462.7482814422883</v>
      </c>
      <c r="CC67" s="5">
        <f t="shared" si="11"/>
        <v>4586.952622460326</v>
      </c>
      <c r="CD67" s="5">
        <f t="shared" si="12"/>
        <v>4851.9295057400286</v>
      </c>
      <c r="CE67" s="5">
        <f t="shared" si="13"/>
        <v>4960.7083752281906</v>
      </c>
      <c r="CF67" s="5">
        <f>(CA67-CA66)/节奏总纲!W66</f>
        <v>13.13990450291999</v>
      </c>
      <c r="CI67" s="5">
        <v>63</v>
      </c>
      <c r="CJ67" s="5">
        <f t="shared" si="14"/>
        <v>10080</v>
      </c>
      <c r="CK67" s="5">
        <f t="shared" si="15"/>
        <v>10298.649880251434</v>
      </c>
      <c r="CL67" s="5">
        <f t="shared" si="16"/>
        <v>10585.275282600753</v>
      </c>
      <c r="CM67" s="5">
        <f t="shared" si="17"/>
        <v>11196.760397861604</v>
      </c>
      <c r="CN67" s="5">
        <f t="shared" si="18"/>
        <v>11447.788558218901</v>
      </c>
      <c r="CO67" s="5">
        <f>(CJ67-CJ66)/节奏总纲!W66</f>
        <v>30.322856545200111</v>
      </c>
      <c r="CP67" s="5">
        <f t="shared" si="27"/>
        <v>43.4627610481201</v>
      </c>
      <c r="CR67" s="5">
        <v>63</v>
      </c>
      <c r="CS67" s="5">
        <f t="shared" si="28"/>
        <v>0</v>
      </c>
      <c r="CT67" s="5">
        <f t="shared" si="29"/>
        <v>0</v>
      </c>
      <c r="CU67" s="5">
        <f t="shared" si="30"/>
        <v>0</v>
      </c>
      <c r="CV67" s="5">
        <f t="shared" si="31"/>
        <v>0</v>
      </c>
      <c r="CW67" s="5">
        <f t="shared" si="32"/>
        <v>0</v>
      </c>
      <c r="CX67" s="5">
        <f t="shared" si="20"/>
        <v>0</v>
      </c>
      <c r="CY67" s="5">
        <f t="shared" si="21"/>
        <v>0</v>
      </c>
      <c r="CZ67" s="5">
        <f t="shared" si="22"/>
        <v>0</v>
      </c>
      <c r="DA67" s="5">
        <f t="shared" si="23"/>
        <v>0</v>
      </c>
      <c r="DB67" s="5">
        <f t="shared" si="24"/>
        <v>0</v>
      </c>
    </row>
    <row r="68" spans="2:106" x14ac:dyDescent="0.15">
      <c r="B68" s="5">
        <v>2</v>
      </c>
      <c r="C68" s="5">
        <f>SUM(C$6:C7)</f>
        <v>0</v>
      </c>
      <c r="D68" s="5">
        <f>SUM(D$6:D7)</f>
        <v>6600</v>
      </c>
      <c r="E68" s="5">
        <f>SUM(E$6:E7)</f>
        <v>240</v>
      </c>
      <c r="F68" s="5">
        <f>SUM(F$6:F7)</f>
        <v>42600</v>
      </c>
      <c r="G68" s="5">
        <f>SUM(G$6:G7)</f>
        <v>0</v>
      </c>
      <c r="H68" s="5">
        <f>SUM(H$6:H7)</f>
        <v>6600</v>
      </c>
      <c r="I68" s="5">
        <f>SUM(I$6:I7)</f>
        <v>40000</v>
      </c>
      <c r="J68" s="5">
        <f>SUM(J$6:J7)</f>
        <v>70000</v>
      </c>
      <c r="K68" s="5">
        <f>SUM(K$6:K7)</f>
        <v>176</v>
      </c>
      <c r="L68" s="5">
        <f>SUM(L$6:L7)</f>
        <v>0</v>
      </c>
      <c r="M68" s="5">
        <f>SUM(M$6:M7)</f>
        <v>4</v>
      </c>
      <c r="N68" s="5">
        <f>SUM(N$6:N7)</f>
        <v>0</v>
      </c>
      <c r="O68" s="5">
        <f>SUM(O$6:O7)</f>
        <v>0</v>
      </c>
      <c r="P68" s="5">
        <f>SUM(P$6:P7)</f>
        <v>0</v>
      </c>
      <c r="Q68" s="5">
        <f>SUM(Q$6:Q7)</f>
        <v>0</v>
      </c>
      <c r="S68" s="5">
        <v>2</v>
      </c>
      <c r="T68" s="5">
        <f>T7+1</f>
        <v>7</v>
      </c>
      <c r="U68" s="5">
        <f>U7+1</f>
        <v>6.8442334310485347</v>
      </c>
      <c r="V68" s="5">
        <f>V7+1</f>
        <v>6.603307150685791</v>
      </c>
      <c r="W68" s="5">
        <f>W7+1</f>
        <v>6.3054279053332296</v>
      </c>
      <c r="X68" s="5">
        <f>X7+1</f>
        <v>6.1584334490664725</v>
      </c>
      <c r="AA68" s="5">
        <v>64</v>
      </c>
      <c r="AB68" s="5">
        <f>求节点(T$6:T$44,$C$67:$C$105,$AA68)</f>
        <v>0</v>
      </c>
      <c r="AC68" s="5">
        <f>求节点(U$6:U$44,$C$67:$C$105,$AA68)</f>
        <v>0</v>
      </c>
      <c r="AD68" s="5">
        <f>求节点(V$6:V$44,$C$67:$C$105,$AA68)</f>
        <v>0</v>
      </c>
      <c r="AE68" s="5">
        <f>求节点(W$6:W$44,$C$67:$C$105,$AA68)</f>
        <v>0</v>
      </c>
      <c r="AF68" s="5">
        <f>求节点(X$6:X$44,$C$67:$C$105,$AA68)</f>
        <v>0</v>
      </c>
      <c r="AG68" s="5">
        <f>求节点(T$6:T$44,$D$67:$D$105,$AA68)+求节点(T$67:T$105,$Q$67:$Q$105,$AA68)</f>
        <v>6758000</v>
      </c>
      <c r="AH68" s="5">
        <f>求节点(U$6:U$44,$D$67:$D$105,$AA68)+求节点(U$67:U$105,$Q$67:$Q$105,$AA68)</f>
        <v>7542856.8298018118</v>
      </c>
      <c r="AI68" s="5">
        <f>求节点(V$6:V$44,$D$67:$D$105,$AA68)+求节点(V$67:V$105,$Q$67:$Q$105,$AA68)</f>
        <v>8701398.0465010647</v>
      </c>
      <c r="AJ68" s="5">
        <f>求节点(W$6:W$44,$D$67:$D$105,$AA68)+求节点(W$67:W$105,$Q$67:$Q$105,$AA68)</f>
        <v>11246271.215707375</v>
      </c>
      <c r="AK68" s="5">
        <f>求节点(X$6:X$44,$D$67:$D$105,$AA68)+求节点(X$67:X$105,$Q$67:$Q$105,$AA68)</f>
        <v>12405881.381828325</v>
      </c>
      <c r="AL68" s="5">
        <f>求节点(T$6:T$44,$F$67:$F$105,$AA68)+求节点(T$67:T$105,$P$67:$P$105,$AA68)</f>
        <v>752600</v>
      </c>
      <c r="AM68" s="5">
        <f>求节点(U$6:U$44,$F$67:$F$105,$AA68)+求节点(U$67:U$105,$P$67:$P$105,$AA68)</f>
        <v>779221.24123429926</v>
      </c>
      <c r="AN68" s="5">
        <f>求节点(V$6:V$44,$F$67:$F$105,$AA68)+求节点(V$67:V$105,$P$67:$P$105,$AA68)</f>
        <v>813592.03100744891</v>
      </c>
      <c r="AO68" s="5">
        <f>求节点(W$6:W$44,$F$67:$F$105,$AA68)+求节点(W$67:W$105,$P$67:$P$105,$AA68)</f>
        <v>879657.33226530347</v>
      </c>
      <c r="AP68" s="5">
        <f>求节点(X$6:X$44,$F$67:$F$105,$AA68)+求节点(X$67:X$105,$P$67:$P$105,$AA68)</f>
        <v>905723.12773157796</v>
      </c>
      <c r="AQ68" s="5">
        <f>求节点(T$6:T$44,$H$67:$H$105,$AA68)</f>
        <v>486600</v>
      </c>
      <c r="AR68" s="5">
        <f>求节点(U$6:U$44,$H$67:$H$105,$AA68)</f>
        <v>500693.59830051137</v>
      </c>
      <c r="AS68" s="5">
        <f>求节点(V$6:V$44,$H$67:$H$105,$AA68)</f>
        <v>518561.3953486805</v>
      </c>
      <c r="AT68" s="5">
        <f>求节点(W$6:W$44,$H$67:$H$105,$AA68)</f>
        <v>552028.66613265174</v>
      </c>
      <c r="AU68" s="5">
        <f>求节点(X$6:X$44,$H$67:$H$105,$AA68)</f>
        <v>564921.09508609783</v>
      </c>
      <c r="AV68" s="5">
        <f>求节点(T$6:T$44,$I$67:$I$105,$AA68)</f>
        <v>5606000</v>
      </c>
      <c r="AW68" s="5">
        <f>求节点(U$6:U$44,$I$67:$I$105,$AA68)</f>
        <v>6056995.1456163647</v>
      </c>
      <c r="AX68" s="5">
        <f>求节点(V$6:V$44,$I$67:$I$105,$AA68)</f>
        <v>6648414.0223892517</v>
      </c>
      <c r="AY68" s="5">
        <f>求节点(W$6:W$44,$I$67:$I$105,$AA68)</f>
        <v>7795220.228321949</v>
      </c>
      <c r="AZ68" s="5">
        <f>求节点(X$6:X$44,$I$67:$I$105,$AA68)</f>
        <v>8253900.5694277082</v>
      </c>
      <c r="BA68" s="5">
        <f>求节点(T$6:T$44,$E$67:$E$105,$AA68)+求节点(T$6:T$44,$K$67:$K$105,$AA68)+求节点(T$67:T$105,$O$67:$O$105,$AA68)</f>
        <v>4437.333333333333</v>
      </c>
      <c r="BB68" s="5">
        <f>求节点(U$6:U$44,$E$67:$E$105,$AA68)+求节点(U$6:U$44,$K$67:$K$105,$AA68)+求节点(U$67:U$105,$O$67:$O$105,$AA68)</f>
        <v>4545.906238759495</v>
      </c>
      <c r="BC68" s="5">
        <f>求节点(V$6:V$44,$E$67:$E$105,$AA68)+求节点(V$6:V$44,$K$67:$K$105,$AA68)+求节点(V$67:V$105,$O$67:$O$105,$AA68)</f>
        <v>4683.5544530565021</v>
      </c>
      <c r="BD68" s="5">
        <f>求节点(W$6:W$44,$E$67:$E$105,$AA68)+求节点(W$6:W$44,$K$67:$K$105,$AA68)+求节点(W$67:W$105,$O$67:$O$105,$AA68)</f>
        <v>4941.3763909478357</v>
      </c>
      <c r="BE68" s="5">
        <f>求节点(X$6:X$44,$E$67:$E$105,$AA68)+求节点(X$6:X$44,$K$67:$K$105,$AA68)+求节点(X$67:X$105,$O$67:$O$105,$AA68)</f>
        <v>5040.6958436262357</v>
      </c>
      <c r="BF68" s="5">
        <f>求节点(T$6:T$44,$G$67:$G$105,$AA68)</f>
        <v>0</v>
      </c>
      <c r="BG68" s="5">
        <f>求节点(U$6:U$44,$G$67:$G$105,$AA68)</f>
        <v>0</v>
      </c>
      <c r="BH68" s="5">
        <f>求节点(V$6:V$44,$G$67:$G$105,$AA68)</f>
        <v>0</v>
      </c>
      <c r="BI68" s="5">
        <f>求节点(W$6:W$44,$G$67:$G$105,$AA68)</f>
        <v>0</v>
      </c>
      <c r="BJ68" s="5">
        <f>求节点(X$6:X$44,$G$67:$G$105,$AA68)</f>
        <v>0</v>
      </c>
      <c r="BK68" s="5">
        <f>求节点(T$6:T$44,$M$67:$M$105,$AA68)</f>
        <v>42.666666666666664</v>
      </c>
      <c r="BL68" s="5">
        <f>求节点(U$6:U$44,$M$67:$M$105,$AA68)</f>
        <v>43.710636911148995</v>
      </c>
      <c r="BM68" s="5">
        <f>求节点(V$6:V$44,$M$67:$M$105,$AA68)</f>
        <v>45.034177433235591</v>
      </c>
      <c r="BN68" s="5">
        <f>求节点(W$6:W$44,$M$67:$M$105,$AA68)</f>
        <v>47.513234528344576</v>
      </c>
      <c r="BO68" s="5">
        <f>求节点(X$6:X$44,$M$67:$M$105,$AA68)</f>
        <v>48.468229265636879</v>
      </c>
      <c r="BP68" s="5">
        <f>求节点(T$67:T$105,$L$67:$L$105,$AA68)</f>
        <v>0</v>
      </c>
      <c r="BQ68" s="5">
        <f>求节点(U$67:U$105,$L$67:$L$105,$AA68)</f>
        <v>0</v>
      </c>
      <c r="BR68" s="5">
        <f>求节点(V$67:V$105,$L$67:$L$105,$AA68)</f>
        <v>0</v>
      </c>
      <c r="BS68" s="5">
        <f>求节点(W$67:W$105,$L$67:$L$105,$AA68)</f>
        <v>0</v>
      </c>
      <c r="BT68" s="5">
        <f>求节点(X$67:X$105,$L$67:$L$105,$AA68)</f>
        <v>0</v>
      </c>
      <c r="BZ68" s="5">
        <v>64</v>
      </c>
      <c r="CA68" s="5">
        <f t="shared" si="9"/>
        <v>4437.333333333333</v>
      </c>
      <c r="CB68" s="5">
        <f t="shared" si="10"/>
        <v>4545.906238759495</v>
      </c>
      <c r="CC68" s="5">
        <f t="shared" si="11"/>
        <v>4683.5544530565021</v>
      </c>
      <c r="CD68" s="5">
        <f t="shared" si="12"/>
        <v>4941.3763909478357</v>
      </c>
      <c r="CE68" s="5">
        <f t="shared" si="13"/>
        <v>5040.6958436262357</v>
      </c>
      <c r="CF68" s="5">
        <f>(CA68-CA67)/节奏总纲!W67</f>
        <v>12.259964406867407</v>
      </c>
      <c r="CI68" s="5">
        <v>64</v>
      </c>
      <c r="CJ68" s="5">
        <f t="shared" si="14"/>
        <v>10240</v>
      </c>
      <c r="CK68" s="5">
        <f t="shared" si="15"/>
        <v>10490.552858675759</v>
      </c>
      <c r="CL68" s="5">
        <f t="shared" si="16"/>
        <v>10808.202583976541</v>
      </c>
      <c r="CM68" s="5">
        <f t="shared" si="17"/>
        <v>11403.176286802698</v>
      </c>
      <c r="CN68" s="5">
        <f t="shared" si="18"/>
        <v>11632.375023752851</v>
      </c>
      <c r="CO68" s="5">
        <f>(CJ68-CJ67)/节奏总纲!W67</f>
        <v>28.292225554309525</v>
      </c>
      <c r="CP68" s="5">
        <f t="shared" si="27"/>
        <v>40.552189961176936</v>
      </c>
      <c r="CR68" s="5">
        <v>64</v>
      </c>
      <c r="CS68" s="5">
        <f t="shared" si="28"/>
        <v>0</v>
      </c>
      <c r="CT68" s="5">
        <f t="shared" si="29"/>
        <v>0</v>
      </c>
      <c r="CU68" s="5">
        <f t="shared" si="30"/>
        <v>0</v>
      </c>
      <c r="CV68" s="5">
        <f t="shared" si="31"/>
        <v>0</v>
      </c>
      <c r="CW68" s="5">
        <f t="shared" si="32"/>
        <v>0</v>
      </c>
      <c r="CX68" s="5">
        <f t="shared" si="20"/>
        <v>0</v>
      </c>
      <c r="CY68" s="5">
        <f t="shared" si="21"/>
        <v>0</v>
      </c>
      <c r="CZ68" s="5">
        <f t="shared" si="22"/>
        <v>0</v>
      </c>
      <c r="DA68" s="5">
        <f t="shared" si="23"/>
        <v>0</v>
      </c>
      <c r="DB68" s="5">
        <f t="shared" si="24"/>
        <v>0</v>
      </c>
    </row>
    <row r="69" spans="2:106" x14ac:dyDescent="0.15">
      <c r="B69" s="5">
        <v>3</v>
      </c>
      <c r="C69" s="5">
        <f>SUM(C$6:C8)</f>
        <v>0</v>
      </c>
      <c r="D69" s="5">
        <f>SUM(D$6:D8)</f>
        <v>13200</v>
      </c>
      <c r="E69" s="5">
        <f>SUM(E$6:E8)</f>
        <v>360</v>
      </c>
      <c r="F69" s="5">
        <f>SUM(F$6:F8)</f>
        <v>66000</v>
      </c>
      <c r="G69" s="5">
        <f>SUM(G$6:G8)</f>
        <v>0</v>
      </c>
      <c r="H69" s="5">
        <f>SUM(H$6:H8)</f>
        <v>15600</v>
      </c>
      <c r="I69" s="5">
        <f>SUM(I$6:I8)</f>
        <v>70000</v>
      </c>
      <c r="J69" s="5">
        <f>SUM(J$6:J8)</f>
        <v>110000</v>
      </c>
      <c r="K69" s="5">
        <f>SUM(K$6:K8)</f>
        <v>264</v>
      </c>
      <c r="L69" s="5">
        <f>SUM(L$6:L8)</f>
        <v>0</v>
      </c>
      <c r="M69" s="5">
        <f>SUM(M$6:M8)</f>
        <v>6</v>
      </c>
      <c r="N69" s="5">
        <f>SUM(N$6:N8)</f>
        <v>0</v>
      </c>
      <c r="O69" s="5">
        <f>SUM(O$6:O8)</f>
        <v>0</v>
      </c>
      <c r="P69" s="5">
        <f>SUM(P$6:P8)</f>
        <v>0</v>
      </c>
      <c r="Q69" s="5">
        <f>SUM(Q$6:Q8)</f>
        <v>0</v>
      </c>
      <c r="S69" s="5">
        <v>3</v>
      </c>
      <c r="T69" s="5">
        <f>T8+1</f>
        <v>10</v>
      </c>
      <c r="U69" s="5">
        <f>U8+1</f>
        <v>9.7613519127764228</v>
      </c>
      <c r="V69" s="5">
        <f>V8+1</f>
        <v>9.3841850299239606</v>
      </c>
      <c r="W69" s="5">
        <f>W8+1</f>
        <v>8.9217085848535511</v>
      </c>
      <c r="X69" s="5">
        <f>X8+1</f>
        <v>8.6647097918727702</v>
      </c>
      <c r="AA69" s="5">
        <v>65</v>
      </c>
      <c r="AB69" s="5">
        <f>求节点(T$6:T$44,$C$67:$C$105,$AA69)</f>
        <v>0</v>
      </c>
      <c r="AC69" s="5">
        <f>求节点(U$6:U$44,$C$67:$C$105,$AA69)</f>
        <v>0</v>
      </c>
      <c r="AD69" s="5">
        <f>求节点(V$6:V$44,$C$67:$C$105,$AA69)</f>
        <v>0</v>
      </c>
      <c r="AE69" s="5">
        <f>求节点(W$6:W$44,$C$67:$C$105,$AA69)</f>
        <v>0</v>
      </c>
      <c r="AF69" s="5">
        <f>求节点(X$6:X$44,$C$67:$C$105,$AA69)</f>
        <v>0</v>
      </c>
      <c r="AG69" s="5">
        <f>求节点(T$6:T$44,$D$67:$D$105,$AA69)+求节点(T$67:T$105,$Q$67:$Q$105,$AA69)</f>
        <v>7259200</v>
      </c>
      <c r="AH69" s="5">
        <f>求节点(U$6:U$44,$D$67:$D$105,$AA69)+求节点(U$67:U$105,$Q$67:$Q$105,$AA69)</f>
        <v>8242092.7835430382</v>
      </c>
      <c r="AI69" s="5">
        <f>求节点(V$6:V$44,$D$67:$D$105,$AA69)+求节点(V$67:V$105,$Q$67:$Q$105,$AA69)</f>
        <v>9546571.1778420266</v>
      </c>
      <c r="AJ69" s="5">
        <f>求节点(W$6:W$44,$D$67:$D$105,$AA69)+求节点(W$67:W$105,$Q$67:$Q$105,$AA69)</f>
        <v>12216376.009770343</v>
      </c>
      <c r="AK69" s="5">
        <f>求节点(X$6:X$44,$D$67:$D$105,$AA69)+求节点(X$67:X$105,$Q$67:$Q$105,$AA69)</f>
        <v>13384885.021115512</v>
      </c>
      <c r="AL69" s="5">
        <f>求节点(T$6:T$44,$F$67:$F$105,$AA69)+求节点(T$67:T$105,$P$67:$P$105,$AA69)</f>
        <v>769600</v>
      </c>
      <c r="AM69" s="5">
        <f>求节点(U$6:U$44,$F$67:$F$105,$AA69)+求节点(U$67:U$105,$P$67:$P$105,$AA69)</f>
        <v>800417.10259421181</v>
      </c>
      <c r="AN69" s="5">
        <f>求节点(V$6:V$44,$F$67:$F$105,$AA69)+求节点(V$67:V$105,$P$67:$P$105,$AA69)</f>
        <v>837835.37503206602</v>
      </c>
      <c r="AO69" s="5">
        <f>求节点(W$6:W$44,$F$67:$F$105,$AA69)+求节点(W$67:W$105,$P$67:$P$105,$AA69)</f>
        <v>901796.43984208815</v>
      </c>
      <c r="AP69" s="5">
        <f>求节点(X$6:X$44,$F$67:$F$105,$AA69)+求节点(X$67:X$105,$P$67:$P$105,$AA69)</f>
        <v>926008.78872581688</v>
      </c>
      <c r="AQ69" s="5">
        <f>求节点(T$6:T$44,$H$67:$H$105,$AA69)</f>
        <v>495600</v>
      </c>
      <c r="AR69" s="5">
        <f>求节点(U$6:U$44,$H$67:$H$105,$AA69)</f>
        <v>511746.77720390266</v>
      </c>
      <c r="AS69" s="5">
        <f>求节点(V$6:V$44,$H$67:$H$105,$AA69)</f>
        <v>531101.05605106859</v>
      </c>
      <c r="AT69" s="5">
        <f>求节点(W$6:W$44,$H$67:$H$105,$AA69)</f>
        <v>563000.43253145623</v>
      </c>
      <c r="AU69" s="5">
        <f>求节点(X$6:X$44,$H$67:$H$105,$AA69)</f>
        <v>574843.42926806258</v>
      </c>
      <c r="AV69" s="5">
        <f>求节点(T$6:T$44,$I$67:$I$105,$AA69)</f>
        <v>5894000</v>
      </c>
      <c r="AW69" s="5">
        <f>求节点(U$6:U$44,$I$67:$I$105,$AA69)</f>
        <v>6420755.2977007478</v>
      </c>
      <c r="AX69" s="5">
        <f>求节点(V$6:V$44,$I$67:$I$105,$AA69)</f>
        <v>7067331.5762245897</v>
      </c>
      <c r="AY69" s="5">
        <f>求节点(W$6:W$44,$I$67:$I$105,$AA69)</f>
        <v>8184045.3609588882</v>
      </c>
      <c r="AZ69" s="5">
        <f>求节点(X$6:X$44,$I$67:$I$105,$AA69)</f>
        <v>8614779.5385643523</v>
      </c>
      <c r="BA69" s="5">
        <f>求节点(T$6:T$44,$E$67:$E$105,$AA69)+求节点(T$6:T$44,$K$67:$K$105,$AA69)+求节点(T$67:T$105,$O$67:$O$105,$AA69)</f>
        <v>4506.666666666667</v>
      </c>
      <c r="BB69" s="5">
        <f>求节点(U$6:U$44,$E$67:$E$105,$AA69)+求节点(U$6:U$44,$K$67:$K$105,$AA69)+求节点(U$67:U$105,$O$67:$O$105,$AA69)</f>
        <v>4631.0566540152504</v>
      </c>
      <c r="BC69" s="5">
        <f>求节点(V$6:V$44,$E$67:$E$105,$AA69)+求节点(V$6:V$44,$K$67:$K$105,$AA69)+求节点(V$67:V$105,$O$67:$O$105,$AA69)</f>
        <v>4780.1562836526773</v>
      </c>
      <c r="BD69" s="5">
        <f>求节点(W$6:W$44,$E$67:$E$105,$AA69)+求节点(W$6:W$44,$K$67:$K$105,$AA69)+求节点(W$67:W$105,$O$67:$O$105,$AA69)</f>
        <v>5025.899628390478</v>
      </c>
      <c r="BE69" s="5">
        <f>求节点(X$6:X$44,$E$67:$E$105,$AA69)+求节点(X$6:X$44,$K$67:$K$105,$AA69)+求节点(X$67:X$105,$O$67:$O$105,$AA69)</f>
        <v>5117.1345662132226</v>
      </c>
      <c r="BF69" s="5">
        <f>求节点(T$6:T$44,$G$67:$G$105,$AA69)</f>
        <v>0</v>
      </c>
      <c r="BG69" s="5">
        <f>求节点(U$6:U$44,$G$67:$G$105,$AA69)</f>
        <v>0</v>
      </c>
      <c r="BH69" s="5">
        <f>求节点(V$6:V$44,$G$67:$G$105,$AA69)</f>
        <v>0</v>
      </c>
      <c r="BI69" s="5">
        <f>求节点(W$6:W$44,$G$67:$G$105,$AA69)</f>
        <v>0</v>
      </c>
      <c r="BJ69" s="5">
        <f>求节点(X$6:X$44,$G$67:$G$105,$AA69)</f>
        <v>0</v>
      </c>
      <c r="BK69" s="5">
        <f>求节点(T$6:T$44,$M$67:$M$105,$AA69)</f>
        <v>43.333333333333336</v>
      </c>
      <c r="BL69" s="5">
        <f>求节点(U$6:U$44,$M$67:$M$105,$AA69)</f>
        <v>44.529390903992791</v>
      </c>
      <c r="BM69" s="5">
        <f>求节点(V$6:V$44,$M$67:$M$105,$AA69)</f>
        <v>45.963041188968049</v>
      </c>
      <c r="BN69" s="5">
        <f>求节点(W$6:W$44,$M$67:$M$105,$AA69)</f>
        <v>48.32595796529305</v>
      </c>
      <c r="BO69" s="5">
        <f>求节点(X$6:X$44,$M$67:$M$105,$AA69)</f>
        <v>49.203216982819455</v>
      </c>
      <c r="BP69" s="5">
        <f>求节点(T$67:T$105,$L$67:$L$105,$AA69)</f>
        <v>0</v>
      </c>
      <c r="BQ69" s="5">
        <f>求节点(U$67:U$105,$L$67:$L$105,$AA69)</f>
        <v>0</v>
      </c>
      <c r="BR69" s="5">
        <f>求节点(V$67:V$105,$L$67:$L$105,$AA69)</f>
        <v>0</v>
      </c>
      <c r="BS69" s="5">
        <f>求节点(W$67:W$105,$L$67:$L$105,$AA69)</f>
        <v>0</v>
      </c>
      <c r="BT69" s="5">
        <f>求节点(X$67:X$105,$L$67:$L$105,$AA69)</f>
        <v>0</v>
      </c>
      <c r="BZ69" s="5">
        <v>65</v>
      </c>
      <c r="CA69" s="5">
        <f t="shared" si="9"/>
        <v>4506.666666666667</v>
      </c>
      <c r="CB69" s="5">
        <f t="shared" si="10"/>
        <v>4631.0566540152504</v>
      </c>
      <c r="CC69" s="5">
        <f t="shared" si="11"/>
        <v>4780.1562836526773</v>
      </c>
      <c r="CD69" s="5">
        <f t="shared" si="12"/>
        <v>5025.899628390478</v>
      </c>
      <c r="CE69" s="5">
        <f t="shared" si="13"/>
        <v>5117.1345662132226</v>
      </c>
      <c r="CF69" s="5">
        <f>(CA69-CA68)/节奏总纲!W68</f>
        <v>11.438951266674398</v>
      </c>
      <c r="CI69" s="5">
        <v>65</v>
      </c>
      <c r="CJ69" s="5">
        <f t="shared" si="14"/>
        <v>10400</v>
      </c>
      <c r="CK69" s="5">
        <f t="shared" si="15"/>
        <v>10687.053816958271</v>
      </c>
      <c r="CL69" s="5">
        <f t="shared" si="16"/>
        <v>11031.129885352331</v>
      </c>
      <c r="CM69" s="5">
        <f t="shared" si="17"/>
        <v>11598.229911670333</v>
      </c>
      <c r="CN69" s="5">
        <f t="shared" si="18"/>
        <v>11808.77207587667</v>
      </c>
      <c r="CO69" s="5">
        <f>(CJ69-CJ68)/节奏总纲!W68</f>
        <v>26.397579846171457</v>
      </c>
      <c r="CP69" s="5">
        <f t="shared" ref="CP69:CP100" si="38">CO69+CF69</f>
        <v>37.836531112845854</v>
      </c>
      <c r="CR69" s="5">
        <v>65</v>
      </c>
      <c r="CS69" s="5">
        <f t="shared" ref="CS69:CS104" si="39">BP69</f>
        <v>0</v>
      </c>
      <c r="CT69" s="5">
        <f t="shared" ref="CT69:CT104" si="40">BQ69</f>
        <v>0</v>
      </c>
      <c r="CU69" s="5">
        <f t="shared" ref="CU69:CU104" si="41">BR69</f>
        <v>0</v>
      </c>
      <c r="CV69" s="5">
        <f t="shared" ref="CV69:CV104" si="42">BS69</f>
        <v>0</v>
      </c>
      <c r="CW69" s="5">
        <f t="shared" ref="CW69:CW104" si="43">BT69</f>
        <v>0</v>
      </c>
      <c r="CX69" s="5">
        <f t="shared" si="20"/>
        <v>0</v>
      </c>
      <c r="CY69" s="5">
        <f t="shared" si="21"/>
        <v>0</v>
      </c>
      <c r="CZ69" s="5">
        <f t="shared" si="22"/>
        <v>0</v>
      </c>
      <c r="DA69" s="5">
        <f t="shared" si="23"/>
        <v>0</v>
      </c>
      <c r="DB69" s="5">
        <f t="shared" si="24"/>
        <v>0</v>
      </c>
    </row>
    <row r="70" spans="2:106" x14ac:dyDescent="0.15">
      <c r="B70" s="5">
        <v>4</v>
      </c>
      <c r="C70" s="5">
        <f>SUM(C$6:C9)</f>
        <v>0</v>
      </c>
      <c r="D70" s="5">
        <f>SUM(D$6:D9)</f>
        <v>23400</v>
      </c>
      <c r="E70" s="5">
        <f>SUM(E$6:E9)</f>
        <v>480</v>
      </c>
      <c r="F70" s="5">
        <f>SUM(F$6:F9)</f>
        <v>91200</v>
      </c>
      <c r="G70" s="5">
        <f>SUM(G$6:G9)</f>
        <v>0</v>
      </c>
      <c r="H70" s="5">
        <f>SUM(H$6:H9)</f>
        <v>27600</v>
      </c>
      <c r="I70" s="5">
        <f>SUM(I$6:I9)</f>
        <v>106000</v>
      </c>
      <c r="J70" s="5">
        <f>SUM(J$6:J9)</f>
        <v>152000</v>
      </c>
      <c r="K70" s="5">
        <f>SUM(K$6:K9)</f>
        <v>352</v>
      </c>
      <c r="L70" s="5">
        <f>SUM(L$6:L9)</f>
        <v>0</v>
      </c>
      <c r="M70" s="5">
        <f>SUM(M$6:M9)</f>
        <v>8</v>
      </c>
      <c r="N70" s="5">
        <f>SUM(N$6:N9)</f>
        <v>0</v>
      </c>
      <c r="O70" s="5">
        <f>SUM(O$6:O9)</f>
        <v>0</v>
      </c>
      <c r="P70" s="5">
        <f>SUM(P$6:P9)</f>
        <v>0</v>
      </c>
      <c r="Q70" s="5">
        <f>SUM(Q$6:Q9)</f>
        <v>0</v>
      </c>
      <c r="S70" s="5">
        <v>4</v>
      </c>
      <c r="T70" s="5">
        <f>T9+1</f>
        <v>13</v>
      </c>
      <c r="U70" s="5">
        <f>U9+1</f>
        <v>12.661397172160591</v>
      </c>
      <c r="V70" s="5">
        <f>V9+1</f>
        <v>12.126542297633446</v>
      </c>
      <c r="W70" s="5">
        <f>W9+1</f>
        <v>11.456936189693174</v>
      </c>
      <c r="X70" s="5">
        <f>X9+1</f>
        <v>11.140477494841452</v>
      </c>
      <c r="AA70" s="5">
        <v>66</v>
      </c>
      <c r="AB70" s="5">
        <f>求节点(T$6:T$44,$C$67:$C$105,$AA70)</f>
        <v>0</v>
      </c>
      <c r="AC70" s="5">
        <f>求节点(U$6:U$44,$C$67:$C$105,$AA70)</f>
        <v>0</v>
      </c>
      <c r="AD70" s="5">
        <f>求节点(V$6:V$44,$C$67:$C$105,$AA70)</f>
        <v>0</v>
      </c>
      <c r="AE70" s="5">
        <f>求节点(W$6:W$44,$C$67:$C$105,$AA70)</f>
        <v>0</v>
      </c>
      <c r="AF70" s="5">
        <f>求节点(X$6:X$44,$C$67:$C$105,$AA70)</f>
        <v>0</v>
      </c>
      <c r="AG70" s="5">
        <f>求节点(T$6:T$44,$D$67:$D$105,$AA70)+求节点(T$67:T$105,$Q$67:$Q$105,$AA70)</f>
        <v>7760400</v>
      </c>
      <c r="AH70" s="5">
        <f>求节点(U$6:U$44,$D$67:$D$105,$AA70)+求节点(U$67:U$105,$Q$67:$Q$105,$AA70)</f>
        <v>8996963.1273051165</v>
      </c>
      <c r="AI70" s="5">
        <f>求节点(V$6:V$44,$D$67:$D$105,$AA70)+求节点(V$67:V$105,$Q$67:$Q$105,$AA70)</f>
        <v>10459082.15868897</v>
      </c>
      <c r="AJ70" s="5">
        <f>求节点(W$6:W$44,$D$67:$D$105,$AA70)+求节点(W$67:W$105,$Q$67:$Q$105,$AA70)</f>
        <v>13216695.806333089</v>
      </c>
      <c r="AK70" s="5">
        <f>求节点(X$6:X$44,$D$67:$D$105,$AA70)+求节点(X$67:X$105,$Q$67:$Q$105,$AA70)</f>
        <v>14363888.6604027</v>
      </c>
      <c r="AL70" s="5">
        <f>求节点(T$6:T$44,$F$67:$F$105,$AA70)+求节点(T$67:T$105,$P$67:$P$105,$AA70)</f>
        <v>786600</v>
      </c>
      <c r="AM70" s="5">
        <f>求节点(U$6:U$44,$F$67:$F$105,$AA70)+求节点(U$67:U$105,$P$67:$P$105,$AA70)</f>
        <v>822070.15894347022</v>
      </c>
      <c r="AN70" s="5">
        <f>求节点(V$6:V$44,$F$67:$F$105,$AA70)+求节点(V$67:V$105,$P$67:$P$105,$AA70)</f>
        <v>860352.96846921183</v>
      </c>
      <c r="AO70" s="5">
        <f>求节点(W$6:W$44,$F$67:$F$105,$AA70)+求节点(W$67:W$105,$P$67:$P$105,$AA70)</f>
        <v>922523.78697807307</v>
      </c>
      <c r="AP70" s="5">
        <f>求节点(X$6:X$44,$F$67:$F$105,$AA70)+求节点(X$67:X$105,$P$67:$P$105,$AA70)</f>
        <v>946294.44972005591</v>
      </c>
      <c r="AQ70" s="5">
        <f>求节点(T$6:T$44,$H$67:$H$105,$AA70)</f>
        <v>504600</v>
      </c>
      <c r="AR70" s="5">
        <f>求节点(U$6:U$44,$H$67:$H$105,$AA70)</f>
        <v>522946.63393627771</v>
      </c>
      <c r="AS70" s="5">
        <f>求节点(V$6:V$44,$H$67:$H$105,$AA70)</f>
        <v>542376.48423460592</v>
      </c>
      <c r="AT70" s="5">
        <f>求节点(W$6:W$44,$H$67:$H$105,$AA70)</f>
        <v>573138.80884797045</v>
      </c>
      <c r="AU70" s="5">
        <f>求节点(X$6:X$44,$H$67:$H$105,$AA70)</f>
        <v>584765.76345002733</v>
      </c>
      <c r="AV70" s="5">
        <f>求节点(T$6:T$44,$I$67:$I$105,$AA70)</f>
        <v>6182000</v>
      </c>
      <c r="AW70" s="5">
        <f>求节点(U$6:U$44,$I$67:$I$105,$AA70)</f>
        <v>6794913.4744637962</v>
      </c>
      <c r="AX70" s="5">
        <f>求节点(V$6:V$44,$I$67:$I$105,$AA70)</f>
        <v>7459181.3029825762</v>
      </c>
      <c r="AY70" s="5">
        <f>求节点(W$6:W$44,$I$67:$I$105,$AA70)</f>
        <v>8552781.8625447042</v>
      </c>
      <c r="AZ70" s="5">
        <f>求节点(X$6:X$44,$I$67:$I$105,$AA70)</f>
        <v>8975658.5077009946</v>
      </c>
      <c r="BA70" s="5">
        <f>求节点(T$6:T$44,$E$67:$E$105,$AA70)+求节点(T$6:T$44,$K$67:$K$105,$AA70)+求节点(T$67:T$105,$O$67:$O$105,$AA70)</f>
        <v>4576</v>
      </c>
      <c r="BB70" s="5">
        <f>求节点(U$6:U$44,$E$67:$E$105,$AA70)+求节点(U$6:U$44,$K$67:$K$105,$AA70)+求节点(U$67:U$105,$O$67:$O$105,$AA70)</f>
        <v>4717.3370318053985</v>
      </c>
      <c r="BC70" s="5">
        <f>求节点(V$6:V$44,$E$67:$E$105,$AA70)+求节点(V$6:V$44,$K$67:$K$105,$AA70)+求节点(V$67:V$105,$O$67:$O$105,$AA70)</f>
        <v>4867.0188415110379</v>
      </c>
      <c r="BD70" s="5">
        <f>求节点(W$6:W$44,$E$67:$E$105,$AA70)+求节点(W$6:W$44,$K$67:$K$105,$AA70)+求节点(W$67:W$105,$O$67:$O$105,$AA70)</f>
        <v>5104.0026755695508</v>
      </c>
      <c r="BE70" s="5">
        <f>求节点(X$6:X$44,$E$67:$E$105,$AA70)+求节点(X$6:X$44,$K$67:$K$105,$AA70)+求节点(X$67:X$105,$O$67:$O$105,$AA70)</f>
        <v>5193.5732888002112</v>
      </c>
      <c r="BF70" s="5">
        <f>求节点(T$6:T$44,$G$67:$G$105,$AA70)</f>
        <v>0</v>
      </c>
      <c r="BG70" s="5">
        <f>求节点(U$6:U$44,$G$67:$G$105,$AA70)</f>
        <v>0</v>
      </c>
      <c r="BH70" s="5">
        <f>求节点(V$6:V$44,$G$67:$G$105,$AA70)</f>
        <v>0</v>
      </c>
      <c r="BI70" s="5">
        <f>求节点(W$6:W$44,$G$67:$G$105,$AA70)</f>
        <v>0</v>
      </c>
      <c r="BJ70" s="5">
        <f>求节点(X$6:X$44,$G$67:$G$105,$AA70)</f>
        <v>0</v>
      </c>
      <c r="BK70" s="5">
        <f>求节点(T$6:T$44,$M$67:$M$105,$AA70)</f>
        <v>44</v>
      </c>
      <c r="BL70" s="5">
        <f>求节点(U$6:U$44,$M$67:$M$105,$AA70)</f>
        <v>45.359009921205754</v>
      </c>
      <c r="BM70" s="5">
        <f>求节点(V$6:V$44,$M$67:$M$105,$AA70)</f>
        <v>46.79825809145229</v>
      </c>
      <c r="BN70" s="5">
        <f>求节点(W$6:W$44,$M$67:$M$105,$AA70)</f>
        <v>49.076948803553371</v>
      </c>
      <c r="BO70" s="5">
        <f>求节点(X$6:X$44,$M$67:$M$105,$AA70)</f>
        <v>49.938204700002025</v>
      </c>
      <c r="BP70" s="5">
        <f>求节点(T$67:T$105,$L$67:$L$105,$AA70)</f>
        <v>0</v>
      </c>
      <c r="BQ70" s="5">
        <f>求节点(U$67:U$105,$L$67:$L$105,$AA70)</f>
        <v>0</v>
      </c>
      <c r="BR70" s="5">
        <f>求节点(V$67:V$105,$L$67:$L$105,$AA70)</f>
        <v>0</v>
      </c>
      <c r="BS70" s="5">
        <f>求节点(W$67:W$105,$L$67:$L$105,$AA70)</f>
        <v>0</v>
      </c>
      <c r="BT70" s="5">
        <f>求节点(X$67:X$105,$L$67:$L$105,$AA70)</f>
        <v>0</v>
      </c>
      <c r="BZ70" s="5">
        <v>66</v>
      </c>
      <c r="CA70" s="5">
        <f t="shared" ref="CA70:CA104" si="44">BA70</f>
        <v>4576</v>
      </c>
      <c r="CB70" s="5">
        <f t="shared" ref="CB70:CB104" si="45">BB70</f>
        <v>4717.3370318053985</v>
      </c>
      <c r="CC70" s="5">
        <f t="shared" ref="CC70:CC104" si="46">BC70</f>
        <v>4867.0188415110379</v>
      </c>
      <c r="CD70" s="5">
        <f t="shared" ref="CD70:CD104" si="47">BD70</f>
        <v>5104.0026755695508</v>
      </c>
      <c r="CE70" s="5">
        <f t="shared" ref="CE70:CE104" si="48">BE70</f>
        <v>5193.5732888002112</v>
      </c>
      <c r="CF70" s="5">
        <f>(CA70-CA69)/节奏总纲!W69</f>
        <v>10.672918920388863</v>
      </c>
      <c r="CI70" s="5">
        <v>66</v>
      </c>
      <c r="CJ70" s="5">
        <f t="shared" ref="CJ70:CJ104" si="49">BK70*240</f>
        <v>10560</v>
      </c>
      <c r="CK70" s="5">
        <f t="shared" ref="CK70:CK104" si="50">BL70*240</f>
        <v>10886.162381089382</v>
      </c>
      <c r="CL70" s="5">
        <f t="shared" ref="CL70:CL104" si="51">BM70*240</f>
        <v>11231.581941948549</v>
      </c>
      <c r="CM70" s="5">
        <f t="shared" ref="CM70:CM104" si="52">BN70*240</f>
        <v>11778.467712852809</v>
      </c>
      <c r="CN70" s="5">
        <f t="shared" ref="CN70:CN104" si="53">BO70*240</f>
        <v>11985.169128000485</v>
      </c>
      <c r="CO70" s="5">
        <f>(CJ70-CJ69)/节奏总纲!W69</f>
        <v>24.629812893205177</v>
      </c>
      <c r="CP70" s="5">
        <f t="shared" si="38"/>
        <v>35.302731813594036</v>
      </c>
      <c r="CR70" s="5">
        <v>66</v>
      </c>
      <c r="CS70" s="5">
        <f t="shared" si="39"/>
        <v>0</v>
      </c>
      <c r="CT70" s="5">
        <f t="shared" si="40"/>
        <v>0</v>
      </c>
      <c r="CU70" s="5">
        <f t="shared" si="41"/>
        <v>0</v>
      </c>
      <c r="CV70" s="5">
        <f t="shared" si="42"/>
        <v>0</v>
      </c>
      <c r="CW70" s="5">
        <f t="shared" si="43"/>
        <v>0</v>
      </c>
      <c r="CX70" s="5">
        <f t="shared" si="20"/>
        <v>0</v>
      </c>
      <c r="CY70" s="5">
        <f t="shared" si="21"/>
        <v>0</v>
      </c>
      <c r="CZ70" s="5">
        <f t="shared" si="22"/>
        <v>0</v>
      </c>
      <c r="DA70" s="5">
        <f t="shared" si="23"/>
        <v>0</v>
      </c>
      <c r="DB70" s="5">
        <f t="shared" si="24"/>
        <v>0</v>
      </c>
    </row>
    <row r="71" spans="2:106" x14ac:dyDescent="0.15">
      <c r="B71" s="5">
        <v>5</v>
      </c>
      <c r="C71" s="5">
        <f>SUM(C$6:C10)</f>
        <v>0</v>
      </c>
      <c r="D71" s="5">
        <f>SUM(D$6:D10)</f>
        <v>38400</v>
      </c>
      <c r="E71" s="5">
        <f>SUM(E$6:E10)</f>
        <v>600</v>
      </c>
      <c r="F71" s="5">
        <f>SUM(F$6:F10)</f>
        <v>117600</v>
      </c>
      <c r="G71" s="5">
        <f>SUM(G$6:G10)</f>
        <v>0</v>
      </c>
      <c r="H71" s="5">
        <f>SUM(H$6:H10)</f>
        <v>45600</v>
      </c>
      <c r="I71" s="5">
        <f>SUM(I$6:I10)</f>
        <v>148000</v>
      </c>
      <c r="J71" s="5">
        <f>SUM(J$6:J10)</f>
        <v>196000</v>
      </c>
      <c r="K71" s="5">
        <f>SUM(K$6:K10)</f>
        <v>440</v>
      </c>
      <c r="L71" s="5">
        <f>SUM(L$6:L10)</f>
        <v>0</v>
      </c>
      <c r="M71" s="5">
        <f>SUM(M$6:M10)</f>
        <v>10</v>
      </c>
      <c r="N71" s="5">
        <f>SUM(N$6:N10)</f>
        <v>0</v>
      </c>
      <c r="O71" s="5">
        <f>SUM(O$6:O10)</f>
        <v>0</v>
      </c>
      <c r="P71" s="5">
        <f>SUM(P$6:P10)</f>
        <v>0</v>
      </c>
      <c r="Q71" s="5">
        <f>SUM(Q$6:Q10)</f>
        <v>0</v>
      </c>
      <c r="S71" s="5">
        <v>5</v>
      </c>
      <c r="T71" s="5">
        <f>T10+1</f>
        <v>16</v>
      </c>
      <c r="U71" s="5">
        <f>U10+1</f>
        <v>15.617654955009588</v>
      </c>
      <c r="V71" s="5">
        <f>V10+1</f>
        <v>15.024498867791426</v>
      </c>
      <c r="W71" s="5">
        <f>W10+1</f>
        <v>14.113176648184169</v>
      </c>
      <c r="X71" s="5">
        <f>X10+1</f>
        <v>13.560656616306117</v>
      </c>
      <c r="AA71" s="5">
        <v>67</v>
      </c>
      <c r="AB71" s="5">
        <f>求节点(T$6:T$44,$C$67:$C$105,$AA71)</f>
        <v>0</v>
      </c>
      <c r="AC71" s="5">
        <f>求节点(U$6:U$44,$C$67:$C$105,$AA71)</f>
        <v>0</v>
      </c>
      <c r="AD71" s="5">
        <f>求节点(V$6:V$44,$C$67:$C$105,$AA71)</f>
        <v>0</v>
      </c>
      <c r="AE71" s="5">
        <f>求节点(W$6:W$44,$C$67:$C$105,$AA71)</f>
        <v>0</v>
      </c>
      <c r="AF71" s="5">
        <f>求节点(X$6:X$44,$C$67:$C$105,$AA71)</f>
        <v>0</v>
      </c>
      <c r="AG71" s="5">
        <f>求节点(T$6:T$44,$D$67:$D$105,$AA71)+求节点(T$67:T$105,$Q$67:$Q$105,$AA71)</f>
        <v>8367000</v>
      </c>
      <c r="AH71" s="5">
        <f>求节点(U$6:U$44,$D$67:$D$105,$AA71)+求节点(U$67:U$105,$Q$67:$Q$105,$AA71)</f>
        <v>9767856.9823449384</v>
      </c>
      <c r="AI71" s="5">
        <f>求节点(V$6:V$44,$D$67:$D$105,$AA71)+求节点(V$67:V$105,$Q$67:$Q$105,$AA71)</f>
        <v>11374383.489415661</v>
      </c>
      <c r="AJ71" s="5">
        <f>求节点(W$6:W$44,$D$67:$D$105,$AA71)+求节点(W$67:W$105,$Q$67:$Q$105,$AA71)</f>
        <v>14217015.602895835</v>
      </c>
      <c r="AK71" s="5">
        <f>求节点(X$6:X$44,$D$67:$D$105,$AA71)+求节点(X$67:X$105,$Q$67:$Q$105,$AA71)</f>
        <v>15565511.17430306</v>
      </c>
      <c r="AL71" s="5">
        <f>求节点(T$6:T$44,$F$67:$F$105,$AA71)+求节点(T$67:T$105,$P$67:$P$105,$AA71)</f>
        <v>804000</v>
      </c>
      <c r="AM71" s="5">
        <f>求节点(U$6:U$44,$F$67:$F$105,$AA71)+求节点(U$67:U$105,$P$67:$P$105,$AA71)</f>
        <v>843401.94234633364</v>
      </c>
      <c r="AN71" s="5">
        <f>求节点(V$6:V$44,$F$67:$F$105,$AA71)+求节点(V$67:V$105,$P$67:$P$105,$AA71)</f>
        <v>882799.05014915788</v>
      </c>
      <c r="AO71" s="5">
        <f>求节点(W$6:W$44,$F$67:$F$105,$AA71)+求节点(W$67:W$105,$P$67:$P$105,$AA71)</f>
        <v>943251.13411405787</v>
      </c>
      <c r="AP71" s="5">
        <f>求节点(X$6:X$44,$F$67:$F$105,$AA71)+求节点(X$67:X$105,$P$67:$P$105,$AA71)</f>
        <v>967582.21671030857</v>
      </c>
      <c r="AQ71" s="5">
        <f>求节点(T$6:T$44,$H$67:$H$105,$AA71)</f>
        <v>513600</v>
      </c>
      <c r="AR71" s="5">
        <f>求节点(U$6:U$44,$H$67:$H$105,$AA71)</f>
        <v>533900.97117316676</v>
      </c>
      <c r="AS71" s="5">
        <f>求节点(V$6:V$44,$H$67:$H$105,$AA71)</f>
        <v>553599.52507457894</v>
      </c>
      <c r="AT71" s="5">
        <f>求节点(W$6:W$44,$H$67:$H$105,$AA71)</f>
        <v>583277.18516448478</v>
      </c>
      <c r="AU71" s="5">
        <f>求节点(X$6:X$44,$H$67:$H$105,$AA71)</f>
        <v>594974.46544642432</v>
      </c>
      <c r="AV71" s="5">
        <f>求节点(T$6:T$44,$I$67:$I$105,$AA71)</f>
        <v>6482666.666666667</v>
      </c>
      <c r="AW71" s="5">
        <f>求节点(U$6:U$44,$I$67:$I$105,$AA71)</f>
        <v>7164107.8852880299</v>
      </c>
      <c r="AX71" s="5">
        <f>求节点(V$6:V$44,$I$67:$I$105,$AA71)</f>
        <v>7849909.3914853409</v>
      </c>
      <c r="AY71" s="5">
        <f>求节点(W$6:W$44,$I$67:$I$105,$AA71)</f>
        <v>8921518.3641305212</v>
      </c>
      <c r="AZ71" s="5">
        <f>求节点(X$6:X$44,$I$67:$I$105,$AA71)</f>
        <v>9361535.2821162399</v>
      </c>
      <c r="BA71" s="5">
        <f>求节点(T$6:T$44,$E$67:$E$105,$AA71)+求节点(T$6:T$44,$K$67:$K$105,$AA71)+求节点(T$67:T$105,$O$67:$O$105,$AA71)</f>
        <v>4645.333333333333</v>
      </c>
      <c r="BB71" s="5">
        <f>求节点(U$6:U$44,$E$67:$E$105,$AA71)+求节点(U$6:U$44,$K$67:$K$105,$AA71)+求节点(U$67:U$105,$O$67:$O$105,$AA71)</f>
        <v>4801.7260001488403</v>
      </c>
      <c r="BC71" s="5">
        <f>求节点(V$6:V$44,$E$67:$E$105,$AA71)+求节点(V$6:V$44,$K$67:$K$105,$AA71)+求节点(V$67:V$105,$O$67:$O$105,$AA71)</f>
        <v>4953.4778227967563</v>
      </c>
      <c r="BD71" s="5">
        <f>求节点(W$6:W$44,$E$67:$E$105,$AA71)+求节点(W$6:W$44,$K$67:$K$105,$AA71)+求节点(W$67:W$105,$O$67:$O$105,$AA71)</f>
        <v>5182.1057227486235</v>
      </c>
      <c r="BE71" s="5">
        <f>求节点(X$6:X$44,$E$67:$E$105,$AA71)+求节点(X$6:X$44,$K$67:$K$105,$AA71)+求节点(X$67:X$105,$O$67:$O$105,$AA71)</f>
        <v>5272.2181041798613</v>
      </c>
      <c r="BF71" s="5">
        <f>求节点(T$6:T$44,$G$67:$G$105,$AA71)</f>
        <v>0</v>
      </c>
      <c r="BG71" s="5">
        <f>求节点(U$6:U$44,$G$67:$G$105,$AA71)</f>
        <v>0</v>
      </c>
      <c r="BH71" s="5">
        <f>求节点(V$6:V$44,$G$67:$G$105,$AA71)</f>
        <v>0</v>
      </c>
      <c r="BI71" s="5">
        <f>求节点(W$6:W$44,$G$67:$G$105,$AA71)</f>
        <v>0</v>
      </c>
      <c r="BJ71" s="5">
        <f>求节点(X$6:X$44,$G$67:$G$105,$AA71)</f>
        <v>0</v>
      </c>
      <c r="BK71" s="5">
        <f>求节点(T$6:T$44,$M$67:$M$105,$AA71)</f>
        <v>44.666666666666664</v>
      </c>
      <c r="BL71" s="5">
        <f>求节点(U$6:U$44,$M$67:$M$105,$AA71)</f>
        <v>46.170442309123466</v>
      </c>
      <c r="BM71" s="5">
        <f>求节点(V$6:V$44,$M$67:$M$105,$AA71)</f>
        <v>47.629594449968813</v>
      </c>
      <c r="BN71" s="5">
        <f>求节点(W$6:W$44,$M$67:$M$105,$AA71)</f>
        <v>49.827939641813693</v>
      </c>
      <c r="BO71" s="5">
        <f>求节点(X$6:X$44,$M$67:$M$105,$AA71)</f>
        <v>50.694404847883277</v>
      </c>
      <c r="BP71" s="5">
        <f>求节点(T$67:T$105,$L$67:$L$105,$AA71)</f>
        <v>0</v>
      </c>
      <c r="BQ71" s="5">
        <f>求节点(U$67:U$105,$L$67:$L$105,$AA71)</f>
        <v>0</v>
      </c>
      <c r="BR71" s="5">
        <f>求节点(V$67:V$105,$L$67:$L$105,$AA71)</f>
        <v>0</v>
      </c>
      <c r="BS71" s="5">
        <f>求节点(W$67:W$105,$L$67:$L$105,$AA71)</f>
        <v>0</v>
      </c>
      <c r="BT71" s="5">
        <f>求节点(X$67:X$105,$L$67:$L$105,$AA71)</f>
        <v>0</v>
      </c>
      <c r="BZ71" s="5">
        <v>67</v>
      </c>
      <c r="CA71" s="5">
        <f t="shared" si="44"/>
        <v>4645.333333333333</v>
      </c>
      <c r="CB71" s="5">
        <f t="shared" si="45"/>
        <v>4801.7260001488403</v>
      </c>
      <c r="CC71" s="5">
        <f t="shared" si="46"/>
        <v>4953.4778227967563</v>
      </c>
      <c r="CD71" s="5">
        <f t="shared" si="47"/>
        <v>5182.1057227486235</v>
      </c>
      <c r="CE71" s="5">
        <f t="shared" si="48"/>
        <v>5272.2181041798613</v>
      </c>
      <c r="CF71" s="5">
        <f>(CA71-CA70)/节奏总纲!W70</f>
        <v>9.9581854687201954</v>
      </c>
      <c r="CI71" s="5">
        <v>67</v>
      </c>
      <c r="CJ71" s="5">
        <f t="shared" si="49"/>
        <v>10720</v>
      </c>
      <c r="CK71" s="5">
        <f t="shared" si="50"/>
        <v>11080.906154189632</v>
      </c>
      <c r="CL71" s="5">
        <f t="shared" si="51"/>
        <v>11431.102667992514</v>
      </c>
      <c r="CM71" s="5">
        <f t="shared" si="52"/>
        <v>11958.705514035286</v>
      </c>
      <c r="CN71" s="5">
        <f t="shared" si="53"/>
        <v>12166.657163491986</v>
      </c>
      <c r="CO71" s="5">
        <f>(CJ71-CJ70)/节奏总纲!W70</f>
        <v>22.980428004739014</v>
      </c>
      <c r="CP71" s="5">
        <f t="shared" si="38"/>
        <v>32.938613473459213</v>
      </c>
      <c r="CR71" s="5">
        <v>67</v>
      </c>
      <c r="CS71" s="5">
        <f t="shared" si="39"/>
        <v>0</v>
      </c>
      <c r="CT71" s="5">
        <f t="shared" si="40"/>
        <v>0</v>
      </c>
      <c r="CU71" s="5">
        <f t="shared" si="41"/>
        <v>0</v>
      </c>
      <c r="CV71" s="5">
        <f t="shared" si="42"/>
        <v>0</v>
      </c>
      <c r="CW71" s="5">
        <f t="shared" si="43"/>
        <v>0</v>
      </c>
      <c r="CX71" s="5">
        <f t="shared" ref="CX71:CX104" si="54">CS71-CS70</f>
        <v>0</v>
      </c>
      <c r="CY71" s="5">
        <f t="shared" ref="CY71:CY104" si="55">CT71-CT70</f>
        <v>0</v>
      </c>
      <c r="CZ71" s="5">
        <f t="shared" ref="CZ71:CZ104" si="56">CU71-CU70</f>
        <v>0</v>
      </c>
      <c r="DA71" s="5">
        <f t="shared" ref="DA71:DA104" si="57">CV71-CV70</f>
        <v>0</v>
      </c>
      <c r="DB71" s="5">
        <f t="shared" ref="DB71:DB104" si="58">CW71-CW70</f>
        <v>0</v>
      </c>
    </row>
    <row r="72" spans="2:106" x14ac:dyDescent="0.15">
      <c r="B72" s="5">
        <v>6</v>
      </c>
      <c r="C72" s="5">
        <f>SUM(C$6:C11)</f>
        <v>0</v>
      </c>
      <c r="D72" s="5">
        <f>SUM(D$6:D11)</f>
        <v>60000</v>
      </c>
      <c r="E72" s="5">
        <f>SUM(E$6:E11)</f>
        <v>720</v>
      </c>
      <c r="F72" s="5">
        <f>SUM(F$6:F11)</f>
        <v>145200</v>
      </c>
      <c r="G72" s="5">
        <f>SUM(G$6:G11)</f>
        <v>0</v>
      </c>
      <c r="H72" s="5">
        <f>SUM(H$6:H11)</f>
        <v>72600</v>
      </c>
      <c r="I72" s="5">
        <f>SUM(I$6:I11)</f>
        <v>198000</v>
      </c>
      <c r="J72" s="5">
        <f>SUM(J$6:J11)</f>
        <v>242000</v>
      </c>
      <c r="K72" s="5">
        <f>SUM(K$6:K11)</f>
        <v>528</v>
      </c>
      <c r="L72" s="5">
        <f>SUM(L$6:L11)</f>
        <v>0</v>
      </c>
      <c r="M72" s="5">
        <f>SUM(M$6:M11)</f>
        <v>12</v>
      </c>
      <c r="N72" s="5">
        <f>SUM(N$6:N11)</f>
        <v>0</v>
      </c>
      <c r="O72" s="5">
        <f>SUM(O$6:O11)</f>
        <v>0</v>
      </c>
      <c r="P72" s="5">
        <f>SUM(P$6:P11)</f>
        <v>0</v>
      </c>
      <c r="Q72" s="5">
        <f>SUM(Q$6:Q11)</f>
        <v>0</v>
      </c>
      <c r="S72" s="5">
        <v>6</v>
      </c>
      <c r="T72" s="5">
        <f>T11+1</f>
        <v>19</v>
      </c>
      <c r="U72" s="5">
        <f>U11+1</f>
        <v>18.548473121974101</v>
      </c>
      <c r="V72" s="5">
        <f>V11+1</f>
        <v>17.874781217774334</v>
      </c>
      <c r="W72" s="5">
        <f>W11+1</f>
        <v>16.824293721721368</v>
      </c>
      <c r="X72" s="5">
        <f>X11+1</f>
        <v>16.141130078790688</v>
      </c>
      <c r="AA72" s="5">
        <v>68</v>
      </c>
      <c r="AB72" s="5">
        <f>求节点(T$6:T$44,$C$67:$C$105,$AA72)</f>
        <v>0</v>
      </c>
      <c r="AC72" s="5">
        <f>求节点(U$6:U$44,$C$67:$C$105,$AA72)</f>
        <v>0</v>
      </c>
      <c r="AD72" s="5">
        <f>求节点(V$6:V$44,$C$67:$C$105,$AA72)</f>
        <v>0</v>
      </c>
      <c r="AE72" s="5">
        <f>求节点(W$6:W$44,$C$67:$C$105,$AA72)</f>
        <v>0</v>
      </c>
      <c r="AF72" s="5">
        <f>求节点(X$6:X$44,$C$67:$C$105,$AA72)</f>
        <v>0</v>
      </c>
      <c r="AG72" s="5">
        <f>求节点(T$6:T$44,$D$67:$D$105,$AA72)+求节点(T$67:T$105,$Q$67:$Q$105,$AA72)</f>
        <v>8973600</v>
      </c>
      <c r="AH72" s="5">
        <f>求节点(U$6:U$44,$D$67:$D$105,$AA72)+求节点(U$67:U$105,$Q$67:$Q$105,$AA72)</f>
        <v>10593201.187593911</v>
      </c>
      <c r="AI72" s="5">
        <f>求节点(V$6:V$44,$D$67:$D$105,$AA72)+求节点(V$67:V$105,$Q$67:$Q$105,$AA72)</f>
        <v>12329067.810190683</v>
      </c>
      <c r="AJ72" s="5">
        <f>求节点(W$6:W$44,$D$67:$D$105,$AA72)+求节点(W$67:W$105,$Q$67:$Q$105,$AA72)</f>
        <v>15384449.251548495</v>
      </c>
      <c r="AK72" s="5">
        <f>求节点(X$6:X$44,$D$67:$D$105,$AA72)+求节点(X$67:X$105,$Q$67:$Q$105,$AA72)</f>
        <v>16787568.85620407</v>
      </c>
      <c r="AL72" s="5">
        <f>求节点(T$6:T$44,$F$67:$F$105,$AA72)+求节点(T$67:T$105,$P$67:$P$105,$AA72)</f>
        <v>821400</v>
      </c>
      <c r="AM72" s="5">
        <f>求节点(U$6:U$44,$F$67:$F$105,$AA72)+求节点(U$67:U$105,$P$67:$P$105,$AA72)</f>
        <v>863641.99097641744</v>
      </c>
      <c r="AN72" s="5">
        <f>求节点(V$6:V$44,$F$67:$F$105,$AA72)+求节点(V$67:V$105,$P$67:$P$105,$AA72)</f>
        <v>904131.49516611325</v>
      </c>
      <c r="AO72" s="5">
        <f>求节点(W$6:W$44,$F$67:$F$105,$AA72)+求节点(W$67:W$105,$P$67:$P$105,$AA72)</f>
        <v>964414.55977025104</v>
      </c>
      <c r="AP72" s="5">
        <f>求节点(X$6:X$44,$F$67:$F$105,$AA72)+求节点(X$67:X$105,$P$67:$P$105,$AA72)</f>
        <v>988961.97142810025</v>
      </c>
      <c r="AQ72" s="5">
        <f>求节点(T$6:T$44,$H$67:$H$105,$AA72)</f>
        <v>522600</v>
      </c>
      <c r="AR72" s="5">
        <f>求节点(U$6:U$44,$H$67:$H$105,$AA72)</f>
        <v>544020.99548820872</v>
      </c>
      <c r="AS72" s="5">
        <f>求节点(V$6:V$44,$H$67:$H$105,$AA72)</f>
        <v>564142.57915733801</v>
      </c>
      <c r="AT72" s="5">
        <f>求节点(W$6:W$44,$H$67:$H$105,$AA72)</f>
        <v>593458.03393256699</v>
      </c>
      <c r="AU72" s="5">
        <f>求节点(X$6:X$44,$H$67:$H$105,$AA72)</f>
        <v>605209.45440706925</v>
      </c>
      <c r="AV72" s="5">
        <f>求节点(T$6:T$44,$I$67:$I$105,$AA72)</f>
        <v>6783333.333333333</v>
      </c>
      <c r="AW72" s="5">
        <f>求节点(U$6:U$44,$I$67:$I$105,$AA72)</f>
        <v>7516434.6577376369</v>
      </c>
      <c r="AX72" s="5">
        <f>求节点(V$6:V$44,$I$67:$I$105,$AA72)</f>
        <v>8225585.6567594791</v>
      </c>
      <c r="AY72" s="5">
        <f>求节点(W$6:W$44,$I$67:$I$105,$AA72)</f>
        <v>9304023.2128499467</v>
      </c>
      <c r="AZ72" s="5">
        <f>求节点(X$6:X$44,$I$67:$I$105,$AA72)</f>
        <v>9749706.7152903304</v>
      </c>
      <c r="BA72" s="5">
        <f>求节点(T$6:T$44,$E$67:$E$105,$AA72)+求节点(T$6:T$44,$K$67:$K$105,$AA72)+求节点(T$67:T$105,$O$67:$O$105,$AA72)</f>
        <v>4714.666666666667</v>
      </c>
      <c r="BB72" s="5">
        <f>求节点(U$6:U$44,$E$67:$E$105,$AA72)+求节点(U$6:U$44,$K$67:$K$105,$AA72)+求节点(U$67:U$105,$O$67:$O$105,$AA72)</f>
        <v>4879.6876689462006</v>
      </c>
      <c r="BC72" s="5">
        <f>求节点(V$6:V$44,$E$67:$E$105,$AA72)+求节点(V$6:V$44,$K$67:$K$105,$AA72)+求节点(V$67:V$105,$O$67:$O$105,$AA72)</f>
        <v>5034.6983875824553</v>
      </c>
      <c r="BD72" s="5">
        <f>求节点(W$6:W$44,$E$67:$E$105,$AA72)+求节点(W$6:W$44,$K$67:$K$105,$AA72)+求节点(W$67:W$105,$O$67:$O$105,$AA72)</f>
        <v>5260.5359651101453</v>
      </c>
      <c r="BE72" s="5">
        <f>求节点(X$6:X$44,$E$67:$E$105,$AA72)+求节点(X$6:X$44,$K$67:$K$105,$AA72)+求节点(X$67:X$105,$O$67:$O$105,$AA72)</f>
        <v>5351.0654265433477</v>
      </c>
      <c r="BF72" s="5">
        <f>求节点(T$6:T$44,$G$67:$G$105,$AA72)</f>
        <v>0</v>
      </c>
      <c r="BG72" s="5">
        <f>求节点(U$6:U$44,$G$67:$G$105,$AA72)</f>
        <v>0</v>
      </c>
      <c r="BH72" s="5">
        <f>求节点(V$6:V$44,$G$67:$G$105,$AA72)</f>
        <v>0</v>
      </c>
      <c r="BI72" s="5">
        <f>求节点(W$6:W$44,$G$67:$G$105,$AA72)</f>
        <v>0</v>
      </c>
      <c r="BJ72" s="5">
        <f>求节点(X$6:X$44,$G$67:$G$105,$AA72)</f>
        <v>0</v>
      </c>
      <c r="BK72" s="5">
        <f>求节点(T$6:T$44,$M$67:$M$105,$AA72)</f>
        <v>45.333333333333336</v>
      </c>
      <c r="BL72" s="5">
        <f>求节点(U$6:U$44,$M$67:$M$105,$AA72)</f>
        <v>46.920073739867313</v>
      </c>
      <c r="BM72" s="5">
        <f>求节点(V$6:V$44,$M$67:$M$105,$AA72)</f>
        <v>48.410561419062077</v>
      </c>
      <c r="BN72" s="5">
        <f>求节点(W$6:W$44,$M$67:$M$105,$AA72)</f>
        <v>50.582076587597555</v>
      </c>
      <c r="BO72" s="5">
        <f>求节点(X$6:X$44,$M$67:$M$105,$AA72)</f>
        <v>51.452552178301431</v>
      </c>
      <c r="BP72" s="5">
        <f>求节点(T$67:T$105,$L$67:$L$105,$AA72)</f>
        <v>0</v>
      </c>
      <c r="BQ72" s="5">
        <f>求节点(U$67:U$105,$L$67:$L$105,$AA72)</f>
        <v>0</v>
      </c>
      <c r="BR72" s="5">
        <f>求节点(V$67:V$105,$L$67:$L$105,$AA72)</f>
        <v>0</v>
      </c>
      <c r="BS72" s="5">
        <f>求节点(W$67:W$105,$L$67:$L$105,$AA72)</f>
        <v>0</v>
      </c>
      <c r="BT72" s="5">
        <f>求节点(X$67:X$105,$L$67:$L$105,$AA72)</f>
        <v>0</v>
      </c>
      <c r="BZ72" s="5">
        <v>68</v>
      </c>
      <c r="CA72" s="5">
        <f t="shared" si="44"/>
        <v>4714.666666666667</v>
      </c>
      <c r="CB72" s="5">
        <f t="shared" si="45"/>
        <v>4879.6876689462006</v>
      </c>
      <c r="CC72" s="5">
        <f t="shared" si="46"/>
        <v>5034.6983875824553</v>
      </c>
      <c r="CD72" s="5">
        <f t="shared" si="47"/>
        <v>5260.5359651101453</v>
      </c>
      <c r="CE72" s="5">
        <f t="shared" si="48"/>
        <v>5351.0654265433477</v>
      </c>
      <c r="CF72" s="5">
        <f>(CA72-CA71)/节奏总纲!W71</f>
        <v>9.2913155781584855</v>
      </c>
      <c r="CI72" s="5">
        <v>68</v>
      </c>
      <c r="CJ72" s="5">
        <f t="shared" si="49"/>
        <v>10880</v>
      </c>
      <c r="CK72" s="5">
        <f t="shared" si="50"/>
        <v>11260.817697568154</v>
      </c>
      <c r="CL72" s="5">
        <f t="shared" si="51"/>
        <v>11618.534740574898</v>
      </c>
      <c r="CM72" s="5">
        <f t="shared" si="52"/>
        <v>12139.698381023412</v>
      </c>
      <c r="CN72" s="5">
        <f t="shared" si="53"/>
        <v>12348.612522792344</v>
      </c>
      <c r="CO72" s="5">
        <f>(CJ72-CJ71)/节奏总纲!W71</f>
        <v>21.441497488057855</v>
      </c>
      <c r="CP72" s="5">
        <f t="shared" si="38"/>
        <v>30.732813066216341</v>
      </c>
      <c r="CR72" s="5">
        <v>68</v>
      </c>
      <c r="CS72" s="5">
        <f t="shared" si="39"/>
        <v>0</v>
      </c>
      <c r="CT72" s="5">
        <f t="shared" si="40"/>
        <v>0</v>
      </c>
      <c r="CU72" s="5">
        <f t="shared" si="41"/>
        <v>0</v>
      </c>
      <c r="CV72" s="5">
        <f t="shared" si="42"/>
        <v>0</v>
      </c>
      <c r="CW72" s="5">
        <f t="shared" si="43"/>
        <v>0</v>
      </c>
      <c r="CX72" s="5">
        <f t="shared" si="54"/>
        <v>0</v>
      </c>
      <c r="CY72" s="5">
        <f t="shared" si="55"/>
        <v>0</v>
      </c>
      <c r="CZ72" s="5">
        <f t="shared" si="56"/>
        <v>0</v>
      </c>
      <c r="DA72" s="5">
        <f t="shared" si="57"/>
        <v>0</v>
      </c>
      <c r="DB72" s="5">
        <f t="shared" si="58"/>
        <v>0</v>
      </c>
    </row>
    <row r="73" spans="2:106" x14ac:dyDescent="0.15">
      <c r="B73" s="5">
        <v>7</v>
      </c>
      <c r="C73" s="5">
        <f>SUM(C$6:C12)</f>
        <v>0</v>
      </c>
      <c r="D73" s="5">
        <f>SUM(D$6:D12)</f>
        <v>90000</v>
      </c>
      <c r="E73" s="5">
        <f>SUM(E$6:E12)</f>
        <v>840</v>
      </c>
      <c r="F73" s="5">
        <f>SUM(F$6:F12)</f>
        <v>174600</v>
      </c>
      <c r="G73" s="5">
        <f>SUM(G$6:G12)</f>
        <v>0</v>
      </c>
      <c r="H73" s="5">
        <f>SUM(H$6:H12)</f>
        <v>99600</v>
      </c>
      <c r="I73" s="5">
        <f>SUM(I$6:I12)</f>
        <v>272000</v>
      </c>
      <c r="J73" s="5">
        <f>SUM(J$6:J12)</f>
        <v>290000</v>
      </c>
      <c r="K73" s="5">
        <f>SUM(K$6:K12)</f>
        <v>616</v>
      </c>
      <c r="L73" s="5">
        <f>SUM(L$6:L12)</f>
        <v>0</v>
      </c>
      <c r="M73" s="5">
        <f>SUM(M$6:M12)</f>
        <v>14</v>
      </c>
      <c r="N73" s="5">
        <f>SUM(N$6:N12)</f>
        <v>0</v>
      </c>
      <c r="O73" s="5">
        <f>SUM(O$6:O12)</f>
        <v>0</v>
      </c>
      <c r="P73" s="5">
        <f>SUM(P$6:P12)</f>
        <v>0</v>
      </c>
      <c r="Q73" s="5">
        <f>SUM(Q$6:Q12)</f>
        <v>0</v>
      </c>
      <c r="S73" s="5">
        <v>7</v>
      </c>
      <c r="T73" s="5">
        <f>T12+1</f>
        <v>22</v>
      </c>
      <c r="U73" s="5">
        <f>U12+1</f>
        <v>21.589647117302654</v>
      </c>
      <c r="V73" s="5">
        <f>V12+1</f>
        <v>20.843482776397728</v>
      </c>
      <c r="W73" s="5">
        <f>W12+1</f>
        <v>19.675906051742032</v>
      </c>
      <c r="X73" s="5">
        <f>X12+1</f>
        <v>18.886502335378513</v>
      </c>
      <c r="AA73" s="5">
        <v>69</v>
      </c>
      <c r="AB73" s="5">
        <f>求节点(T$6:T$44,$C$67:$C$105,$AA73)</f>
        <v>0</v>
      </c>
      <c r="AC73" s="5">
        <f>求节点(U$6:U$44,$C$67:$C$105,$AA73)</f>
        <v>0</v>
      </c>
      <c r="AD73" s="5">
        <f>求节点(V$6:V$44,$C$67:$C$105,$AA73)</f>
        <v>0</v>
      </c>
      <c r="AE73" s="5">
        <f>求节点(W$6:W$44,$C$67:$C$105,$AA73)</f>
        <v>0</v>
      </c>
      <c r="AF73" s="5">
        <f>求节点(X$6:X$44,$C$67:$C$105,$AA73)</f>
        <v>0</v>
      </c>
      <c r="AG73" s="5">
        <f>求节点(T$6:T$44,$D$67:$D$105,$AA73)+求节点(T$67:T$105,$Q$67:$Q$105,$AA73)</f>
        <v>9580200</v>
      </c>
      <c r="AH73" s="5">
        <f>求节点(U$6:U$44,$D$67:$D$105,$AA73)+求节点(U$67:U$105,$Q$67:$Q$105,$AA73)</f>
        <v>11418545.392842881</v>
      </c>
      <c r="AI73" s="5">
        <f>求节点(V$6:V$44,$D$67:$D$105,$AA73)+求节点(V$67:V$105,$Q$67:$Q$105,$AA73)</f>
        <v>13315400.434403403</v>
      </c>
      <c r="AJ73" s="5">
        <f>求节点(W$6:W$44,$D$67:$D$105,$AA73)+求节点(W$67:W$105,$Q$67:$Q$105,$AA73)</f>
        <v>16601549.777724704</v>
      </c>
      <c r="AK73" s="5">
        <f>求节点(X$6:X$44,$D$67:$D$105,$AA73)+求节点(X$67:X$105,$Q$67:$Q$105,$AA73)</f>
        <v>18137922.45624613</v>
      </c>
      <c r="AL73" s="5">
        <f>求节点(T$6:T$44,$F$67:$F$105,$AA73)+求节点(T$67:T$105,$P$67:$P$105,$AA73)</f>
        <v>838800</v>
      </c>
      <c r="AM73" s="5">
        <f>求节点(U$6:U$44,$F$67:$F$105,$AA73)+求节点(U$67:U$105,$P$67:$P$105,$AA73)</f>
        <v>883882.03960650123</v>
      </c>
      <c r="AN73" s="5">
        <f>求节点(V$6:V$44,$F$67:$F$105,$AA73)+求节点(V$67:V$105,$P$67:$P$105,$AA73)</f>
        <v>924569.01801016054</v>
      </c>
      <c r="AO73" s="5">
        <f>求节点(W$6:W$44,$F$67:$F$105,$AA73)+求节点(W$67:W$105,$P$67:$P$105,$AA73)</f>
        <v>985707.58963449136</v>
      </c>
      <c r="AP73" s="5">
        <f>求节点(X$6:X$44,$F$67:$F$105,$AA73)+求节点(X$67:X$105,$P$67:$P$105,$AA73)</f>
        <v>1011381.768690336</v>
      </c>
      <c r="AQ73" s="5">
        <f>求节点(T$6:T$44,$H$67:$H$105,$AA73)</f>
        <v>531600</v>
      </c>
      <c r="AR73" s="5">
        <f>求节点(U$6:U$44,$H$67:$H$105,$AA73)</f>
        <v>554141.01980325056</v>
      </c>
      <c r="AS73" s="5">
        <f>求节点(V$6:V$44,$H$67:$H$105,$AA73)</f>
        <v>574139.19359192636</v>
      </c>
      <c r="AT73" s="5">
        <f>求节点(W$6:W$44,$H$67:$H$105,$AA73)</f>
        <v>603651.50567608629</v>
      </c>
      <c r="AU73" s="5">
        <f>求节点(X$6:X$44,$H$67:$H$105,$AA73)</f>
        <v>615838.96485634148</v>
      </c>
      <c r="AV73" s="5">
        <f>求节点(T$6:T$44,$I$67:$I$105,$AA73)</f>
        <v>7084000</v>
      </c>
      <c r="AW73" s="5">
        <f>求节点(U$6:U$44,$I$67:$I$105,$AA73)</f>
        <v>7868761.430187243</v>
      </c>
      <c r="AX73" s="5">
        <f>求节点(V$6:V$44,$I$67:$I$105,$AA73)</f>
        <v>8589166.2261952478</v>
      </c>
      <c r="AY73" s="5">
        <f>求节点(W$6:W$44,$I$67:$I$105,$AA73)</f>
        <v>9690620.0671226811</v>
      </c>
      <c r="AZ73" s="5">
        <f>求节点(X$6:X$44,$I$67:$I$105,$AA73)</f>
        <v>10157879.130994815</v>
      </c>
      <c r="BA73" s="5">
        <f>求节点(T$6:T$44,$E$67:$E$105,$AA73)+求节点(T$6:T$44,$K$67:$K$105,$AA73)+求节点(T$67:T$105,$O$67:$O$105,$AA73)</f>
        <v>4784</v>
      </c>
      <c r="BB73" s="5">
        <f>求节点(U$6:U$44,$E$67:$E$105,$AA73)+求节点(U$6:U$44,$K$67:$K$105,$AA73)+求节点(U$67:U$105,$O$67:$O$105,$AA73)</f>
        <v>4957.64933774356</v>
      </c>
      <c r="BC73" s="5">
        <f>求节点(V$6:V$44,$E$67:$E$105,$AA73)+求节点(V$6:V$44,$K$67:$K$105,$AA73)+求节点(V$67:V$105,$O$67:$O$105,$AA73)</f>
        <v>5111.709343226692</v>
      </c>
      <c r="BD73" s="5">
        <f>求节点(W$6:W$44,$E$67:$E$105,$AA73)+求节点(W$6:W$44,$K$67:$K$105,$AA73)+求节点(W$67:W$105,$O$67:$O$105,$AA73)</f>
        <v>5339.0634511342942</v>
      </c>
      <c r="BE73" s="5">
        <f>求节点(X$6:X$44,$E$67:$E$105,$AA73)+求节点(X$6:X$44,$K$67:$K$105,$AA73)+求节点(X$67:X$105,$O$67:$O$105,$AA73)</f>
        <v>5432.9520255599637</v>
      </c>
      <c r="BF73" s="5">
        <f>求节点(T$6:T$44,$G$67:$G$105,$AA73)</f>
        <v>0</v>
      </c>
      <c r="BG73" s="5">
        <f>求节点(U$6:U$44,$G$67:$G$105,$AA73)</f>
        <v>0</v>
      </c>
      <c r="BH73" s="5">
        <f>求节点(V$6:V$44,$G$67:$G$105,$AA73)</f>
        <v>0</v>
      </c>
      <c r="BI73" s="5">
        <f>求节点(W$6:W$44,$G$67:$G$105,$AA73)</f>
        <v>0</v>
      </c>
      <c r="BJ73" s="5">
        <f>求节点(X$6:X$44,$G$67:$G$105,$AA73)</f>
        <v>0</v>
      </c>
      <c r="BK73" s="5">
        <f>求节点(T$6:T$44,$M$67:$M$105,$AA73)</f>
        <v>46</v>
      </c>
      <c r="BL73" s="5">
        <f>求节点(U$6:U$44,$M$67:$M$105,$AA73)</f>
        <v>47.669705170611152</v>
      </c>
      <c r="BM73" s="5">
        <f>求节点(V$6:V$44,$M$67:$M$105,$AA73)</f>
        <v>49.151051377179733</v>
      </c>
      <c r="BN73" s="5">
        <f>求节点(W$6:W$44,$M$67:$M$105,$AA73)</f>
        <v>51.337148568598984</v>
      </c>
      <c r="BO73" s="5">
        <f>求节点(X$6:X$44,$M$67:$M$105,$AA73)</f>
        <v>52.239923322691958</v>
      </c>
      <c r="BP73" s="5">
        <f>求节点(T$67:T$105,$L$67:$L$105,$AA73)</f>
        <v>0</v>
      </c>
      <c r="BQ73" s="5">
        <f>求节点(U$67:U$105,$L$67:$L$105,$AA73)</f>
        <v>0</v>
      </c>
      <c r="BR73" s="5">
        <f>求节点(V$67:V$105,$L$67:$L$105,$AA73)</f>
        <v>0</v>
      </c>
      <c r="BS73" s="5">
        <f>求节点(W$67:W$105,$L$67:$L$105,$AA73)</f>
        <v>0</v>
      </c>
      <c r="BT73" s="5">
        <f>求节点(X$67:X$105,$L$67:$L$105,$AA73)</f>
        <v>0</v>
      </c>
      <c r="BZ73" s="5">
        <v>69</v>
      </c>
      <c r="CA73" s="5">
        <f t="shared" si="44"/>
        <v>4784</v>
      </c>
      <c r="CB73" s="5">
        <f t="shared" si="45"/>
        <v>4957.64933774356</v>
      </c>
      <c r="CC73" s="5">
        <f t="shared" si="46"/>
        <v>5111.709343226692</v>
      </c>
      <c r="CD73" s="5">
        <f t="shared" si="47"/>
        <v>5339.0634511342942</v>
      </c>
      <c r="CE73" s="5">
        <f t="shared" si="48"/>
        <v>5432.9520255599637</v>
      </c>
      <c r="CF73" s="5">
        <f>(CA73-CA72)/节奏总纲!W72</f>
        <v>8.6691039692016432</v>
      </c>
      <c r="CI73" s="5">
        <v>69</v>
      </c>
      <c r="CJ73" s="5">
        <f t="shared" si="49"/>
        <v>11040</v>
      </c>
      <c r="CK73" s="5">
        <f t="shared" si="50"/>
        <v>11440.729240946677</v>
      </c>
      <c r="CL73" s="5">
        <f t="shared" si="51"/>
        <v>11796.252330523135</v>
      </c>
      <c r="CM73" s="5">
        <f t="shared" si="52"/>
        <v>12320.915656463756</v>
      </c>
      <c r="CN73" s="5">
        <f t="shared" si="53"/>
        <v>12537.581597446069</v>
      </c>
      <c r="CO73" s="5">
        <f>(CJ73-CJ72)/节奏总纲!W72</f>
        <v>20.005624544311573</v>
      </c>
      <c r="CP73" s="5">
        <f t="shared" si="38"/>
        <v>28.674728513513216</v>
      </c>
      <c r="CR73" s="5">
        <v>69</v>
      </c>
      <c r="CS73" s="5">
        <f t="shared" si="39"/>
        <v>0</v>
      </c>
      <c r="CT73" s="5">
        <f t="shared" si="40"/>
        <v>0</v>
      </c>
      <c r="CU73" s="5">
        <f t="shared" si="41"/>
        <v>0</v>
      </c>
      <c r="CV73" s="5">
        <f t="shared" si="42"/>
        <v>0</v>
      </c>
      <c r="CW73" s="5">
        <f t="shared" si="43"/>
        <v>0</v>
      </c>
      <c r="CX73" s="5">
        <f t="shared" si="54"/>
        <v>0</v>
      </c>
      <c r="CY73" s="5">
        <f t="shared" si="55"/>
        <v>0</v>
      </c>
      <c r="CZ73" s="5">
        <f t="shared" si="56"/>
        <v>0</v>
      </c>
      <c r="DA73" s="5">
        <f t="shared" si="57"/>
        <v>0</v>
      </c>
      <c r="DB73" s="5">
        <f t="shared" si="58"/>
        <v>0</v>
      </c>
    </row>
    <row r="74" spans="2:106" x14ac:dyDescent="0.15">
      <c r="B74" s="5">
        <v>8</v>
      </c>
      <c r="C74" s="5">
        <f>SUM(C$6:C13)</f>
        <v>0</v>
      </c>
      <c r="D74" s="5">
        <f>SUM(D$6:D13)</f>
        <v>132600</v>
      </c>
      <c r="E74" s="5">
        <f>SUM(E$6:E13)</f>
        <v>960</v>
      </c>
      <c r="F74" s="5">
        <f>SUM(F$6:F13)</f>
        <v>205200</v>
      </c>
      <c r="G74" s="5">
        <f>SUM(G$6:G13)</f>
        <v>0</v>
      </c>
      <c r="H74" s="5">
        <f>SUM(H$6:H13)</f>
        <v>126600</v>
      </c>
      <c r="I74" s="5">
        <f>SUM(I$6:I13)</f>
        <v>372000</v>
      </c>
      <c r="J74" s="5">
        <f>SUM(J$6:J13)</f>
        <v>342000</v>
      </c>
      <c r="K74" s="5">
        <f>SUM(K$6:K13)</f>
        <v>704</v>
      </c>
      <c r="L74" s="5">
        <f>SUM(L$6:L13)</f>
        <v>0</v>
      </c>
      <c r="M74" s="5">
        <f>SUM(M$6:M13)</f>
        <v>16</v>
      </c>
      <c r="N74" s="5">
        <f>SUM(N$6:N13)</f>
        <v>0</v>
      </c>
      <c r="O74" s="5">
        <f>SUM(O$6:O13)</f>
        <v>0</v>
      </c>
      <c r="P74" s="5">
        <f>SUM(P$6:P13)</f>
        <v>0</v>
      </c>
      <c r="Q74" s="5">
        <f>SUM(Q$6:Q13)</f>
        <v>0</v>
      </c>
      <c r="S74" s="5">
        <v>8</v>
      </c>
      <c r="T74" s="5">
        <f>T13+1</f>
        <v>25</v>
      </c>
      <c r="U74" s="5">
        <f>U13+1</f>
        <v>24.499492305137622</v>
      </c>
      <c r="V74" s="5">
        <f>V13+1</f>
        <v>23.635807008293629</v>
      </c>
      <c r="W74" s="5">
        <f>W13+1</f>
        <v>22.435175114766551</v>
      </c>
      <c r="X74" s="5">
        <f>X13+1</f>
        <v>21.565455026392783</v>
      </c>
      <c r="AA74" s="5">
        <v>70</v>
      </c>
      <c r="AB74" s="5">
        <f>求节点(T$6:T$44,$C$67:$C$105,$AA74)</f>
        <v>0</v>
      </c>
      <c r="AC74" s="5">
        <f>求节点(U$6:U$44,$C$67:$C$105,$AA74)</f>
        <v>0</v>
      </c>
      <c r="AD74" s="5">
        <f>求节点(V$6:V$44,$C$67:$C$105,$AA74)</f>
        <v>0</v>
      </c>
      <c r="AE74" s="5">
        <f>求节点(W$6:W$44,$C$67:$C$105,$AA74)</f>
        <v>0</v>
      </c>
      <c r="AF74" s="5">
        <f>求节点(X$6:X$44,$C$67:$C$105,$AA74)</f>
        <v>0</v>
      </c>
      <c r="AG74" s="5">
        <f>求节点(T$6:T$44,$D$67:$D$105,$AA74)+求节点(T$67:T$105,$Q$67:$Q$105,$AA74)</f>
        <v>10314200</v>
      </c>
      <c r="AH74" s="5">
        <f>求节点(U$6:U$44,$D$67:$D$105,$AA74)+求节点(U$67:U$105,$Q$67:$Q$105,$AA74)</f>
        <v>12261264.636271056</v>
      </c>
      <c r="AI74" s="5">
        <f>求节点(V$6:V$44,$D$67:$D$105,$AA74)+求节点(V$67:V$105,$Q$67:$Q$105,$AA74)</f>
        <v>14301733.05861612</v>
      </c>
      <c r="AJ74" s="5">
        <f>求节点(W$6:W$44,$D$67:$D$105,$AA74)+求节点(W$67:W$105,$Q$67:$Q$105,$AA74)</f>
        <v>17862172.993957527</v>
      </c>
      <c r="AK74" s="5">
        <f>求节点(X$6:X$44,$D$67:$D$105,$AA74)+求节点(X$67:X$105,$Q$67:$Q$105,$AA74)</f>
        <v>19821619.600114919</v>
      </c>
      <c r="AL74" s="5">
        <f>求节点(T$6:T$44,$F$67:$F$105,$AA74)+求节点(T$67:T$105,$P$67:$P$105,$AA74)</f>
        <v>856800</v>
      </c>
      <c r="AM74" s="5">
        <f>求节点(U$6:U$44,$F$67:$F$105,$AA74)+求节点(U$67:U$105,$P$67:$P$105,$AA74)</f>
        <v>902726.56453534623</v>
      </c>
      <c r="AN74" s="5">
        <f>求节点(V$6:V$44,$F$67:$F$105,$AA74)+求节点(V$67:V$105,$P$67:$P$105,$AA74)</f>
        <v>945006.54085420794</v>
      </c>
      <c r="AO74" s="5">
        <f>求节点(W$6:W$44,$F$67:$F$105,$AA74)+求节点(W$67:W$105,$P$67:$P$105,$AA74)</f>
        <v>1007267.3712373297</v>
      </c>
      <c r="AP74" s="5">
        <f>求节点(X$6:X$44,$F$67:$F$105,$AA74)+求节点(X$67:X$105,$P$67:$P$105,$AA74)</f>
        <v>1036503.8457485229</v>
      </c>
      <c r="AQ74" s="5">
        <f>求节点(T$6:T$44,$H$67:$H$105,$AA74)</f>
        <v>540600</v>
      </c>
      <c r="AR74" s="5">
        <f>求节点(U$6:U$44,$H$67:$H$105,$AA74)</f>
        <v>563455.38482707145</v>
      </c>
      <c r="AS74" s="5">
        <f>求节点(V$6:V$44,$H$67:$H$105,$AA74)</f>
        <v>584135.80802651471</v>
      </c>
      <c r="AT74" s="5">
        <f>求节点(W$6:W$44,$H$67:$H$105,$AA74)</f>
        <v>613930.22376989527</v>
      </c>
      <c r="AU74" s="5">
        <f>求节点(X$6:X$44,$H$67:$H$105,$AA74)</f>
        <v>627493.5366874591</v>
      </c>
      <c r="AV74" s="5">
        <f>求节点(T$6:T$44,$I$67:$I$105,$AA74)</f>
        <v>7397333.333333333</v>
      </c>
      <c r="AW74" s="5">
        <f>求节点(U$6:U$44,$I$67:$I$105,$AA74)</f>
        <v>8200592.1444512671</v>
      </c>
      <c r="AX74" s="5">
        <f>求节点(V$6:V$44,$I$67:$I$105,$AA74)</f>
        <v>8952746.7956310175</v>
      </c>
      <c r="AY74" s="5">
        <f>求节点(W$6:W$44,$I$67:$I$105,$AA74)</f>
        <v>10082519.205137344</v>
      </c>
      <c r="AZ74" s="5">
        <f>求节点(X$6:X$44,$I$67:$I$105,$AA74)</f>
        <v>10618018.89291968</v>
      </c>
      <c r="BA74" s="5">
        <f>求节点(T$6:T$44,$E$67:$E$105,$AA74)+求节点(T$6:T$44,$K$67:$K$105,$AA74)+求节点(T$67:T$105,$O$67:$O$105,$AA74)</f>
        <v>4853.3333333333339</v>
      </c>
      <c r="BB74" s="5">
        <f>求节点(U$6:U$44,$E$67:$E$105,$AA74)+求节点(U$6:U$44,$K$67:$K$105,$AA74)+求节点(U$67:U$105,$O$67:$O$105,$AA74)</f>
        <v>5029.4044460752175</v>
      </c>
      <c r="BC74" s="5">
        <f>求节点(V$6:V$44,$E$67:$E$105,$AA74)+求节点(V$6:V$44,$K$67:$K$105,$AA74)+求节点(V$67:V$105,$O$67:$O$105,$AA74)</f>
        <v>5188.7202988709287</v>
      </c>
      <c r="BD74" s="5">
        <f>求节点(W$6:W$44,$E$67:$E$105,$AA74)+求节点(W$6:W$44,$K$67:$K$105,$AA74)+求节点(W$67:W$105,$O$67:$O$105,$AA74)</f>
        <v>5418.2476497828957</v>
      </c>
      <c r="BE74" s="5">
        <f>求节点(X$6:X$44,$E$67:$E$105,$AA74)+求节点(X$6:X$44,$K$67:$K$105,$AA74)+求节点(X$67:X$105,$O$67:$O$105,$AA74)</f>
        <v>5522.7353937404259</v>
      </c>
      <c r="BF74" s="5">
        <f>求节点(T$6:T$44,$G$67:$G$105,$AA74)</f>
        <v>0</v>
      </c>
      <c r="BG74" s="5">
        <f>求节点(U$6:U$44,$G$67:$G$105,$AA74)</f>
        <v>0</v>
      </c>
      <c r="BH74" s="5">
        <f>求节点(V$6:V$44,$G$67:$G$105,$AA74)</f>
        <v>0</v>
      </c>
      <c r="BI74" s="5">
        <f>求节点(W$6:W$44,$G$67:$G$105,$AA74)</f>
        <v>0</v>
      </c>
      <c r="BJ74" s="5">
        <f>求节点(X$6:X$44,$G$67:$G$105,$AA74)</f>
        <v>0</v>
      </c>
      <c r="BK74" s="5">
        <f>求节点(T$6:T$44,$M$67:$M$105,$AA74)</f>
        <v>46.666666666666664</v>
      </c>
      <c r="BL74" s="5">
        <f>求节点(U$6:U$44,$M$67:$M$105,$AA74)</f>
        <v>48.359658135338627</v>
      </c>
      <c r="BM74" s="5">
        <f>求节点(V$6:V$44,$M$67:$M$105,$AA74)</f>
        <v>49.89154133529739</v>
      </c>
      <c r="BN74" s="5">
        <f>求节点(W$6:W$44,$M$67:$M$105,$AA74)</f>
        <v>52.098535094066314</v>
      </c>
      <c r="BO74" s="5">
        <f>求节点(X$6:X$44,$M$67:$M$105,$AA74)</f>
        <v>53.103224939811781</v>
      </c>
      <c r="BP74" s="5">
        <f>求节点(T$67:T$105,$L$67:$L$105,$AA74)</f>
        <v>0</v>
      </c>
      <c r="BQ74" s="5">
        <f>求节点(U$67:U$105,$L$67:$L$105,$AA74)</f>
        <v>0</v>
      </c>
      <c r="BR74" s="5">
        <f>求节点(V$67:V$105,$L$67:$L$105,$AA74)</f>
        <v>0</v>
      </c>
      <c r="BS74" s="5">
        <f>求节点(W$67:W$105,$L$67:$L$105,$AA74)</f>
        <v>0</v>
      </c>
      <c r="BT74" s="5">
        <f>求节点(X$67:X$105,$L$67:$L$105,$AA74)</f>
        <v>0</v>
      </c>
      <c r="BZ74" s="5">
        <v>70</v>
      </c>
      <c r="CA74" s="5">
        <f t="shared" si="44"/>
        <v>4853.3333333333339</v>
      </c>
      <c r="CB74" s="5">
        <f t="shared" si="45"/>
        <v>5029.4044460752175</v>
      </c>
      <c r="CC74" s="5">
        <f t="shared" si="46"/>
        <v>5188.7202988709287</v>
      </c>
      <c r="CD74" s="5">
        <f t="shared" si="47"/>
        <v>5418.2476497828957</v>
      </c>
      <c r="CE74" s="5">
        <f t="shared" si="48"/>
        <v>5522.7353937404259</v>
      </c>
      <c r="CF74" s="5">
        <f>(CA74-CA73)/节奏总纲!W73</f>
        <v>8.0885600103278996</v>
      </c>
      <c r="CI74" s="5">
        <v>70</v>
      </c>
      <c r="CJ74" s="5">
        <f t="shared" si="49"/>
        <v>11200</v>
      </c>
      <c r="CK74" s="5">
        <f t="shared" si="50"/>
        <v>11606.317952481271</v>
      </c>
      <c r="CL74" s="5">
        <f t="shared" si="51"/>
        <v>11973.969920471374</v>
      </c>
      <c r="CM74" s="5">
        <f t="shared" si="52"/>
        <v>12503.648422575916</v>
      </c>
      <c r="CN74" s="5">
        <f t="shared" si="53"/>
        <v>12744.773985554828</v>
      </c>
      <c r="CO74" s="5">
        <f>(CJ74-CJ73)/节奏总纲!W73</f>
        <v>18.665907716141145</v>
      </c>
      <c r="CP74" s="5">
        <f t="shared" si="38"/>
        <v>26.754467726469045</v>
      </c>
      <c r="CR74" s="5">
        <v>70</v>
      </c>
      <c r="CS74" s="5">
        <f t="shared" si="39"/>
        <v>0</v>
      </c>
      <c r="CT74" s="5">
        <f t="shared" si="40"/>
        <v>0</v>
      </c>
      <c r="CU74" s="5">
        <f t="shared" si="41"/>
        <v>0</v>
      </c>
      <c r="CV74" s="5">
        <f t="shared" si="42"/>
        <v>0</v>
      </c>
      <c r="CW74" s="5">
        <f t="shared" si="43"/>
        <v>0</v>
      </c>
      <c r="CX74" s="5">
        <f t="shared" si="54"/>
        <v>0</v>
      </c>
      <c r="CY74" s="5">
        <f t="shared" si="55"/>
        <v>0</v>
      </c>
      <c r="CZ74" s="5">
        <f t="shared" si="56"/>
        <v>0</v>
      </c>
      <c r="DA74" s="5">
        <f t="shared" si="57"/>
        <v>0</v>
      </c>
      <c r="DB74" s="5">
        <f t="shared" si="58"/>
        <v>0</v>
      </c>
    </row>
    <row r="75" spans="2:106" x14ac:dyDescent="0.15">
      <c r="B75" s="5">
        <v>9</v>
      </c>
      <c r="C75" s="5">
        <f>SUM(C$6:C14)</f>
        <v>0</v>
      </c>
      <c r="D75" s="5">
        <f>SUM(D$6:D14)</f>
        <v>192600</v>
      </c>
      <c r="E75" s="5">
        <f>SUM(E$6:E14)</f>
        <v>1080</v>
      </c>
      <c r="F75" s="5">
        <f>SUM(F$6:F14)</f>
        <v>237600</v>
      </c>
      <c r="G75" s="5">
        <f>SUM(G$6:G14)</f>
        <v>0</v>
      </c>
      <c r="H75" s="5">
        <f>SUM(H$6:H14)</f>
        <v>153600</v>
      </c>
      <c r="I75" s="5">
        <f>SUM(I$6:I14)</f>
        <v>492000</v>
      </c>
      <c r="J75" s="5">
        <f>SUM(J$6:J14)</f>
        <v>396000</v>
      </c>
      <c r="K75" s="5">
        <f>SUM(K$6:K14)</f>
        <v>792</v>
      </c>
      <c r="L75" s="5">
        <f>SUM(L$6:L14)</f>
        <v>0</v>
      </c>
      <c r="M75" s="5">
        <f>SUM(M$6:M14)</f>
        <v>18</v>
      </c>
      <c r="N75" s="5">
        <f>SUM(N$6:N14)</f>
        <v>0</v>
      </c>
      <c r="O75" s="5">
        <f>SUM(O$6:O14)</f>
        <v>0</v>
      </c>
      <c r="P75" s="5">
        <f>SUM(P$6:P14)</f>
        <v>0</v>
      </c>
      <c r="Q75" s="5">
        <f>SUM(Q$6:Q14)</f>
        <v>0</v>
      </c>
      <c r="S75" s="5">
        <v>9</v>
      </c>
      <c r="T75" s="5">
        <f>T14+1</f>
        <v>28</v>
      </c>
      <c r="U75" s="5">
        <f>U14+1</f>
        <v>27.369463930509045</v>
      </c>
      <c r="V75" s="5">
        <f>V14+1</f>
        <v>26.377401363147825</v>
      </c>
      <c r="W75" s="5">
        <f>W14+1</f>
        <v>25.030019613443624</v>
      </c>
      <c r="X75" s="5">
        <f>X14+1</f>
        <v>23.963099790930922</v>
      </c>
      <c r="AA75" s="5">
        <v>71</v>
      </c>
      <c r="AB75" s="5">
        <f>求节点(T$6:T$44,$C$67:$C$105,$AA75)</f>
        <v>0</v>
      </c>
      <c r="AC75" s="5">
        <f>求节点(U$6:U$44,$C$67:$C$105,$AA75)</f>
        <v>0</v>
      </c>
      <c r="AD75" s="5">
        <f>求节点(V$6:V$44,$C$67:$C$105,$AA75)</f>
        <v>0</v>
      </c>
      <c r="AE75" s="5">
        <f>求节点(W$6:W$44,$C$67:$C$105,$AA75)</f>
        <v>0</v>
      </c>
      <c r="AF75" s="5">
        <f>求节点(X$6:X$44,$C$67:$C$105,$AA75)</f>
        <v>0</v>
      </c>
      <c r="AG75" s="5">
        <f>求节点(T$6:T$44,$D$67:$D$105,$AA75)+求节点(T$67:T$105,$Q$67:$Q$105,$AA75)</f>
        <v>11048200</v>
      </c>
      <c r="AH75" s="5">
        <f>求节点(U$6:U$44,$D$67:$D$105,$AA75)+求节点(U$67:U$105,$Q$67:$Q$105,$AA75)</f>
        <v>13117669.508982433</v>
      </c>
      <c r="AI75" s="5">
        <f>求节点(V$6:V$44,$D$67:$D$105,$AA75)+求节点(V$67:V$105,$Q$67:$Q$105,$AA75)</f>
        <v>15290484.18834869</v>
      </c>
      <c r="AJ75" s="5">
        <f>求节点(W$6:W$44,$D$67:$D$105,$AA75)+求节点(W$67:W$105,$Q$67:$Q$105,$AA75)</f>
        <v>19435623.205122072</v>
      </c>
      <c r="AK75" s="5">
        <f>求节点(X$6:X$44,$D$67:$D$105,$AA75)+求节点(X$67:X$105,$Q$67:$Q$105,$AA75)</f>
        <v>21505316.743983708</v>
      </c>
      <c r="AL75" s="5">
        <f>求节点(T$6:T$44,$F$67:$F$105,$AA75)+求节点(T$67:T$105,$P$67:$P$105,$AA75)</f>
        <v>874800</v>
      </c>
      <c r="AM75" s="5">
        <f>求节点(U$6:U$44,$F$67:$F$105,$AA75)+求节点(U$67:U$105,$P$67:$P$105,$AA75)</f>
        <v>920471.89072666306</v>
      </c>
      <c r="AN75" s="5">
        <f>求节点(V$6:V$44,$F$67:$F$105,$AA75)+求节点(V$67:V$105,$P$67:$P$105,$AA75)</f>
        <v>962770.65209469141</v>
      </c>
      <c r="AO75" s="5">
        <f>求节点(W$6:W$44,$F$67:$F$105,$AA75)+求节点(W$67:W$105,$P$67:$P$105,$AA75)</f>
        <v>1030744.4779106047</v>
      </c>
      <c r="AP75" s="5">
        <f>求节点(X$6:X$44,$F$67:$F$105,$AA75)+求节点(X$67:X$105,$P$67:$P$105,$AA75)</f>
        <v>1061625.9228067098</v>
      </c>
      <c r="AQ75" s="5">
        <f>求节点(T$6:T$44,$H$67:$H$105,$AA75)</f>
        <v>549600</v>
      </c>
      <c r="AR75" s="5">
        <f>求节点(U$6:U$44,$H$67:$H$105,$AA75)</f>
        <v>572135.16394238954</v>
      </c>
      <c r="AS75" s="5">
        <f>求节点(V$6:V$44,$H$67:$H$105,$AA75)</f>
        <v>592671.05685384164</v>
      </c>
      <c r="AT75" s="5">
        <f>求节点(W$6:W$44,$H$67:$H$105,$AA75)</f>
        <v>624821.66501007439</v>
      </c>
      <c r="AU75" s="5">
        <f>求节点(X$6:X$44,$H$67:$H$105,$AA75)</f>
        <v>639148.10851857672</v>
      </c>
      <c r="AV75" s="5">
        <f>求节点(T$6:T$44,$I$67:$I$105,$AA75)</f>
        <v>7710666.666666667</v>
      </c>
      <c r="AW75" s="5">
        <f>求节点(U$6:U$44,$I$67:$I$105,$AA75)</f>
        <v>8516278.9256083891</v>
      </c>
      <c r="AX75" s="5">
        <f>求节点(V$6:V$44,$I$67:$I$105,$AA75)</f>
        <v>9274176.3784568086</v>
      </c>
      <c r="AY75" s="5">
        <f>求节点(W$6:W$44,$I$67:$I$105,$AA75)</f>
        <v>10512529.440768119</v>
      </c>
      <c r="AZ75" s="5">
        <f>求节点(X$6:X$44,$I$67:$I$105,$AA75)</f>
        <v>11078158.654844545</v>
      </c>
      <c r="BA75" s="5">
        <f>求节点(T$6:T$44,$E$67:$E$105,$AA75)+求节点(T$6:T$44,$K$67:$K$105,$AA75)+求节点(T$67:T$105,$O$67:$O$105,$AA75)</f>
        <v>4922.6666666666661</v>
      </c>
      <c r="BB75" s="5">
        <f>求节点(U$6:U$44,$E$67:$E$105,$AA75)+求节点(U$6:U$44,$K$67:$K$105,$AA75)+求节点(U$67:U$105,$O$67:$O$105,$AA75)</f>
        <v>5096.2708925932229</v>
      </c>
      <c r="BC75" s="5">
        <f>求节点(V$6:V$44,$E$67:$E$105,$AA75)+求节点(V$6:V$44,$K$67:$K$105,$AA75)+求节点(V$67:V$105,$O$67:$O$105,$AA75)</f>
        <v>5254.4733268740392</v>
      </c>
      <c r="BD75" s="5">
        <f>求节点(W$6:W$44,$E$67:$E$105,$AA75)+求节点(W$6:W$44,$K$67:$K$105,$AA75)+求节点(W$67:W$105,$O$67:$O$105,$AA75)</f>
        <v>5502.1520860035362</v>
      </c>
      <c r="BE75" s="5">
        <f>求节点(X$6:X$44,$E$67:$E$105,$AA75)+求节点(X$6:X$44,$K$67:$K$105,$AA75)+求节点(X$67:X$105,$O$67:$O$105,$AA75)</f>
        <v>5612.5187619208864</v>
      </c>
      <c r="BF75" s="5">
        <f>求节点(T$6:T$44,$G$67:$G$105,$AA75)</f>
        <v>0</v>
      </c>
      <c r="BG75" s="5">
        <f>求节点(U$6:U$44,$G$67:$G$105,$AA75)</f>
        <v>0</v>
      </c>
      <c r="BH75" s="5">
        <f>求节点(V$6:V$44,$G$67:$G$105,$AA75)</f>
        <v>0</v>
      </c>
      <c r="BI75" s="5">
        <f>求节点(W$6:W$44,$G$67:$G$105,$AA75)</f>
        <v>0</v>
      </c>
      <c r="BJ75" s="5">
        <f>求节点(X$6:X$44,$G$67:$G$105,$AA75)</f>
        <v>0</v>
      </c>
      <c r="BK75" s="5">
        <f>求节点(T$6:T$44,$M$67:$M$105,$AA75)</f>
        <v>47.333333333333336</v>
      </c>
      <c r="BL75" s="5">
        <f>求节点(U$6:U$44,$M$67:$M$105,$AA75)</f>
        <v>49.002604736473302</v>
      </c>
      <c r="BM75" s="5">
        <f>求节点(V$6:V$44,$M$67:$M$105,$AA75)</f>
        <v>50.523781989173457</v>
      </c>
      <c r="BN75" s="5">
        <f>求节点(W$6:W$44,$M$67:$M$105,$AA75)</f>
        <v>52.905308519264764</v>
      </c>
      <c r="BO75" s="5">
        <f>求节点(X$6:X$44,$M$67:$M$105,$AA75)</f>
        <v>53.966526556931605</v>
      </c>
      <c r="BP75" s="5">
        <f>求节点(T$67:T$105,$L$67:$L$105,$AA75)</f>
        <v>0</v>
      </c>
      <c r="BQ75" s="5">
        <f>求节点(U$67:U$105,$L$67:$L$105,$AA75)</f>
        <v>0</v>
      </c>
      <c r="BR75" s="5">
        <f>求节点(V$67:V$105,$L$67:$L$105,$AA75)</f>
        <v>0</v>
      </c>
      <c r="BS75" s="5">
        <f>求节点(W$67:W$105,$L$67:$L$105,$AA75)</f>
        <v>0</v>
      </c>
      <c r="BT75" s="5">
        <f>求节点(X$67:X$105,$L$67:$L$105,$AA75)</f>
        <v>0</v>
      </c>
      <c r="BZ75" s="5">
        <v>71</v>
      </c>
      <c r="CA75" s="5">
        <f t="shared" si="44"/>
        <v>4922.6666666666661</v>
      </c>
      <c r="CB75" s="5">
        <f t="shared" si="45"/>
        <v>5096.2708925932229</v>
      </c>
      <c r="CC75" s="5">
        <f t="shared" si="46"/>
        <v>5254.4733268740392</v>
      </c>
      <c r="CD75" s="5">
        <f t="shared" si="47"/>
        <v>5502.1520860035362</v>
      </c>
      <c r="CE75" s="5">
        <f t="shared" si="48"/>
        <v>5612.5187619208864</v>
      </c>
      <c r="CF75" s="5">
        <f>(CA75-CA74)/节奏总纲!W74</f>
        <v>7.5468933436610843</v>
      </c>
      <c r="CI75" s="5">
        <v>71</v>
      </c>
      <c r="CJ75" s="5">
        <f t="shared" si="49"/>
        <v>11360</v>
      </c>
      <c r="CK75" s="5">
        <f t="shared" si="50"/>
        <v>11760.625136753592</v>
      </c>
      <c r="CL75" s="5">
        <f t="shared" si="51"/>
        <v>12125.70767740163</v>
      </c>
      <c r="CM75" s="5">
        <f t="shared" si="52"/>
        <v>12697.274044623544</v>
      </c>
      <c r="CN75" s="5">
        <f t="shared" si="53"/>
        <v>12951.966373663585</v>
      </c>
      <c r="CO75" s="5">
        <f>(CJ75-CJ74)/节奏总纲!W74</f>
        <v>17.41590771614127</v>
      </c>
      <c r="CP75" s="5">
        <f t="shared" si="38"/>
        <v>24.962801059802352</v>
      </c>
      <c r="CR75" s="5">
        <v>71</v>
      </c>
      <c r="CS75" s="5">
        <f t="shared" si="39"/>
        <v>0</v>
      </c>
      <c r="CT75" s="5">
        <f t="shared" si="40"/>
        <v>0</v>
      </c>
      <c r="CU75" s="5">
        <f t="shared" si="41"/>
        <v>0</v>
      </c>
      <c r="CV75" s="5">
        <f t="shared" si="42"/>
        <v>0</v>
      </c>
      <c r="CW75" s="5">
        <f t="shared" si="43"/>
        <v>0</v>
      </c>
      <c r="CX75" s="5">
        <f t="shared" si="54"/>
        <v>0</v>
      </c>
      <c r="CY75" s="5">
        <f t="shared" si="55"/>
        <v>0</v>
      </c>
      <c r="CZ75" s="5">
        <f t="shared" si="56"/>
        <v>0</v>
      </c>
      <c r="DA75" s="5">
        <f t="shared" si="57"/>
        <v>0</v>
      </c>
      <c r="DB75" s="5">
        <f t="shared" si="58"/>
        <v>0</v>
      </c>
    </row>
    <row r="76" spans="2:106" x14ac:dyDescent="0.15">
      <c r="B76" s="5">
        <v>10</v>
      </c>
      <c r="C76" s="5">
        <f>SUM(C$6:C15)</f>
        <v>0</v>
      </c>
      <c r="D76" s="5">
        <f>SUM(D$6:D15)</f>
        <v>276600</v>
      </c>
      <c r="E76" s="5">
        <f>SUM(E$6:E15)</f>
        <v>1200</v>
      </c>
      <c r="F76" s="5">
        <f>SUM(F$6:F15)</f>
        <v>271200</v>
      </c>
      <c r="G76" s="5">
        <f>SUM(G$6:G15)</f>
        <v>0</v>
      </c>
      <c r="H76" s="5">
        <f>SUM(H$6:H15)</f>
        <v>180600</v>
      </c>
      <c r="I76" s="5">
        <f>SUM(I$6:I15)</f>
        <v>634000</v>
      </c>
      <c r="J76" s="5">
        <f>SUM(J$6:J15)</f>
        <v>452000</v>
      </c>
      <c r="K76" s="5">
        <f>SUM(K$6:K15)</f>
        <v>880</v>
      </c>
      <c r="L76" s="5">
        <f>SUM(L$6:L15)</f>
        <v>0</v>
      </c>
      <c r="M76" s="5">
        <f>SUM(M$6:M15)</f>
        <v>20</v>
      </c>
      <c r="N76" s="5">
        <f>SUM(N$6:N15)</f>
        <v>0</v>
      </c>
      <c r="O76" s="5">
        <f>SUM(O$6:O15)</f>
        <v>0</v>
      </c>
      <c r="P76" s="5">
        <f>SUM(P$6:P15)</f>
        <v>0</v>
      </c>
      <c r="Q76" s="5">
        <f>SUM(Q$6:Q15)</f>
        <v>0</v>
      </c>
      <c r="S76" s="5">
        <v>10</v>
      </c>
      <c r="T76" s="5">
        <f>T15+1</f>
        <v>31</v>
      </c>
      <c r="U76" s="5">
        <f>U15+1</f>
        <v>30.205922841621756</v>
      </c>
      <c r="V76" s="5">
        <f>V15+1</f>
        <v>29.241885949837318</v>
      </c>
      <c r="W76" s="5">
        <f>W15+1</f>
        <v>27.90085434657415</v>
      </c>
      <c r="X76" s="5">
        <f>X15+1</f>
        <v>26.664626885943445</v>
      </c>
      <c r="AA76" s="5">
        <v>72</v>
      </c>
      <c r="AB76" s="5">
        <f>求节点(T$6:T$44,$C$67:$C$105,$AA76)</f>
        <v>0</v>
      </c>
      <c r="AC76" s="5">
        <f>求节点(U$6:U$44,$C$67:$C$105,$AA76)</f>
        <v>0</v>
      </c>
      <c r="AD76" s="5">
        <f>求节点(V$6:V$44,$C$67:$C$105,$AA76)</f>
        <v>0</v>
      </c>
      <c r="AE76" s="5">
        <f>求节点(W$6:W$44,$C$67:$C$105,$AA76)</f>
        <v>0</v>
      </c>
      <c r="AF76" s="5">
        <f>求节点(X$6:X$44,$C$67:$C$105,$AA76)</f>
        <v>0</v>
      </c>
      <c r="AG76" s="5">
        <f>求节点(T$6:T$44,$D$67:$D$105,$AA76)+求节点(T$67:T$105,$Q$67:$Q$105,$AA76)</f>
        <v>11782200</v>
      </c>
      <c r="AH76" s="5">
        <f>求节点(U$6:U$44,$D$67:$D$105,$AA76)+求节点(U$67:U$105,$Q$67:$Q$105,$AA76)</f>
        <v>13974074.381693812</v>
      </c>
      <c r="AI76" s="5">
        <f>求节点(V$6:V$44,$D$67:$D$105,$AA76)+求节点(V$67:V$105,$Q$67:$Q$105,$AA76)</f>
        <v>16279650.341644164</v>
      </c>
      <c r="AJ76" s="5">
        <f>求节点(W$6:W$44,$D$67:$D$105,$AA76)+求节点(W$67:W$105,$Q$67:$Q$105,$AA76)</f>
        <v>21009073.416286618</v>
      </c>
      <c r="AK76" s="5">
        <f>求节点(X$6:X$44,$D$67:$D$105,$AA76)+求节点(X$67:X$105,$Q$67:$Q$105,$AA76)</f>
        <v>23362891.963772081</v>
      </c>
      <c r="AL76" s="5">
        <f>求节点(T$6:T$44,$F$67:$F$105,$AA76)+求节点(T$67:T$105,$P$67:$P$105,$AA76)</f>
        <v>892800</v>
      </c>
      <c r="AM76" s="5">
        <f>求节点(U$6:U$44,$F$67:$F$105,$AA76)+求节点(U$67:U$105,$P$67:$P$105,$AA76)</f>
        <v>938217.21691797988</v>
      </c>
      <c r="AN76" s="5">
        <f>求节点(V$6:V$44,$F$67:$F$105,$AA76)+求节点(V$67:V$105,$P$67:$P$105,$AA76)</f>
        <v>980075.99704346759</v>
      </c>
      <c r="AO76" s="5">
        <f>求节点(W$6:W$44,$F$67:$F$105,$AA76)+求节点(W$67:W$105,$P$67:$P$105,$AA76)</f>
        <v>1054221.5845838797</v>
      </c>
      <c r="AP76" s="5">
        <f>求节点(X$6:X$44,$F$67:$F$105,$AA76)+求节点(X$67:X$105,$P$67:$P$105,$AA76)</f>
        <v>1087412.8799347554</v>
      </c>
      <c r="AQ76" s="5">
        <f>求节点(T$6:T$44,$H$67:$H$105,$AA76)</f>
        <v>558600</v>
      </c>
      <c r="AR76" s="5">
        <f>求节点(U$6:U$44,$H$67:$H$105,$AA76)</f>
        <v>580814.94305770751</v>
      </c>
      <c r="AS76" s="5">
        <f>求节点(V$6:V$44,$H$67:$H$105,$AA76)</f>
        <v>600955.53049953235</v>
      </c>
      <c r="AT76" s="5">
        <f>求节点(W$6:W$44,$H$67:$H$105,$AA76)</f>
        <v>635713.10625025351</v>
      </c>
      <c r="AU76" s="5">
        <f>求节点(X$6:X$44,$H$67:$H$105,$AA76)</f>
        <v>650878.58178852522</v>
      </c>
      <c r="AV76" s="5">
        <f>求节点(T$6:T$44,$I$67:$I$105,$AA76)</f>
        <v>8024000</v>
      </c>
      <c r="AW76" s="5">
        <f>求节点(U$6:U$44,$I$67:$I$105,$AA76)</f>
        <v>8831965.706765512</v>
      </c>
      <c r="AX76" s="5">
        <f>求节点(V$6:V$44,$I$67:$I$105,$AA76)</f>
        <v>9588372.7122785598</v>
      </c>
      <c r="AY76" s="5">
        <f>求节点(W$6:W$44,$I$67:$I$105,$AA76)</f>
        <v>10942539.676398896</v>
      </c>
      <c r="AZ76" s="5">
        <f>求节点(X$6:X$44,$I$67:$I$105,$AA76)</f>
        <v>11549649.623049568</v>
      </c>
      <c r="BA76" s="5">
        <f>求节点(T$6:T$44,$E$67:$E$105,$AA76)+求节点(T$6:T$44,$K$67:$K$105,$AA76)+求节点(T$67:T$105,$O$67:$O$105,$AA76)</f>
        <v>4992</v>
      </c>
      <c r="BB76" s="5">
        <f>求节点(U$6:U$44,$E$67:$E$105,$AA76)+求节点(U$6:U$44,$K$67:$K$105,$AA76)+求节点(U$67:U$105,$O$67:$O$105,$AA76)</f>
        <v>5163.1373391112284</v>
      </c>
      <c r="BC76" s="5">
        <f>求节点(V$6:V$44,$E$67:$E$105,$AA76)+求节点(V$6:V$44,$K$67:$K$105,$AA76)+求节点(V$67:V$105,$O$67:$O$105,$AA76)</f>
        <v>5318.2944571815824</v>
      </c>
      <c r="BD76" s="5">
        <f>求节点(W$6:W$44,$E$67:$E$105,$AA76)+求节点(W$6:W$44,$K$67:$K$105,$AA76)+求节点(W$67:W$105,$O$67:$O$105,$AA76)</f>
        <v>5586.0565222241748</v>
      </c>
      <c r="BE76" s="5">
        <f>求节点(X$6:X$44,$E$67:$E$105,$AA76)+求节点(X$6:X$44,$K$67:$K$105,$AA76)+求节点(X$67:X$105,$O$67:$O$105,$AA76)</f>
        <v>5702.8868522967859</v>
      </c>
      <c r="BF76" s="5">
        <f>求节点(T$6:T$44,$G$67:$G$105,$AA76)</f>
        <v>0</v>
      </c>
      <c r="BG76" s="5">
        <f>求节点(U$6:U$44,$G$67:$G$105,$AA76)</f>
        <v>0</v>
      </c>
      <c r="BH76" s="5">
        <f>求节点(V$6:V$44,$G$67:$G$105,$AA76)</f>
        <v>0</v>
      </c>
      <c r="BI76" s="5">
        <f>求节点(W$6:W$44,$G$67:$G$105,$AA76)</f>
        <v>0</v>
      </c>
      <c r="BJ76" s="5">
        <f>求节点(X$6:X$44,$G$67:$G$105,$AA76)</f>
        <v>0</v>
      </c>
      <c r="BK76" s="5">
        <f>求节点(T$6:T$44,$M$67:$M$105,$AA76)</f>
        <v>48</v>
      </c>
      <c r="BL76" s="5">
        <f>求节点(U$6:U$44,$M$67:$M$105,$AA76)</f>
        <v>49.645551337607969</v>
      </c>
      <c r="BM76" s="5">
        <f>求节点(V$6:V$44,$M$67:$M$105,$AA76)</f>
        <v>51.137446703669063</v>
      </c>
      <c r="BN76" s="5">
        <f>求节点(W$6:W$44,$M$67:$M$105,$AA76)</f>
        <v>53.712081944463222</v>
      </c>
      <c r="BO76" s="5">
        <f>求节点(X$6:X$44,$M$67:$M$105,$AA76)</f>
        <v>54.835450502853718</v>
      </c>
      <c r="BP76" s="5">
        <f>求节点(T$67:T$105,$L$67:$L$105,$AA76)</f>
        <v>0</v>
      </c>
      <c r="BQ76" s="5">
        <f>求节点(U$67:U$105,$L$67:$L$105,$AA76)</f>
        <v>0</v>
      </c>
      <c r="BR76" s="5">
        <f>求节点(V$67:V$105,$L$67:$L$105,$AA76)</f>
        <v>0</v>
      </c>
      <c r="BS76" s="5">
        <f>求节点(W$67:W$105,$L$67:$L$105,$AA76)</f>
        <v>0</v>
      </c>
      <c r="BT76" s="5">
        <f>求节点(X$67:X$105,$L$67:$L$105,$AA76)</f>
        <v>0</v>
      </c>
      <c r="BZ76" s="5">
        <v>72</v>
      </c>
      <c r="CA76" s="5">
        <f t="shared" si="44"/>
        <v>4992</v>
      </c>
      <c r="CB76" s="5">
        <f t="shared" si="45"/>
        <v>5163.1373391112284</v>
      </c>
      <c r="CC76" s="5">
        <f t="shared" si="46"/>
        <v>5318.2944571815824</v>
      </c>
      <c r="CD76" s="5">
        <f t="shared" si="47"/>
        <v>5586.0565222241748</v>
      </c>
      <c r="CE76" s="5">
        <f t="shared" si="48"/>
        <v>5702.8868522967859</v>
      </c>
      <c r="CF76" s="5">
        <f>(CA76-CA75)/节奏总纲!W75</f>
        <v>7.04150047324549</v>
      </c>
      <c r="CI76" s="5">
        <v>72</v>
      </c>
      <c r="CJ76" s="5">
        <f t="shared" si="49"/>
        <v>11520</v>
      </c>
      <c r="CK76" s="5">
        <f t="shared" si="50"/>
        <v>11914.932321025914</v>
      </c>
      <c r="CL76" s="5">
        <f t="shared" si="51"/>
        <v>12272.987208880575</v>
      </c>
      <c r="CM76" s="5">
        <f t="shared" si="52"/>
        <v>12890.899666671174</v>
      </c>
      <c r="CN76" s="5">
        <f t="shared" si="53"/>
        <v>13160.508120684892</v>
      </c>
      <c r="CO76" s="5">
        <f>(CJ76-CJ75)/节奏总纲!W75</f>
        <v>16.24961647672022</v>
      </c>
      <c r="CP76" s="5">
        <f t="shared" si="38"/>
        <v>23.291116949965712</v>
      </c>
      <c r="CR76" s="5">
        <v>72</v>
      </c>
      <c r="CS76" s="5">
        <f t="shared" si="39"/>
        <v>0</v>
      </c>
      <c r="CT76" s="5">
        <f t="shared" si="40"/>
        <v>0</v>
      </c>
      <c r="CU76" s="5">
        <f t="shared" si="41"/>
        <v>0</v>
      </c>
      <c r="CV76" s="5">
        <f t="shared" si="42"/>
        <v>0</v>
      </c>
      <c r="CW76" s="5">
        <f t="shared" si="43"/>
        <v>0</v>
      </c>
      <c r="CX76" s="5">
        <f t="shared" si="54"/>
        <v>0</v>
      </c>
      <c r="CY76" s="5">
        <f t="shared" si="55"/>
        <v>0</v>
      </c>
      <c r="CZ76" s="5">
        <f t="shared" si="56"/>
        <v>0</v>
      </c>
      <c r="DA76" s="5">
        <f t="shared" si="57"/>
        <v>0</v>
      </c>
      <c r="DB76" s="5">
        <f t="shared" si="58"/>
        <v>0</v>
      </c>
    </row>
    <row r="77" spans="2:106" x14ac:dyDescent="0.15">
      <c r="B77" s="5">
        <v>11</v>
      </c>
      <c r="C77" s="5">
        <f>SUM(C$6:C16)</f>
        <v>0</v>
      </c>
      <c r="D77" s="5">
        <f>SUM(D$6:D16)</f>
        <v>391200</v>
      </c>
      <c r="E77" s="5">
        <f>SUM(E$6:E16)</f>
        <v>1320</v>
      </c>
      <c r="F77" s="5">
        <f>SUM(F$6:F16)</f>
        <v>306000</v>
      </c>
      <c r="G77" s="5">
        <f>SUM(G$6:G16)</f>
        <v>0</v>
      </c>
      <c r="H77" s="5">
        <f>SUM(H$6:H16)</f>
        <v>207600</v>
      </c>
      <c r="I77" s="5">
        <f>SUM(I$6:I16)</f>
        <v>804000</v>
      </c>
      <c r="J77" s="5">
        <f>SUM(J$6:J16)</f>
        <v>510000</v>
      </c>
      <c r="K77" s="5">
        <f>SUM(K$6:K16)</f>
        <v>968</v>
      </c>
      <c r="L77" s="5">
        <f>SUM(L$6:L16)</f>
        <v>0</v>
      </c>
      <c r="M77" s="5">
        <f>SUM(M$6:M16)</f>
        <v>22</v>
      </c>
      <c r="N77" s="5">
        <f>SUM(N$6:N16)</f>
        <v>0</v>
      </c>
      <c r="O77" s="5">
        <f>SUM(O$6:O16)</f>
        <v>0</v>
      </c>
      <c r="P77" s="5">
        <f>SUM(P$6:P16)</f>
        <v>0</v>
      </c>
      <c r="Q77" s="5">
        <f>SUM(Q$6:Q16)</f>
        <v>0</v>
      </c>
      <c r="S77" s="5">
        <v>11</v>
      </c>
      <c r="T77" s="5">
        <f>T16+1</f>
        <v>34</v>
      </c>
      <c r="U77" s="5">
        <f>U16+1</f>
        <v>33.031845504099799</v>
      </c>
      <c r="V77" s="5">
        <f>V16+1</f>
        <v>31.787262409207109</v>
      </c>
      <c r="W77" s="5">
        <f>W16+1</f>
        <v>30.339854959748202</v>
      </c>
      <c r="X77" s="5">
        <f>X16+1</f>
        <v>29.349256769404541</v>
      </c>
      <c r="AA77" s="5">
        <v>73</v>
      </c>
      <c r="AB77" s="5">
        <f>求节点(T$6:T$44,$C$67:$C$105,$AA77)</f>
        <v>0</v>
      </c>
      <c r="AC77" s="5">
        <f>求节点(U$6:U$44,$C$67:$C$105,$AA77)</f>
        <v>0</v>
      </c>
      <c r="AD77" s="5">
        <f>求节点(V$6:V$44,$C$67:$C$105,$AA77)</f>
        <v>0</v>
      </c>
      <c r="AE77" s="5">
        <f>求节点(W$6:W$44,$C$67:$C$105,$AA77)</f>
        <v>0</v>
      </c>
      <c r="AF77" s="5">
        <f>求节点(X$6:X$44,$C$67:$C$105,$AA77)</f>
        <v>0</v>
      </c>
      <c r="AG77" s="5">
        <f>求节点(T$6:T$44,$D$67:$D$105,$AA77)+求节点(T$67:T$105,$Q$67:$Q$105,$AA77)</f>
        <v>12670200</v>
      </c>
      <c r="AH77" s="5">
        <f>求节点(U$6:U$44,$D$67:$D$105,$AA77)+求节点(U$67:U$105,$Q$67:$Q$105,$AA77)</f>
        <v>14920091.016146893</v>
      </c>
      <c r="AI77" s="5">
        <f>求节点(V$6:V$44,$D$67:$D$105,$AA77)+求节点(V$67:V$105,$Q$67:$Q$105,$AA77)</f>
        <v>17268816.494939636</v>
      </c>
      <c r="AJ77" s="5">
        <f>求节点(W$6:W$44,$D$67:$D$105,$AA77)+求节点(W$67:W$105,$Q$67:$Q$105,$AA77)</f>
        <v>22787565.07598136</v>
      </c>
      <c r="AK77" s="5">
        <f>求节点(X$6:X$44,$D$67:$D$105,$AA77)+求节点(X$67:X$105,$Q$67:$Q$105,$AA77)</f>
        <v>25227481.042642534</v>
      </c>
      <c r="AL77" s="5">
        <f>求节点(T$6:T$44,$F$67:$F$105,$AA77)+求节点(T$67:T$105,$P$67:$P$105,$AA77)</f>
        <v>911200</v>
      </c>
      <c r="AM77" s="5">
        <f>求节点(U$6:U$44,$F$67:$F$105,$AA77)+求节点(U$67:U$105,$P$67:$P$105,$AA77)</f>
        <v>956290.66732138616</v>
      </c>
      <c r="AN77" s="5">
        <f>求节点(V$6:V$44,$F$67:$F$105,$AA77)+求节点(V$67:V$105,$P$67:$P$105,$AA77)</f>
        <v>997381.34199224378</v>
      </c>
      <c r="AO77" s="5">
        <f>求节点(W$6:W$44,$F$67:$F$105,$AA77)+求节点(W$67:W$105,$P$67:$P$105,$AA77)</f>
        <v>1079447.9293136841</v>
      </c>
      <c r="AP77" s="5">
        <f>求节点(X$6:X$44,$F$67:$F$105,$AA77)+求节点(X$67:X$105,$P$67:$P$105,$AA77)</f>
        <v>1113226.6568622026</v>
      </c>
      <c r="AQ77" s="5">
        <f>求节点(T$6:T$44,$H$67:$H$105,$AA77)</f>
        <v>567600</v>
      </c>
      <c r="AR77" s="5">
        <f>求节点(U$6:U$44,$H$67:$H$105,$AA77)</f>
        <v>589568.93648364232</v>
      </c>
      <c r="AS77" s="5">
        <f>求节点(V$6:V$44,$H$67:$H$105,$AA77)</f>
        <v>609240.00414522307</v>
      </c>
      <c r="AT77" s="5">
        <f>求节点(W$6:W$44,$H$67:$H$105,$AA77)</f>
        <v>647258.14968803816</v>
      </c>
      <c r="AU77" s="5">
        <f>求节点(X$6:X$44,$H$67:$H$105,$AA77)</f>
        <v>662612.11675554665</v>
      </c>
      <c r="AV77" s="5">
        <f>求节点(T$6:T$44,$I$67:$I$105,$AA77)</f>
        <v>8351333.333333333</v>
      </c>
      <c r="AW77" s="5">
        <f>求节点(U$6:U$44,$I$67:$I$105,$AA77)</f>
        <v>9156525.5910833236</v>
      </c>
      <c r="AX77" s="5">
        <f>求节点(V$6:V$44,$I$67:$I$105,$AA77)</f>
        <v>9902569.0461003128</v>
      </c>
      <c r="AY77" s="5">
        <f>求节点(W$6:W$44,$I$67:$I$105,$AA77)</f>
        <v>11404027.798563315</v>
      </c>
      <c r="AZ77" s="5">
        <f>求节点(X$6:X$44,$I$67:$I$105,$AA77)</f>
        <v>12021598.47394532</v>
      </c>
      <c r="BA77" s="5">
        <f>求节点(T$6:T$44,$E$67:$E$105,$AA77)+求节点(T$6:T$44,$K$67:$K$105,$AA77)+求节点(T$67:T$105,$O$67:$O$105,$AA77)</f>
        <v>5061.3333333333339</v>
      </c>
      <c r="BB77" s="5">
        <f>求节点(U$6:U$44,$E$67:$E$105,$AA77)+求节点(U$6:U$44,$K$67:$K$105,$AA77)+求节点(U$67:U$105,$O$67:$O$105,$AA77)</f>
        <v>5230.5755106888009</v>
      </c>
      <c r="BC77" s="5">
        <f>求节点(V$6:V$44,$E$67:$E$105,$AA77)+求节点(V$6:V$44,$K$67:$K$105,$AA77)+求节点(V$67:V$105,$O$67:$O$105,$AA77)</f>
        <v>5382.1155874891265</v>
      </c>
      <c r="BD77" s="5">
        <f>求节点(W$6:W$44,$E$67:$E$105,$AA77)+求节点(W$6:W$44,$K$67:$K$105,$AA77)+求节点(W$67:W$105,$O$67:$O$105,$AA77)</f>
        <v>5674.9961161152569</v>
      </c>
      <c r="BE77" s="5">
        <f>求节点(X$6:X$44,$E$67:$E$105,$AA77)+求节点(X$6:X$44,$K$67:$K$105,$AA77)+求节点(X$67:X$105,$O$67:$O$105,$AA77)</f>
        <v>5793.2785290797674</v>
      </c>
      <c r="BF77" s="5">
        <f>求节点(T$6:T$44,$G$67:$G$105,$AA77)</f>
        <v>0</v>
      </c>
      <c r="BG77" s="5">
        <f>求节点(U$6:U$44,$G$67:$G$105,$AA77)</f>
        <v>0</v>
      </c>
      <c r="BH77" s="5">
        <f>求节点(V$6:V$44,$G$67:$G$105,$AA77)</f>
        <v>0</v>
      </c>
      <c r="BI77" s="5">
        <f>求节点(W$6:W$44,$G$67:$G$105,$AA77)</f>
        <v>0</v>
      </c>
      <c r="BJ77" s="5">
        <f>求节点(X$6:X$44,$G$67:$G$105,$AA77)</f>
        <v>0</v>
      </c>
      <c r="BK77" s="5">
        <f>求节点(T$6:T$44,$M$67:$M$105,$AA77)</f>
        <v>48.666666666666664</v>
      </c>
      <c r="BL77" s="5">
        <f>求节点(U$6:U$44,$M$67:$M$105,$AA77)</f>
        <v>50.293995295084613</v>
      </c>
      <c r="BM77" s="5">
        <f>求节点(V$6:V$44,$M$67:$M$105,$AA77)</f>
        <v>51.751111418164676</v>
      </c>
      <c r="BN77" s="5">
        <f>求节点(W$6:W$44,$M$67:$M$105,$AA77)</f>
        <v>54.567270347262088</v>
      </c>
      <c r="BO77" s="5">
        <f>求节点(X$6:X$44,$M$67:$M$105,$AA77)</f>
        <v>55.7046012411516</v>
      </c>
      <c r="BP77" s="5">
        <f>求节点(T$67:T$105,$L$67:$L$105,$AA77)</f>
        <v>0</v>
      </c>
      <c r="BQ77" s="5">
        <f>求节点(U$67:U$105,$L$67:$L$105,$AA77)</f>
        <v>0</v>
      </c>
      <c r="BR77" s="5">
        <f>求节点(V$67:V$105,$L$67:$L$105,$AA77)</f>
        <v>0</v>
      </c>
      <c r="BS77" s="5">
        <f>求节点(W$67:W$105,$L$67:$L$105,$AA77)</f>
        <v>0</v>
      </c>
      <c r="BT77" s="5">
        <f>求节点(X$67:X$105,$L$67:$L$105,$AA77)</f>
        <v>0</v>
      </c>
      <c r="BZ77" s="5">
        <v>73</v>
      </c>
      <c r="CA77" s="5">
        <f t="shared" si="44"/>
        <v>5061.3333333333339</v>
      </c>
      <c r="CB77" s="5">
        <f t="shared" si="45"/>
        <v>5230.5755106888009</v>
      </c>
      <c r="CC77" s="5">
        <f t="shared" si="46"/>
        <v>5382.1155874891265</v>
      </c>
      <c r="CD77" s="5">
        <f t="shared" si="47"/>
        <v>5674.9961161152569</v>
      </c>
      <c r="CE77" s="5">
        <f t="shared" si="48"/>
        <v>5793.2785290797674</v>
      </c>
      <c r="CF77" s="5">
        <f>(CA77-CA76)/节奏总纲!W76</f>
        <v>6.5699522514600632</v>
      </c>
      <c r="CI77" s="5">
        <v>73</v>
      </c>
      <c r="CJ77" s="5">
        <f t="shared" si="49"/>
        <v>11680</v>
      </c>
      <c r="CK77" s="5">
        <f t="shared" si="50"/>
        <v>12070.558870820307</v>
      </c>
      <c r="CL77" s="5">
        <f t="shared" si="51"/>
        <v>12420.266740359522</v>
      </c>
      <c r="CM77" s="5">
        <f t="shared" si="52"/>
        <v>13096.1448833429</v>
      </c>
      <c r="CN77" s="5">
        <f t="shared" si="53"/>
        <v>13369.104297876383</v>
      </c>
      <c r="CO77" s="5">
        <f>(CJ77-CJ76)/节奏总纲!W76</f>
        <v>15.161428272600014</v>
      </c>
      <c r="CP77" s="5">
        <f t="shared" si="38"/>
        <v>21.731380524060079</v>
      </c>
      <c r="CR77" s="5">
        <v>73</v>
      </c>
      <c r="CS77" s="5">
        <f t="shared" si="39"/>
        <v>0</v>
      </c>
      <c r="CT77" s="5">
        <f t="shared" si="40"/>
        <v>0</v>
      </c>
      <c r="CU77" s="5">
        <f t="shared" si="41"/>
        <v>0</v>
      </c>
      <c r="CV77" s="5">
        <f t="shared" si="42"/>
        <v>0</v>
      </c>
      <c r="CW77" s="5">
        <f t="shared" si="43"/>
        <v>0</v>
      </c>
      <c r="CX77" s="5">
        <f t="shared" si="54"/>
        <v>0</v>
      </c>
      <c r="CY77" s="5">
        <f t="shared" si="55"/>
        <v>0</v>
      </c>
      <c r="CZ77" s="5">
        <f t="shared" si="56"/>
        <v>0</v>
      </c>
      <c r="DA77" s="5">
        <f t="shared" si="57"/>
        <v>0</v>
      </c>
      <c r="DB77" s="5">
        <f t="shared" si="58"/>
        <v>0</v>
      </c>
    </row>
    <row r="78" spans="2:106" x14ac:dyDescent="0.15">
      <c r="B78" s="5">
        <v>12</v>
      </c>
      <c r="C78" s="5">
        <f>SUM(C$6:C17)</f>
        <v>0</v>
      </c>
      <c r="D78" s="5">
        <f>SUM(D$6:D17)</f>
        <v>543600</v>
      </c>
      <c r="E78" s="5">
        <f>SUM(E$6:E17)</f>
        <v>1440</v>
      </c>
      <c r="F78" s="5">
        <f>SUM(F$6:F17)</f>
        <v>342600</v>
      </c>
      <c r="G78" s="5">
        <f>SUM(G$6:G17)</f>
        <v>0</v>
      </c>
      <c r="H78" s="5">
        <f>SUM(H$6:H17)</f>
        <v>234600</v>
      </c>
      <c r="I78" s="5">
        <f>SUM(I$6:I17)</f>
        <v>1008000</v>
      </c>
      <c r="J78" s="5">
        <f>SUM(J$6:J17)</f>
        <v>570000</v>
      </c>
      <c r="K78" s="5">
        <f>SUM(K$6:K17)</f>
        <v>1056</v>
      </c>
      <c r="L78" s="5">
        <f>SUM(L$6:L17)</f>
        <v>0</v>
      </c>
      <c r="M78" s="5">
        <f>SUM(M$6:M17)</f>
        <v>24</v>
      </c>
      <c r="N78" s="5">
        <f>SUM(N$6:N17)</f>
        <v>0</v>
      </c>
      <c r="O78" s="5">
        <f>SUM(O$6:O17)</f>
        <v>0</v>
      </c>
      <c r="P78" s="5">
        <f>SUM(P$6:P17)</f>
        <v>0</v>
      </c>
      <c r="Q78" s="5">
        <f>SUM(Q$6:Q17)</f>
        <v>0</v>
      </c>
      <c r="S78" s="5">
        <v>12</v>
      </c>
      <c r="T78" s="5">
        <f>T17+1</f>
        <v>37</v>
      </c>
      <c r="U78" s="5">
        <f>U17+1</f>
        <v>35.994328973751777</v>
      </c>
      <c r="V78" s="5">
        <f>V17+1</f>
        <v>34.374830557228044</v>
      </c>
      <c r="W78" s="5">
        <f>W17+1</f>
        <v>32.69349276720078</v>
      </c>
      <c r="X78" s="5">
        <f>X17+1</f>
        <v>31.697343626543411</v>
      </c>
      <c r="AA78" s="5">
        <v>74</v>
      </c>
      <c r="AB78" s="5">
        <f>求节点(T$6:T$44,$C$67:$C$105,$AA78)</f>
        <v>0</v>
      </c>
      <c r="AC78" s="5">
        <f>求节点(U$6:U$44,$C$67:$C$105,$AA78)</f>
        <v>0</v>
      </c>
      <c r="AD78" s="5">
        <f>求节点(V$6:V$44,$C$67:$C$105,$AA78)</f>
        <v>0</v>
      </c>
      <c r="AE78" s="5">
        <f>求节点(W$6:W$44,$C$67:$C$105,$AA78)</f>
        <v>0</v>
      </c>
      <c r="AF78" s="5">
        <f>求节点(X$6:X$44,$C$67:$C$105,$AA78)</f>
        <v>0</v>
      </c>
      <c r="AG78" s="5">
        <f>求节点(T$6:T$44,$D$67:$D$105,$AA78)+求节点(T$67:T$105,$Q$67:$Q$105,$AA78)</f>
        <v>13558200</v>
      </c>
      <c r="AH78" s="5">
        <f>求节点(U$6:U$44,$D$67:$D$105,$AA78)+求节点(U$67:U$105,$Q$67:$Q$105,$AA78)</f>
        <v>15976204.690538537</v>
      </c>
      <c r="AI78" s="5">
        <f>求节点(V$6:V$44,$D$67:$D$105,$AA78)+求节点(V$67:V$105,$Q$67:$Q$105,$AA78)</f>
        <v>18585716.276659999</v>
      </c>
      <c r="AJ78" s="5">
        <f>求节点(W$6:W$44,$D$67:$D$105,$AA78)+求节点(W$67:W$105,$Q$67:$Q$105,$AA78)</f>
        <v>24679836.294715375</v>
      </c>
      <c r="AK78" s="5">
        <f>求节点(X$6:X$44,$D$67:$D$105,$AA78)+求节点(X$67:X$105,$Q$67:$Q$105,$AA78)</f>
        <v>27247509.252957772</v>
      </c>
      <c r="AL78" s="5">
        <f>求节点(T$6:T$44,$F$67:$F$105,$AA78)+求节点(T$67:T$105,$P$67:$P$105,$AA78)</f>
        <v>929600</v>
      </c>
      <c r="AM78" s="5">
        <f>求节点(U$6:U$44,$F$67:$F$105,$AA78)+求节点(U$67:U$105,$P$67:$P$105,$AA78)</f>
        <v>974767.25123964681</v>
      </c>
      <c r="AN78" s="5">
        <f>求节点(V$6:V$44,$F$67:$F$105,$AA78)+求节点(V$67:V$105,$P$67:$P$105,$AA78)</f>
        <v>1018063.2024051715</v>
      </c>
      <c r="AO78" s="5">
        <f>求节点(W$6:W$44,$F$67:$F$105,$AA78)+求节点(W$67:W$105,$P$67:$P$105,$AA78)</f>
        <v>1105644.9438088131</v>
      </c>
      <c r="AP78" s="5">
        <f>求节点(X$6:X$44,$F$67:$F$105,$AA78)+求节点(X$67:X$105,$P$67:$P$105,$AA78)</f>
        <v>1139976.5501909093</v>
      </c>
      <c r="AQ78" s="5">
        <f>求节点(T$6:T$44,$H$67:$H$105,$AA78)</f>
        <v>576600</v>
      </c>
      <c r="AR78" s="5">
        <f>求节点(U$6:U$44,$H$67:$H$105,$AA78)</f>
        <v>598414.10963600117</v>
      </c>
      <c r="AS78" s="5">
        <f>求节点(V$6:V$44,$H$67:$H$105,$AA78)</f>
        <v>618938.59905394551</v>
      </c>
      <c r="AT78" s="5">
        <f>求节点(W$6:W$44,$H$67:$H$105,$AA78)</f>
        <v>659165.88354946044</v>
      </c>
      <c r="AU78" s="5">
        <f>求节点(X$6:X$44,$H$67:$H$105,$AA78)</f>
        <v>674530.83096657763</v>
      </c>
      <c r="AV78" s="5">
        <f>求节点(T$6:T$44,$I$67:$I$105,$AA78)</f>
        <v>8678666.666666666</v>
      </c>
      <c r="AW78" s="5">
        <f>求节点(U$6:U$44,$I$67:$I$105,$AA78)</f>
        <v>9491986.9728616737</v>
      </c>
      <c r="AX78" s="5">
        <f>求节点(V$6:V$44,$I$67:$I$105,$AA78)</f>
        <v>10280257.281166887</v>
      </c>
      <c r="AY78" s="5">
        <f>求节点(W$6:W$44,$I$67:$I$105,$AA78)</f>
        <v>11882983.316100521</v>
      </c>
      <c r="AZ78" s="5">
        <f>求节点(X$6:X$44,$I$67:$I$105,$AA78)</f>
        <v>12505695.397228466</v>
      </c>
      <c r="BA78" s="5">
        <f>求节点(T$6:T$44,$E$67:$E$105,$AA78)+求节点(T$6:T$44,$K$67:$K$105,$AA78)+求节点(T$67:T$105,$O$67:$O$105,$AA78)</f>
        <v>5130.6666666666661</v>
      </c>
      <c r="BB78" s="5">
        <f>求节点(U$6:U$44,$E$67:$E$105,$AA78)+求节点(U$6:U$44,$K$67:$K$105,$AA78)+求节点(U$67:U$105,$O$67:$O$105,$AA78)</f>
        <v>5298.7161038625272</v>
      </c>
      <c r="BC78" s="5">
        <f>求节点(V$6:V$44,$E$67:$E$105,$AA78)+求节点(V$6:V$44,$K$67:$K$105,$AA78)+求节点(V$67:V$105,$O$67:$O$105,$AA78)</f>
        <v>5456.8306890081731</v>
      </c>
      <c r="BD78" s="5">
        <f>求节点(W$6:W$44,$E$67:$E$105,$AA78)+求节点(W$6:W$44,$K$67:$K$105,$AA78)+求节点(W$67:W$105,$O$67:$O$105,$AA78)</f>
        <v>5766.7297695662137</v>
      </c>
      <c r="BE78" s="5">
        <f>求节点(X$6:X$44,$E$67:$E$105,$AA78)+求节点(X$6:X$44,$K$67:$K$105,$AA78)+求节点(X$67:X$105,$O$67:$O$105,$AA78)</f>
        <v>5885.0967718906722</v>
      </c>
      <c r="BF78" s="5">
        <f>求节点(T$6:T$44,$G$67:$G$105,$AA78)</f>
        <v>0</v>
      </c>
      <c r="BG78" s="5">
        <f>求节点(U$6:U$44,$G$67:$G$105,$AA78)</f>
        <v>0</v>
      </c>
      <c r="BH78" s="5">
        <f>求节点(V$6:V$44,$G$67:$G$105,$AA78)</f>
        <v>0</v>
      </c>
      <c r="BI78" s="5">
        <f>求节点(W$6:W$44,$G$67:$G$105,$AA78)</f>
        <v>0</v>
      </c>
      <c r="BJ78" s="5">
        <f>求节点(X$6:X$44,$G$67:$G$105,$AA78)</f>
        <v>0</v>
      </c>
      <c r="BK78" s="5">
        <f>求节点(T$6:T$44,$M$67:$M$105,$AA78)</f>
        <v>49.333333333333336</v>
      </c>
      <c r="BL78" s="5">
        <f>求节点(U$6:U$44,$M$67:$M$105,$AA78)</f>
        <v>50.949193306370454</v>
      </c>
      <c r="BM78" s="5">
        <f>求节点(V$6:V$44,$M$67:$M$105,$AA78)</f>
        <v>52.46952585584782</v>
      </c>
      <c r="BN78" s="5">
        <f>求节点(W$6:W$44,$M$67:$M$105,$AA78)</f>
        <v>55.449324707367445</v>
      </c>
      <c r="BO78" s="5">
        <f>求节点(X$6:X$44,$M$67:$M$105,$AA78)</f>
        <v>56.587468960487236</v>
      </c>
      <c r="BP78" s="5">
        <f>求节点(T$67:T$105,$L$67:$L$105,$AA78)</f>
        <v>0</v>
      </c>
      <c r="BQ78" s="5">
        <f>求节点(U$67:U$105,$L$67:$L$105,$AA78)</f>
        <v>0</v>
      </c>
      <c r="BR78" s="5">
        <f>求节点(V$67:V$105,$L$67:$L$105,$AA78)</f>
        <v>0</v>
      </c>
      <c r="BS78" s="5">
        <f>求节点(W$67:W$105,$L$67:$L$105,$AA78)</f>
        <v>0</v>
      </c>
      <c r="BT78" s="5">
        <f>求节点(X$67:X$105,$L$67:$L$105,$AA78)</f>
        <v>0</v>
      </c>
      <c r="BZ78" s="5">
        <v>74</v>
      </c>
      <c r="CA78" s="5">
        <f t="shared" si="44"/>
        <v>5130.6666666666661</v>
      </c>
      <c r="CB78" s="5">
        <f t="shared" si="45"/>
        <v>5298.7161038625272</v>
      </c>
      <c r="CC78" s="5">
        <f t="shared" si="46"/>
        <v>5456.8306890081731</v>
      </c>
      <c r="CD78" s="5">
        <f t="shared" si="47"/>
        <v>5766.7297695662137</v>
      </c>
      <c r="CE78" s="5">
        <f t="shared" si="48"/>
        <v>5885.0967718906722</v>
      </c>
      <c r="CF78" s="5">
        <f>(CA78-CA77)/节奏总纲!W77</f>
        <v>6.1299822034336229</v>
      </c>
      <c r="CI78" s="5">
        <v>74</v>
      </c>
      <c r="CJ78" s="5">
        <f t="shared" si="49"/>
        <v>11840</v>
      </c>
      <c r="CK78" s="5">
        <f t="shared" si="50"/>
        <v>12227.806393528908</v>
      </c>
      <c r="CL78" s="5">
        <f t="shared" si="51"/>
        <v>12592.686205403477</v>
      </c>
      <c r="CM78" s="5">
        <f t="shared" si="52"/>
        <v>13307.837929768188</v>
      </c>
      <c r="CN78" s="5">
        <f t="shared" si="53"/>
        <v>13580.992550516936</v>
      </c>
      <c r="CO78" s="5">
        <f>(CJ78-CJ77)/节奏总纲!W77</f>
        <v>14.146112777154762</v>
      </c>
      <c r="CP78" s="5">
        <f t="shared" si="38"/>
        <v>20.276094980588386</v>
      </c>
      <c r="CR78" s="5">
        <v>74</v>
      </c>
      <c r="CS78" s="5">
        <f t="shared" si="39"/>
        <v>0</v>
      </c>
      <c r="CT78" s="5">
        <f t="shared" si="40"/>
        <v>0</v>
      </c>
      <c r="CU78" s="5">
        <f t="shared" si="41"/>
        <v>0</v>
      </c>
      <c r="CV78" s="5">
        <f t="shared" si="42"/>
        <v>0</v>
      </c>
      <c r="CW78" s="5">
        <f t="shared" si="43"/>
        <v>0</v>
      </c>
      <c r="CX78" s="5">
        <f t="shared" si="54"/>
        <v>0</v>
      </c>
      <c r="CY78" s="5">
        <f t="shared" si="55"/>
        <v>0</v>
      </c>
      <c r="CZ78" s="5">
        <f t="shared" si="56"/>
        <v>0</v>
      </c>
      <c r="DA78" s="5">
        <f t="shared" si="57"/>
        <v>0</v>
      </c>
      <c r="DB78" s="5">
        <f t="shared" si="58"/>
        <v>0</v>
      </c>
    </row>
    <row r="79" spans="2:106" x14ac:dyDescent="0.15">
      <c r="B79" s="5">
        <v>13</v>
      </c>
      <c r="C79" s="5">
        <f>SUM(C$6:C18)</f>
        <v>0</v>
      </c>
      <c r="D79" s="5">
        <f>SUM(D$6:D18)</f>
        <v>747000</v>
      </c>
      <c r="E79" s="5">
        <f>SUM(E$6:E18)</f>
        <v>1560</v>
      </c>
      <c r="F79" s="5">
        <f>SUM(F$6:F18)</f>
        <v>380400</v>
      </c>
      <c r="G79" s="5">
        <f>SUM(G$6:G18)</f>
        <v>0</v>
      </c>
      <c r="H79" s="5">
        <f>SUM(H$6:H18)</f>
        <v>261600</v>
      </c>
      <c r="I79" s="5">
        <f>SUM(I$6:I18)</f>
        <v>1252000</v>
      </c>
      <c r="J79" s="5">
        <f>SUM(J$6:J18)</f>
        <v>634000</v>
      </c>
      <c r="K79" s="5">
        <f>SUM(K$6:K18)</f>
        <v>1144</v>
      </c>
      <c r="L79" s="5">
        <f>SUM(L$6:L18)</f>
        <v>0</v>
      </c>
      <c r="M79" s="5">
        <f>SUM(M$6:M18)</f>
        <v>26</v>
      </c>
      <c r="N79" s="5">
        <f>SUM(N$6:N18)</f>
        <v>0</v>
      </c>
      <c r="O79" s="5">
        <f>SUM(O$6:O18)</f>
        <v>0</v>
      </c>
      <c r="P79" s="5">
        <f>SUM(P$6:P18)</f>
        <v>0</v>
      </c>
      <c r="Q79" s="5">
        <f>SUM(Q$6:Q18)</f>
        <v>0</v>
      </c>
      <c r="S79" s="5">
        <v>13</v>
      </c>
      <c r="T79" s="5">
        <f>T18+1</f>
        <v>40</v>
      </c>
      <c r="U79" s="5">
        <f>U18+1</f>
        <v>39.142264137848926</v>
      </c>
      <c r="V79" s="5">
        <f>V18+1</f>
        <v>37.642907295186205</v>
      </c>
      <c r="W79" s="5">
        <f>W18+1</f>
        <v>35.341611061692923</v>
      </c>
      <c r="X79" s="5">
        <f>X18+1</f>
        <v>34.139872705959931</v>
      </c>
      <c r="AA79" s="5">
        <v>75</v>
      </c>
      <c r="AB79" s="5">
        <f>求节点(T$6:T$44,$C$67:$C$105,$AA79)</f>
        <v>0</v>
      </c>
      <c r="AC79" s="5">
        <f>求节点(U$6:U$44,$C$67:$C$105,$AA79)</f>
        <v>0</v>
      </c>
      <c r="AD79" s="5">
        <f>求节点(V$6:V$44,$C$67:$C$105,$AA79)</f>
        <v>0</v>
      </c>
      <c r="AE79" s="5">
        <f>求节点(W$6:W$44,$C$67:$C$105,$AA79)</f>
        <v>0</v>
      </c>
      <c r="AF79" s="5">
        <f>求节点(X$6:X$44,$C$67:$C$105,$AA79)</f>
        <v>0</v>
      </c>
      <c r="AG79" s="5">
        <f>求节点(T$6:T$44,$D$67:$D$105,$AA79)+求节点(T$67:T$105,$Q$67:$Q$105,$AA79)</f>
        <v>14446200</v>
      </c>
      <c r="AH79" s="5">
        <f>求节点(U$6:U$44,$D$67:$D$105,$AA79)+求节点(U$67:U$105,$Q$67:$Q$105,$AA79)</f>
        <v>17032318.364930179</v>
      </c>
      <c r="AI79" s="5">
        <f>求节点(V$6:V$44,$D$67:$D$105,$AA79)+求节点(V$67:V$105,$Q$67:$Q$105,$AA79)</f>
        <v>20126230.354095206</v>
      </c>
      <c r="AJ79" s="5">
        <f>求节点(W$6:W$44,$D$67:$D$105,$AA79)+求节点(W$67:W$105,$Q$67:$Q$105,$AA79)</f>
        <v>26584725.701724291</v>
      </c>
      <c r="AK79" s="5">
        <f>求节点(X$6:X$44,$D$67:$D$105,$AA79)+求节点(X$67:X$105,$Q$67:$Q$105,$AA79)</f>
        <v>29347565.991539393</v>
      </c>
      <c r="AL79" s="5">
        <f>求节点(T$6:T$44,$F$67:$F$105,$AA79)+求节点(T$67:T$105,$P$67:$P$105,$AA79)</f>
        <v>948000</v>
      </c>
      <c r="AM79" s="5">
        <f>求节点(U$6:U$44,$F$67:$F$105,$AA79)+求节点(U$67:U$105,$P$67:$P$105,$AA79)</f>
        <v>993243.83515790745</v>
      </c>
      <c r="AN79" s="5">
        <f>求节点(V$6:V$44,$F$67:$F$105,$AA79)+求节点(V$67:V$105,$P$67:$P$105,$AA79)</f>
        <v>1041048.8762263091</v>
      </c>
      <c r="AO79" s="5">
        <f>求节点(W$6:W$44,$F$67:$F$105,$AA79)+求节点(W$67:W$105,$P$67:$P$105,$AA79)</f>
        <v>1131382.1029209099</v>
      </c>
      <c r="AP79" s="5">
        <f>求节点(X$6:X$44,$F$67:$F$105,$AA79)+求节点(X$67:X$105,$P$67:$P$105,$AA79)</f>
        <v>1167208.407212944</v>
      </c>
      <c r="AQ79" s="5">
        <f>求节点(T$6:T$44,$H$67:$H$105,$AA79)</f>
        <v>585600</v>
      </c>
      <c r="AR79" s="5">
        <f>求节点(U$6:U$44,$H$67:$H$105,$AA79)</f>
        <v>607259.28278835991</v>
      </c>
      <c r="AS79" s="5">
        <f>求节点(V$6:V$44,$H$67:$H$105,$AA79)</f>
        <v>629602.05598127737</v>
      </c>
      <c r="AT79" s="5">
        <f>求节点(W$6:W$44,$H$67:$H$105,$AA79)</f>
        <v>670739.16305334261</v>
      </c>
      <c r="AU79" s="5">
        <f>求节点(X$6:X$44,$H$67:$H$105,$AA79)</f>
        <v>686544.88553512236</v>
      </c>
      <c r="AV79" s="5">
        <f>求节点(T$6:T$44,$I$67:$I$105,$AA79)</f>
        <v>9006000</v>
      </c>
      <c r="AW79" s="5">
        <f>求节点(U$6:U$44,$I$67:$I$105,$AA79)</f>
        <v>9827448.3546400219</v>
      </c>
      <c r="AX79" s="5">
        <f>求节点(V$6:V$44,$I$67:$I$105,$AA79)</f>
        <v>10701266.358371915</v>
      </c>
      <c r="AY79" s="5">
        <f>求节点(W$6:W$44,$I$67:$I$105,$AA79)</f>
        <v>12350939.173510503</v>
      </c>
      <c r="AZ79" s="5">
        <f>求节点(X$6:X$44,$I$67:$I$105,$AA79)</f>
        <v>12996046.809618698</v>
      </c>
      <c r="BA79" s="5">
        <f>求节点(T$6:T$44,$E$67:$E$105,$AA79)+求节点(T$6:T$44,$K$67:$K$105,$AA79)+求节点(T$67:T$105,$O$67:$O$105,$AA79)</f>
        <v>5200</v>
      </c>
      <c r="BB79" s="5">
        <f>求节点(U$6:U$44,$E$67:$E$105,$AA79)+求节点(U$6:U$44,$K$67:$K$105,$AA79)+求节点(U$67:U$105,$O$67:$O$105,$AA79)</f>
        <v>5366.8566970362544</v>
      </c>
      <c r="BC79" s="5">
        <f>求节点(V$6:V$44,$E$67:$E$105,$AA79)+求节点(V$6:V$44,$K$67:$K$105,$AA79)+求节点(V$67:V$105,$O$67:$O$105,$AA79)</f>
        <v>5538.9788016335442</v>
      </c>
      <c r="BD79" s="5">
        <f>求节点(W$6:W$44,$E$67:$E$105,$AA79)+求节点(W$6:W$44,$K$67:$K$105,$AA79)+求节点(W$67:W$105,$O$67:$O$105,$AA79)</f>
        <v>5855.8868857442685</v>
      </c>
      <c r="BE79" s="5">
        <f>求节点(X$6:X$44,$E$67:$E$105,$AA79)+求节点(X$6:X$44,$K$67:$K$105,$AA79)+求节点(X$67:X$105,$O$67:$O$105,$AA79)</f>
        <v>5977.649488566869</v>
      </c>
      <c r="BF79" s="5">
        <f>求节点(T$6:T$44,$G$67:$G$105,$AA79)</f>
        <v>0</v>
      </c>
      <c r="BG79" s="5">
        <f>求节点(U$6:U$44,$G$67:$G$105,$AA79)</f>
        <v>0</v>
      </c>
      <c r="BH79" s="5">
        <f>求节点(V$6:V$44,$G$67:$G$105,$AA79)</f>
        <v>0</v>
      </c>
      <c r="BI79" s="5">
        <f>求节点(W$6:W$44,$G$67:$G$105,$AA79)</f>
        <v>0</v>
      </c>
      <c r="BJ79" s="5">
        <f>求节点(X$6:X$44,$G$67:$G$105,$AA79)</f>
        <v>0</v>
      </c>
      <c r="BK79" s="5">
        <f>求节点(T$6:T$44,$M$67:$M$105,$AA79)</f>
        <v>50</v>
      </c>
      <c r="BL79" s="5">
        <f>求节点(U$6:U$44,$M$67:$M$105,$AA79)</f>
        <v>51.604391317656294</v>
      </c>
      <c r="BM79" s="5">
        <f>求节点(V$6:V$44,$M$67:$M$105,$AA79)</f>
        <v>53.259411554168693</v>
      </c>
      <c r="BN79" s="5">
        <f>求节点(W$6:W$44,$M$67:$M$105,$AA79)</f>
        <v>56.306604670617972</v>
      </c>
      <c r="BO79" s="5">
        <f>求节点(X$6:X$44,$M$67:$M$105,$AA79)</f>
        <v>57.477398928527585</v>
      </c>
      <c r="BP79" s="5">
        <f>求节点(T$67:T$105,$L$67:$L$105,$AA79)</f>
        <v>0</v>
      </c>
      <c r="BQ79" s="5">
        <f>求节点(U$67:U$105,$L$67:$L$105,$AA79)</f>
        <v>0</v>
      </c>
      <c r="BR79" s="5">
        <f>求节点(V$67:V$105,$L$67:$L$105,$AA79)</f>
        <v>0</v>
      </c>
      <c r="BS79" s="5">
        <f>求节点(W$67:W$105,$L$67:$L$105,$AA79)</f>
        <v>0</v>
      </c>
      <c r="BT79" s="5">
        <f>求节点(X$67:X$105,$L$67:$L$105,$AA79)</f>
        <v>0</v>
      </c>
      <c r="BZ79" s="5">
        <v>75</v>
      </c>
      <c r="CA79" s="5">
        <f t="shared" si="44"/>
        <v>5200</v>
      </c>
      <c r="CB79" s="5">
        <f t="shared" si="45"/>
        <v>5366.8566970362544</v>
      </c>
      <c r="CC79" s="5">
        <f t="shared" si="46"/>
        <v>5538.9788016335442</v>
      </c>
      <c r="CD79" s="5">
        <f t="shared" si="47"/>
        <v>5855.8868857442685</v>
      </c>
      <c r="CE79" s="5">
        <f t="shared" si="48"/>
        <v>5977.649488566869</v>
      </c>
      <c r="CF79" s="5">
        <f>(CA79-CA78)/节奏总纲!W78</f>
        <v>5.7194756333372121</v>
      </c>
      <c r="CI79" s="5">
        <v>75</v>
      </c>
      <c r="CJ79" s="5">
        <f t="shared" si="49"/>
        <v>12000</v>
      </c>
      <c r="CK79" s="5">
        <f t="shared" si="50"/>
        <v>12385.05391623751</v>
      </c>
      <c r="CL79" s="5">
        <f t="shared" si="51"/>
        <v>12782.258773000487</v>
      </c>
      <c r="CM79" s="5">
        <f t="shared" si="52"/>
        <v>13513.585120948313</v>
      </c>
      <c r="CN79" s="5">
        <f t="shared" si="53"/>
        <v>13794.57574284662</v>
      </c>
      <c r="CO79" s="5">
        <f>(CJ79-CJ78)/节奏总纲!W78</f>
        <v>13.198789923085759</v>
      </c>
      <c r="CP79" s="5">
        <f t="shared" si="38"/>
        <v>18.91826555642297</v>
      </c>
      <c r="CR79" s="5">
        <v>75</v>
      </c>
      <c r="CS79" s="5">
        <f t="shared" si="39"/>
        <v>0</v>
      </c>
      <c r="CT79" s="5">
        <f t="shared" si="40"/>
        <v>0</v>
      </c>
      <c r="CU79" s="5">
        <f t="shared" si="41"/>
        <v>0</v>
      </c>
      <c r="CV79" s="5">
        <f t="shared" si="42"/>
        <v>0</v>
      </c>
      <c r="CW79" s="5">
        <f t="shared" si="43"/>
        <v>0</v>
      </c>
      <c r="CX79" s="5">
        <f t="shared" si="54"/>
        <v>0</v>
      </c>
      <c r="CY79" s="5">
        <f t="shared" si="55"/>
        <v>0</v>
      </c>
      <c r="CZ79" s="5">
        <f t="shared" si="56"/>
        <v>0</v>
      </c>
      <c r="DA79" s="5">
        <f t="shared" si="57"/>
        <v>0</v>
      </c>
      <c r="DB79" s="5">
        <f t="shared" si="58"/>
        <v>0</v>
      </c>
    </row>
    <row r="80" spans="2:106" x14ac:dyDescent="0.15">
      <c r="B80" s="5">
        <v>14</v>
      </c>
      <c r="C80" s="5">
        <f>SUM(C$6:C19)</f>
        <v>0</v>
      </c>
      <c r="D80" s="5">
        <f>SUM(D$6:D19)</f>
        <v>1017600</v>
      </c>
      <c r="E80" s="5">
        <f>SUM(E$6:E19)</f>
        <v>1680</v>
      </c>
      <c r="F80" s="5">
        <f>SUM(F$6:F19)</f>
        <v>420000</v>
      </c>
      <c r="G80" s="5">
        <f>SUM(G$6:G19)</f>
        <v>0</v>
      </c>
      <c r="H80" s="5">
        <f>SUM(H$6:H19)</f>
        <v>288600</v>
      </c>
      <c r="I80" s="5">
        <f>SUM(I$6:I19)</f>
        <v>1540000</v>
      </c>
      <c r="J80" s="5">
        <f>SUM(J$6:J19)</f>
        <v>700000</v>
      </c>
      <c r="K80" s="5">
        <f>SUM(K$6:K19)</f>
        <v>1232</v>
      </c>
      <c r="L80" s="5">
        <f>SUM(L$6:L19)</f>
        <v>0</v>
      </c>
      <c r="M80" s="5">
        <f>SUM(M$6:M19)</f>
        <v>28</v>
      </c>
      <c r="N80" s="5">
        <f>SUM(N$6:N19)</f>
        <v>0</v>
      </c>
      <c r="O80" s="5">
        <f>SUM(O$6:O19)</f>
        <v>0</v>
      </c>
      <c r="P80" s="5">
        <f>SUM(P$6:P19)</f>
        <v>0</v>
      </c>
      <c r="Q80" s="5">
        <f>SUM(Q$6:Q19)</f>
        <v>0</v>
      </c>
      <c r="S80" s="5">
        <v>14</v>
      </c>
      <c r="T80" s="5">
        <f>T19+1</f>
        <v>43</v>
      </c>
      <c r="U80" s="5">
        <f>U19+1</f>
        <v>42.011014734150677</v>
      </c>
      <c r="V80" s="5">
        <f>V19+1</f>
        <v>40.360375852955542</v>
      </c>
      <c r="W80" s="5">
        <f>W19+1</f>
        <v>37.806305874019117</v>
      </c>
      <c r="X80" s="5">
        <f>X19+1</f>
        <v>36.419119753273336</v>
      </c>
      <c r="AA80" s="5">
        <v>76</v>
      </c>
      <c r="AB80" s="5">
        <f>求节点(T$6:T$44,$C$67:$C$105,$AA80)</f>
        <v>0</v>
      </c>
      <c r="AC80" s="5">
        <f>求节点(U$6:U$44,$C$67:$C$105,$AA80)</f>
        <v>0</v>
      </c>
      <c r="AD80" s="5">
        <f>求节点(V$6:V$44,$C$67:$C$105,$AA80)</f>
        <v>0</v>
      </c>
      <c r="AE80" s="5">
        <f>求节点(W$6:W$44,$C$67:$C$105,$AA80)</f>
        <v>0</v>
      </c>
      <c r="AF80" s="5">
        <f>求节点(X$6:X$44,$C$67:$C$105,$AA80)</f>
        <v>0</v>
      </c>
      <c r="AG80" s="5">
        <f>求节点(T$6:T$44,$D$67:$D$105,$AA80)+求节点(T$67:T$105,$Q$67:$Q$105,$AA80)</f>
        <v>15520800</v>
      </c>
      <c r="AH80" s="5">
        <f>求节点(U$6:U$44,$D$67:$D$105,$AA80)+求节点(U$67:U$105,$Q$67:$Q$105,$AA80)</f>
        <v>18263881.636685383</v>
      </c>
      <c r="AI80" s="5">
        <f>求节点(V$6:V$44,$D$67:$D$105,$AA80)+求节点(V$67:V$105,$Q$67:$Q$105,$AA80)</f>
        <v>21677318.041371427</v>
      </c>
      <c r="AJ80" s="5">
        <f>求节点(W$6:W$44,$D$67:$D$105,$AA80)+求节点(W$67:W$105,$Q$67:$Q$105,$AA80)</f>
        <v>28510583.616411649</v>
      </c>
      <c r="AK80" s="5">
        <f>求节点(X$6:X$44,$D$67:$D$105,$AA80)+求节点(X$67:X$105,$Q$67:$Q$105,$AA80)</f>
        <v>31746719.745280966</v>
      </c>
      <c r="AL80" s="5">
        <f>求节点(T$6:T$44,$F$67:$F$105,$AA80)+求节点(T$67:T$105,$P$67:$P$105,$AA80)</f>
        <v>966800</v>
      </c>
      <c r="AM80" s="5">
        <f>求节点(U$6:U$44,$F$67:$F$105,$AA80)+求节点(U$67:U$105,$P$67:$P$105,$AA80)</f>
        <v>1013261.1780892912</v>
      </c>
      <c r="AN80" s="5">
        <f>求节点(V$6:V$44,$F$67:$F$105,$AA80)+求节点(V$67:V$105,$P$67:$P$105,$AA80)</f>
        <v>1064077.4277857323</v>
      </c>
      <c r="AO80" s="5">
        <f>求节点(W$6:W$44,$F$67:$F$105,$AA80)+求节点(W$67:W$105,$P$67:$P$105,$AA80)</f>
        <v>1156355.0888474432</v>
      </c>
      <c r="AP80" s="5">
        <f>求节点(X$6:X$44,$F$67:$F$105,$AA80)+求节点(X$67:X$105,$P$67:$P$105,$AA80)</f>
        <v>1197213.1345786687</v>
      </c>
      <c r="AQ80" s="5">
        <f>求节点(T$6:T$44,$H$67:$H$105,$AA80)</f>
        <v>594600</v>
      </c>
      <c r="AR80" s="5">
        <f>求节点(U$6:U$44,$H$67:$H$105,$AA80)</f>
        <v>616710.85581461957</v>
      </c>
      <c r="AS80" s="5">
        <f>求节点(V$6:V$44,$H$67:$H$105,$AA80)</f>
        <v>640271.55808442377</v>
      </c>
      <c r="AT80" s="5">
        <f>求节点(W$6:W$44,$H$67:$H$105,$AA80)</f>
        <v>681756.65684446029</v>
      </c>
      <c r="AU80" s="5">
        <f>求节点(X$6:X$44,$H$67:$H$105,$AA80)</f>
        <v>699663.37553884706</v>
      </c>
      <c r="AV80" s="5">
        <f>求节点(T$6:T$44,$I$67:$I$105,$AA80)</f>
        <v>9347333.333333334</v>
      </c>
      <c r="AW80" s="5">
        <f>求节点(U$6:U$44,$I$67:$I$105,$AA80)</f>
        <v>10192302.677717945</v>
      </c>
      <c r="AX80" s="5">
        <f>求节点(V$6:V$44,$I$67:$I$105,$AA80)</f>
        <v>11123011.558506822</v>
      </c>
      <c r="AY80" s="5">
        <f>求节点(W$6:W$44,$I$67:$I$105,$AA80)</f>
        <v>12800616.14231834</v>
      </c>
      <c r="AZ80" s="5">
        <f>求节点(X$6:X$44,$I$67:$I$105,$AA80)</f>
        <v>13535517.800129952</v>
      </c>
      <c r="BA80" s="5">
        <f>求节点(T$6:T$44,$E$67:$E$105,$AA80)+求节点(T$6:T$44,$K$67:$K$105,$AA80)+求节点(T$67:T$105,$O$67:$O$105,$AA80)</f>
        <v>5269.3333333333339</v>
      </c>
      <c r="BB80" s="5">
        <f>求节点(U$6:U$44,$E$67:$E$105,$AA80)+求节点(U$6:U$44,$K$67:$K$105,$AA80)+求节点(U$67:U$105,$O$67:$O$105,$AA80)</f>
        <v>5439.6688151644776</v>
      </c>
      <c r="BC80" s="5">
        <f>求节点(V$6:V$44,$E$67:$E$105,$AA80)+求节点(V$6:V$44,$K$67:$K$105,$AA80)+求节点(V$67:V$105,$O$67:$O$105,$AA80)</f>
        <v>5621.1734845022274</v>
      </c>
      <c r="BD80" s="5">
        <f>求节点(W$6:W$44,$E$67:$E$105,$AA80)+求节点(W$6:W$44,$K$67:$K$105,$AA80)+求节点(W$67:W$105,$O$67:$O$105,$AA80)</f>
        <v>5940.7623934684343</v>
      </c>
      <c r="BE80" s="5">
        <f>求节点(X$6:X$44,$E$67:$E$105,$AA80)+求节点(X$6:X$44,$K$67:$K$105,$AA80)+求节点(X$67:X$105,$O$67:$O$105,$AA80)</f>
        <v>6078.7104485955624</v>
      </c>
      <c r="BF80" s="5">
        <f>求节点(T$6:T$44,$G$67:$G$105,$AA80)</f>
        <v>0</v>
      </c>
      <c r="BG80" s="5">
        <f>求节点(U$6:U$44,$G$67:$G$105,$AA80)</f>
        <v>0</v>
      </c>
      <c r="BH80" s="5">
        <f>求节点(V$6:V$44,$G$67:$G$105,$AA80)</f>
        <v>0</v>
      </c>
      <c r="BI80" s="5">
        <f>求节点(W$6:W$44,$G$67:$G$105,$AA80)</f>
        <v>0</v>
      </c>
      <c r="BJ80" s="5">
        <f>求节点(X$6:X$44,$G$67:$G$105,$AA80)</f>
        <v>0</v>
      </c>
      <c r="BK80" s="5">
        <f>求节点(T$6:T$44,$M$67:$M$105,$AA80)</f>
        <v>50.666666666666664</v>
      </c>
      <c r="BL80" s="5">
        <f>求节点(U$6:U$44,$M$67:$M$105,$AA80)</f>
        <v>52.304507838119974</v>
      </c>
      <c r="BM80" s="5">
        <f>求节点(V$6:V$44,$M$67:$M$105,$AA80)</f>
        <v>54.049745043290649</v>
      </c>
      <c r="BN80" s="5">
        <f>求节点(W$6:W$44,$M$67:$M$105,$AA80)</f>
        <v>57.122715321811867</v>
      </c>
      <c r="BO80" s="5">
        <f>求节点(X$6:X$44,$M$67:$M$105,$AA80)</f>
        <v>58.449138928803485</v>
      </c>
      <c r="BP80" s="5">
        <f>求节点(T$67:T$105,$L$67:$L$105,$AA80)</f>
        <v>0</v>
      </c>
      <c r="BQ80" s="5">
        <f>求节点(U$67:U$105,$L$67:$L$105,$AA80)</f>
        <v>0</v>
      </c>
      <c r="BR80" s="5">
        <f>求节点(V$67:V$105,$L$67:$L$105,$AA80)</f>
        <v>0</v>
      </c>
      <c r="BS80" s="5">
        <f>求节点(W$67:W$105,$L$67:$L$105,$AA80)</f>
        <v>0</v>
      </c>
      <c r="BT80" s="5">
        <f>求节点(X$67:X$105,$L$67:$L$105,$AA80)</f>
        <v>0</v>
      </c>
      <c r="BZ80" s="5">
        <v>76</v>
      </c>
      <c r="CA80" s="5">
        <f t="shared" si="44"/>
        <v>5269.3333333333339</v>
      </c>
      <c r="CB80" s="5">
        <f t="shared" si="45"/>
        <v>5439.6688151644776</v>
      </c>
      <c r="CC80" s="5">
        <f t="shared" si="46"/>
        <v>5621.1734845022274</v>
      </c>
      <c r="CD80" s="5">
        <f t="shared" si="47"/>
        <v>5940.7623934684343</v>
      </c>
      <c r="CE80" s="5">
        <f t="shared" si="48"/>
        <v>6078.7104485955624</v>
      </c>
      <c r="CF80" s="5">
        <f>(CA80-CA79)/节奏总纲!W79</f>
        <v>5.3364594601944901</v>
      </c>
      <c r="CI80" s="5">
        <v>76</v>
      </c>
      <c r="CJ80" s="5">
        <f t="shared" si="49"/>
        <v>12160</v>
      </c>
      <c r="CK80" s="5">
        <f t="shared" si="50"/>
        <v>12553.081881148793</v>
      </c>
      <c r="CL80" s="5">
        <f t="shared" si="51"/>
        <v>12971.938810389756</v>
      </c>
      <c r="CM80" s="5">
        <f t="shared" si="52"/>
        <v>13709.451677234849</v>
      </c>
      <c r="CN80" s="5">
        <f t="shared" si="53"/>
        <v>14027.793342912837</v>
      </c>
      <c r="CO80" s="5">
        <f>(CJ80-CJ79)/节奏总纲!W79</f>
        <v>12.314906446602562</v>
      </c>
      <c r="CP80" s="5">
        <f t="shared" si="38"/>
        <v>17.651365906797054</v>
      </c>
      <c r="CR80" s="5">
        <v>76</v>
      </c>
      <c r="CS80" s="5">
        <f t="shared" si="39"/>
        <v>0</v>
      </c>
      <c r="CT80" s="5">
        <f t="shared" si="40"/>
        <v>0</v>
      </c>
      <c r="CU80" s="5">
        <f t="shared" si="41"/>
        <v>0</v>
      </c>
      <c r="CV80" s="5">
        <f t="shared" si="42"/>
        <v>0</v>
      </c>
      <c r="CW80" s="5">
        <f t="shared" si="43"/>
        <v>0</v>
      </c>
      <c r="CX80" s="5">
        <f t="shared" si="54"/>
        <v>0</v>
      </c>
      <c r="CY80" s="5">
        <f t="shared" si="55"/>
        <v>0</v>
      </c>
      <c r="CZ80" s="5">
        <f t="shared" si="56"/>
        <v>0</v>
      </c>
      <c r="DA80" s="5">
        <f t="shared" si="57"/>
        <v>0</v>
      </c>
      <c r="DB80" s="5">
        <f t="shared" si="58"/>
        <v>0</v>
      </c>
    </row>
    <row r="81" spans="2:106" x14ac:dyDescent="0.15">
      <c r="B81" s="5">
        <v>15</v>
      </c>
      <c r="C81" s="5">
        <f>SUM(C$6:C20)</f>
        <v>0</v>
      </c>
      <c r="D81" s="5">
        <f>SUM(D$6:D20)</f>
        <v>1377600</v>
      </c>
      <c r="E81" s="5">
        <f>SUM(E$6:E20)</f>
        <v>1800</v>
      </c>
      <c r="F81" s="5">
        <f>SUM(F$6:F20)</f>
        <v>460800</v>
      </c>
      <c r="G81" s="5">
        <f>SUM(G$6:G20)</f>
        <v>0</v>
      </c>
      <c r="H81" s="5">
        <f>SUM(H$6:H20)</f>
        <v>315600</v>
      </c>
      <c r="I81" s="5">
        <f>SUM(I$6:I20)</f>
        <v>1896000</v>
      </c>
      <c r="J81" s="5">
        <f>SUM(J$6:J20)</f>
        <v>768000</v>
      </c>
      <c r="K81" s="5">
        <f>SUM(K$6:K20)</f>
        <v>1320</v>
      </c>
      <c r="L81" s="5">
        <f>SUM(L$6:L20)</f>
        <v>0</v>
      </c>
      <c r="M81" s="5">
        <f>SUM(M$6:M20)</f>
        <v>30</v>
      </c>
      <c r="N81" s="5">
        <f>SUM(N$6:N20)</f>
        <v>0</v>
      </c>
      <c r="O81" s="5">
        <f>SUM(O$6:O20)</f>
        <v>0</v>
      </c>
      <c r="P81" s="5">
        <f>SUM(P$6:P20)</f>
        <v>0</v>
      </c>
      <c r="Q81" s="5">
        <f>SUM(Q$6:Q20)</f>
        <v>0</v>
      </c>
      <c r="S81" s="5">
        <v>15</v>
      </c>
      <c r="T81" s="5">
        <f>T20+1</f>
        <v>46</v>
      </c>
      <c r="U81" s="5">
        <f>U20+1</f>
        <v>45.025655342302272</v>
      </c>
      <c r="V81" s="5">
        <f>V20+1</f>
        <v>43.139777644042496</v>
      </c>
      <c r="W81" s="5">
        <f>W20+1</f>
        <v>39.966484133589248</v>
      </c>
      <c r="X81" s="5">
        <f>X20+1</f>
        <v>38.496918416233719</v>
      </c>
      <c r="AA81" s="5">
        <v>77</v>
      </c>
      <c r="AB81" s="5">
        <f>求节点(T$6:T$44,$C$67:$C$105,$AA81)</f>
        <v>0</v>
      </c>
      <c r="AC81" s="5">
        <f>求节点(U$6:U$44,$C$67:$C$105,$AA81)</f>
        <v>0</v>
      </c>
      <c r="AD81" s="5">
        <f>求节点(V$6:V$44,$C$67:$C$105,$AA81)</f>
        <v>0</v>
      </c>
      <c r="AE81" s="5">
        <f>求节点(W$6:W$44,$C$67:$C$105,$AA81)</f>
        <v>0</v>
      </c>
      <c r="AF81" s="5">
        <f>求节点(X$6:X$44,$C$67:$C$105,$AA81)</f>
        <v>0</v>
      </c>
      <c r="AG81" s="5">
        <f>求节点(T$6:T$44,$D$67:$D$105,$AA81)+求节点(T$67:T$105,$Q$67:$Q$105,$AA81)</f>
        <v>16595400</v>
      </c>
      <c r="AH81" s="5">
        <f>求节点(U$6:U$44,$D$67:$D$105,$AA81)+求节点(U$67:U$105,$Q$67:$Q$105,$AA81)</f>
        <v>19762826.407955937</v>
      </c>
      <c r="AI81" s="5">
        <f>求节点(V$6:V$44,$D$67:$D$105,$AA81)+求节点(V$67:V$105,$Q$67:$Q$105,$AA81)</f>
        <v>23387252.173094735</v>
      </c>
      <c r="AJ81" s="5">
        <f>求节点(W$6:W$44,$D$67:$D$105,$AA81)+求节点(W$67:W$105,$Q$67:$Q$105,$AA81)</f>
        <v>30436441.531099007</v>
      </c>
      <c r="AK81" s="5">
        <f>求节点(X$6:X$44,$D$67:$D$105,$AA81)+求节点(X$67:X$105,$Q$67:$Q$105,$AA81)</f>
        <v>34571400.654814623</v>
      </c>
      <c r="AL81" s="5">
        <f>求节点(T$6:T$44,$F$67:$F$105,$AA81)+求节点(T$67:T$105,$P$67:$P$105,$AA81)</f>
        <v>985600</v>
      </c>
      <c r="AM81" s="5">
        <f>求节点(U$6:U$44,$F$67:$F$105,$AA81)+求节点(U$67:U$105,$P$67:$P$105,$AA81)</f>
        <v>1035626.6053794379</v>
      </c>
      <c r="AN81" s="5">
        <f>求节点(V$6:V$44,$F$67:$F$105,$AA81)+求节点(V$67:V$105,$P$67:$P$105,$AA81)</f>
        <v>1087750.1279732035</v>
      </c>
      <c r="AO81" s="5">
        <f>求节点(W$6:W$44,$F$67:$F$105,$AA81)+求节点(W$67:W$105,$P$67:$P$105,$AA81)</f>
        <v>1181328.0747739766</v>
      </c>
      <c r="AP81" s="5">
        <f>求节点(X$6:X$44,$F$67:$F$105,$AA81)+求节点(X$67:X$105,$P$67:$P$105,$AA81)</f>
        <v>1231162.8415694812</v>
      </c>
      <c r="AQ81" s="5">
        <f>求节点(T$6:T$44,$H$67:$H$105,$AA81)</f>
        <v>603600</v>
      </c>
      <c r="AR81" s="5">
        <f>求节点(U$6:U$44,$H$67:$H$105,$AA81)</f>
        <v>627086.56950592482</v>
      </c>
      <c r="AS81" s="5">
        <f>求节点(V$6:V$44,$H$67:$H$105,$AA81)</f>
        <v>651031.87635145616</v>
      </c>
      <c r="AT81" s="5">
        <f>求节点(W$6:W$44,$H$67:$H$105,$AA81)</f>
        <v>692774.15063557785</v>
      </c>
      <c r="AU81" s="5">
        <f>求节点(X$6:X$44,$H$67:$H$105,$AA81)</f>
        <v>714353.15260217933</v>
      </c>
      <c r="AV81" s="5">
        <f>求节点(T$6:T$44,$I$67:$I$105,$AA81)</f>
        <v>9688666.666666666</v>
      </c>
      <c r="AW81" s="5">
        <f>求节点(U$6:U$44,$I$67:$I$105,$AA81)</f>
        <v>10601951.225678366</v>
      </c>
      <c r="AX81" s="5">
        <f>求节点(V$6:V$44,$I$67:$I$105,$AA81)</f>
        <v>11555815.471025236</v>
      </c>
      <c r="AY81" s="5">
        <f>求节点(W$6:W$44,$I$67:$I$105,$AA81)</f>
        <v>13250293.111126177</v>
      </c>
      <c r="AZ81" s="5">
        <f>求节点(X$6:X$44,$I$67:$I$105,$AA81)</f>
        <v>14144871.515349664</v>
      </c>
      <c r="BA81" s="5">
        <f>求节点(T$6:T$44,$E$67:$E$105,$AA81)+求节点(T$6:T$44,$K$67:$K$105,$AA81)+求节点(T$67:T$105,$O$67:$O$105,$AA81)</f>
        <v>5338.6666666666661</v>
      </c>
      <c r="BB81" s="5">
        <f>求节点(U$6:U$44,$E$67:$E$105,$AA81)+求节点(U$6:U$44,$K$67:$K$105,$AA81)+求节点(U$67:U$105,$O$67:$O$105,$AA81)</f>
        <v>5519.6002391567545</v>
      </c>
      <c r="BC81" s="5">
        <f>求节点(V$6:V$44,$E$67:$E$105,$AA81)+求节点(V$6:V$44,$K$67:$K$105,$AA81)+求节点(V$67:V$105,$O$67:$O$105,$AA81)</f>
        <v>5704.0677881889951</v>
      </c>
      <c r="BD81" s="5">
        <f>求节点(W$6:W$44,$E$67:$E$105,$AA81)+求节点(W$6:W$44,$K$67:$K$105,$AA81)+求节点(W$67:W$105,$O$67:$O$105,$AA81)</f>
        <v>6025.6379011926001</v>
      </c>
      <c r="BE81" s="5">
        <f>求节点(X$6:X$44,$E$67:$E$105,$AA81)+求节点(X$6:X$44,$K$67:$K$105,$AA81)+求节点(X$67:X$105,$O$67:$O$105,$AA81)</f>
        <v>6191.8761385649377</v>
      </c>
      <c r="BF81" s="5">
        <f>求节点(T$6:T$44,$G$67:$G$105,$AA81)</f>
        <v>0</v>
      </c>
      <c r="BG81" s="5">
        <f>求节点(U$6:U$44,$G$67:$G$105,$AA81)</f>
        <v>0</v>
      </c>
      <c r="BH81" s="5">
        <f>求节点(V$6:V$44,$G$67:$G$105,$AA81)</f>
        <v>0</v>
      </c>
      <c r="BI81" s="5">
        <f>求节点(W$6:W$44,$G$67:$G$105,$AA81)</f>
        <v>0</v>
      </c>
      <c r="BJ81" s="5">
        <f>求节点(X$6:X$44,$G$67:$G$105,$AA81)</f>
        <v>0</v>
      </c>
      <c r="BK81" s="5">
        <f>求节点(T$6:T$44,$M$67:$M$105,$AA81)</f>
        <v>51.333333333333336</v>
      </c>
      <c r="BL81" s="5">
        <f>求节点(U$6:U$44,$M$67:$M$105,$AA81)</f>
        <v>53.0730792226611</v>
      </c>
      <c r="BM81" s="5">
        <f>求节点(V$6:V$44,$M$67:$M$105,$AA81)</f>
        <v>54.846805655663417</v>
      </c>
      <c r="BN81" s="5">
        <f>求节点(W$6:W$44,$M$67:$M$105,$AA81)</f>
        <v>57.93882597300577</v>
      </c>
      <c r="BO81" s="5">
        <f>求节点(X$6:X$44,$M$67:$M$105,$AA81)</f>
        <v>59.537270563124395</v>
      </c>
      <c r="BP81" s="5">
        <f>求节点(T$67:T$105,$L$67:$L$105,$AA81)</f>
        <v>0</v>
      </c>
      <c r="BQ81" s="5">
        <f>求节点(U$67:U$105,$L$67:$L$105,$AA81)</f>
        <v>0</v>
      </c>
      <c r="BR81" s="5">
        <f>求节点(V$67:V$105,$L$67:$L$105,$AA81)</f>
        <v>0</v>
      </c>
      <c r="BS81" s="5">
        <f>求节点(W$67:W$105,$L$67:$L$105,$AA81)</f>
        <v>0</v>
      </c>
      <c r="BT81" s="5">
        <f>求节点(X$67:X$105,$L$67:$L$105,$AA81)</f>
        <v>0</v>
      </c>
      <c r="BZ81" s="5">
        <v>77</v>
      </c>
      <c r="CA81" s="5">
        <f t="shared" si="44"/>
        <v>5338.6666666666661</v>
      </c>
      <c r="CB81" s="5">
        <f t="shared" si="45"/>
        <v>5519.6002391567545</v>
      </c>
      <c r="CC81" s="5">
        <f t="shared" si="46"/>
        <v>5704.0677881889951</v>
      </c>
      <c r="CD81" s="5">
        <f t="shared" si="47"/>
        <v>6025.6379011926001</v>
      </c>
      <c r="CE81" s="5">
        <f t="shared" si="48"/>
        <v>6191.8761385649377</v>
      </c>
      <c r="CF81" s="5">
        <f>(CA81-CA80)/节奏总纲!W80</f>
        <v>4.9790927343600329</v>
      </c>
      <c r="CI81" s="5">
        <v>77</v>
      </c>
      <c r="CJ81" s="5">
        <f t="shared" si="49"/>
        <v>12320</v>
      </c>
      <c r="CK81" s="5">
        <f t="shared" si="50"/>
        <v>12737.539013438663</v>
      </c>
      <c r="CL81" s="5">
        <f t="shared" si="51"/>
        <v>13163.23335735922</v>
      </c>
      <c r="CM81" s="5">
        <f t="shared" si="52"/>
        <v>13905.318233521384</v>
      </c>
      <c r="CN81" s="5">
        <f t="shared" si="53"/>
        <v>14288.944935149855</v>
      </c>
      <c r="CO81" s="5">
        <f>(CJ81-CJ80)/节奏总纲!W80</f>
        <v>11.490214002369507</v>
      </c>
      <c r="CP81" s="5">
        <f t="shared" si="38"/>
        <v>16.469306736729539</v>
      </c>
      <c r="CR81" s="5">
        <v>77</v>
      </c>
      <c r="CS81" s="5">
        <f t="shared" si="39"/>
        <v>0</v>
      </c>
      <c r="CT81" s="5">
        <f t="shared" si="40"/>
        <v>0</v>
      </c>
      <c r="CU81" s="5">
        <f t="shared" si="41"/>
        <v>0</v>
      </c>
      <c r="CV81" s="5">
        <f t="shared" si="42"/>
        <v>0</v>
      </c>
      <c r="CW81" s="5">
        <f t="shared" si="43"/>
        <v>0</v>
      </c>
      <c r="CX81" s="5">
        <f t="shared" si="54"/>
        <v>0</v>
      </c>
      <c r="CY81" s="5">
        <f t="shared" si="55"/>
        <v>0</v>
      </c>
      <c r="CZ81" s="5">
        <f t="shared" si="56"/>
        <v>0</v>
      </c>
      <c r="DA81" s="5">
        <f t="shared" si="57"/>
        <v>0</v>
      </c>
      <c r="DB81" s="5">
        <f t="shared" si="58"/>
        <v>0</v>
      </c>
    </row>
    <row r="82" spans="2:106" x14ac:dyDescent="0.15">
      <c r="B82" s="5">
        <v>16</v>
      </c>
      <c r="C82" s="5">
        <f>SUM(C$6:C21)</f>
        <v>0</v>
      </c>
      <c r="D82" s="5">
        <f>SUM(D$6:D21)</f>
        <v>1857000</v>
      </c>
      <c r="E82" s="5">
        <f>SUM(E$6:E21)</f>
        <v>1920</v>
      </c>
      <c r="F82" s="5">
        <f>SUM(F$6:F21)</f>
        <v>502800</v>
      </c>
      <c r="G82" s="5">
        <f>SUM(G$6:G21)</f>
        <v>0</v>
      </c>
      <c r="H82" s="5">
        <f>SUM(H$6:H21)</f>
        <v>342600</v>
      </c>
      <c r="I82" s="5">
        <f>SUM(I$6:I21)</f>
        <v>2316000</v>
      </c>
      <c r="J82" s="5">
        <f>SUM(J$6:J21)</f>
        <v>838000</v>
      </c>
      <c r="K82" s="5">
        <f>SUM(K$6:K21)</f>
        <v>1408</v>
      </c>
      <c r="L82" s="5">
        <f>SUM(L$6:L21)</f>
        <v>0</v>
      </c>
      <c r="M82" s="5">
        <f>SUM(M$6:M21)</f>
        <v>32</v>
      </c>
      <c r="N82" s="5">
        <f>SUM(N$6:N21)</f>
        <v>0</v>
      </c>
      <c r="O82" s="5">
        <f>SUM(O$6:O21)</f>
        <v>0</v>
      </c>
      <c r="P82" s="5">
        <f>SUM(P$6:P21)</f>
        <v>0</v>
      </c>
      <c r="Q82" s="5">
        <f>SUM(Q$6:Q21)</f>
        <v>0</v>
      </c>
      <c r="S82" s="5">
        <v>16</v>
      </c>
      <c r="T82" s="5">
        <f>T21+1</f>
        <v>49</v>
      </c>
      <c r="U82" s="5">
        <f>U21+1</f>
        <v>47.927182157769252</v>
      </c>
      <c r="V82" s="5">
        <f>V21+1</f>
        <v>46.00366434730347</v>
      </c>
      <c r="W82" s="5">
        <f>W21+1</f>
        <v>42.312198404052296</v>
      </c>
      <c r="X82" s="5">
        <f>X21+1</f>
        <v>40.609584229605339</v>
      </c>
      <c r="AA82" s="5">
        <v>78</v>
      </c>
      <c r="AB82" s="5">
        <f>求节点(T$6:T$44,$C$67:$C$105,$AA82)</f>
        <v>0</v>
      </c>
      <c r="AC82" s="5">
        <f>求节点(U$6:U$44,$C$67:$C$105,$AA82)</f>
        <v>0</v>
      </c>
      <c r="AD82" s="5">
        <f>求节点(V$6:V$44,$C$67:$C$105,$AA82)</f>
        <v>0</v>
      </c>
      <c r="AE82" s="5">
        <f>求节点(W$6:W$44,$C$67:$C$105,$AA82)</f>
        <v>0</v>
      </c>
      <c r="AF82" s="5">
        <f>求节点(X$6:X$44,$C$67:$C$105,$AA82)</f>
        <v>0</v>
      </c>
      <c r="AG82" s="5">
        <f>求节点(T$6:T$44,$D$67:$D$105,$AA82)+求节点(T$67:T$105,$Q$67:$Q$105,$AA82)</f>
        <v>17670000</v>
      </c>
      <c r="AH82" s="5">
        <f>求节点(U$6:U$44,$D$67:$D$105,$AA82)+求节点(U$67:U$105,$Q$67:$Q$105,$AA82)</f>
        <v>21261771.179226495</v>
      </c>
      <c r="AI82" s="5">
        <f>求节点(V$6:V$44,$D$67:$D$105,$AA82)+求节点(V$67:V$105,$Q$67:$Q$105,$AA82)</f>
        <v>25097186.304818042</v>
      </c>
      <c r="AJ82" s="5">
        <f>求节点(W$6:W$44,$D$67:$D$105,$AA82)+求节点(W$67:W$105,$Q$67:$Q$105,$AA82)</f>
        <v>32904573.90460217</v>
      </c>
      <c r="AK82" s="5">
        <f>求节点(X$6:X$44,$D$67:$D$105,$AA82)+求节点(X$67:X$105,$Q$67:$Q$105,$AA82)</f>
        <v>37150646.96395465</v>
      </c>
      <c r="AL82" s="5">
        <f>求节点(T$6:T$44,$F$67:$F$105,$AA82)+求节点(T$67:T$105,$P$67:$P$105,$AA82)</f>
        <v>1004400</v>
      </c>
      <c r="AM82" s="5">
        <f>求节点(U$6:U$44,$F$67:$F$105,$AA82)+求节点(U$67:U$105,$P$67:$P$105,$AA82)</f>
        <v>1057992.0326695847</v>
      </c>
      <c r="AN82" s="5">
        <f>求节点(V$6:V$44,$F$67:$F$105,$AA82)+求节点(V$67:V$105,$P$67:$P$105,$AA82)</f>
        <v>1111422.8281606748</v>
      </c>
      <c r="AO82" s="5">
        <f>求节点(W$6:W$44,$F$67:$F$105,$AA82)+求节点(W$67:W$105,$P$67:$P$105,$AA82)</f>
        <v>1211129.3292590575</v>
      </c>
      <c r="AP82" s="5">
        <f>求节点(X$6:X$44,$F$67:$F$105,$AA82)+求节点(X$67:X$105,$P$67:$P$105,$AA82)</f>
        <v>1262162.6816423533</v>
      </c>
      <c r="AQ82" s="5">
        <f>求节点(T$6:T$44,$H$67:$H$105,$AA82)</f>
        <v>612600</v>
      </c>
      <c r="AR82" s="5">
        <f>求节点(U$6:U$44,$H$67:$H$105,$AA82)</f>
        <v>637462.28319722996</v>
      </c>
      <c r="AS82" s="5">
        <f>求节点(V$6:V$44,$H$67:$H$105,$AA82)</f>
        <v>661792.19461848855</v>
      </c>
      <c r="AT82" s="5">
        <f>求节点(W$6:W$44,$H$67:$H$105,$AA82)</f>
        <v>705684.80592939991</v>
      </c>
      <c r="AU82" s="5">
        <f>求节点(X$6:X$44,$H$67:$H$105,$AA82)</f>
        <v>727766.54494140286</v>
      </c>
      <c r="AV82" s="5">
        <f>求节点(T$6:T$44,$I$67:$I$105,$AA82)</f>
        <v>10030000</v>
      </c>
      <c r="AW82" s="5">
        <f>求节点(U$6:U$44,$I$67:$I$105,$AA82)</f>
        <v>11011599.773638785</v>
      </c>
      <c r="AX82" s="5">
        <f>求节点(V$6:V$44,$I$67:$I$105,$AA82)</f>
        <v>11988619.383543652</v>
      </c>
      <c r="AY82" s="5">
        <f>求节点(W$6:W$44,$I$67:$I$105,$AA82)</f>
        <v>13785295.653367702</v>
      </c>
      <c r="AZ82" s="5">
        <f>求节点(X$6:X$44,$I$67:$I$105,$AA82)</f>
        <v>14705525.742719766</v>
      </c>
      <c r="BA82" s="5">
        <f>求节点(T$6:T$44,$E$67:$E$105,$AA82)+求节点(T$6:T$44,$K$67:$K$105,$AA82)+求节点(T$67:T$105,$O$67:$O$105,$AA82)</f>
        <v>5408</v>
      </c>
      <c r="BB82" s="5">
        <f>求节点(U$6:U$44,$E$67:$E$105,$AA82)+求节点(U$6:U$44,$K$67:$K$105,$AA82)+求节点(U$67:U$105,$O$67:$O$105,$AA82)</f>
        <v>5599.5316631490314</v>
      </c>
      <c r="BC82" s="5">
        <f>求节点(V$6:V$44,$E$67:$E$105,$AA82)+求节点(V$6:V$44,$K$67:$K$105,$AA82)+求节点(V$67:V$105,$O$67:$O$105,$AA82)</f>
        <v>5786.9620918757646</v>
      </c>
      <c r="BD82" s="5">
        <f>求节点(W$6:W$44,$E$67:$E$105,$AA82)+求节点(W$6:W$44,$K$67:$K$105,$AA82)+求节点(W$67:W$105,$O$67:$O$105,$AA82)</f>
        <v>6125.0977641968584</v>
      </c>
      <c r="BE82" s="5">
        <f>求节点(X$6:X$44,$E$67:$E$105,$AA82)+求节点(X$6:X$44,$K$67:$K$105,$AA82)+求节点(X$67:X$105,$O$67:$O$105,$AA82)</f>
        <v>6295.2089388078439</v>
      </c>
      <c r="BF82" s="5">
        <f>求节点(T$6:T$44,$G$67:$G$105,$AA82)</f>
        <v>0</v>
      </c>
      <c r="BG82" s="5">
        <f>求节点(U$6:U$44,$G$67:$G$105,$AA82)</f>
        <v>0</v>
      </c>
      <c r="BH82" s="5">
        <f>求节点(V$6:V$44,$G$67:$G$105,$AA82)</f>
        <v>0</v>
      </c>
      <c r="BI82" s="5">
        <f>求节点(W$6:W$44,$G$67:$G$105,$AA82)</f>
        <v>0</v>
      </c>
      <c r="BJ82" s="5">
        <f>求节点(X$6:X$44,$G$67:$G$105,$AA82)</f>
        <v>0</v>
      </c>
      <c r="BK82" s="5">
        <f>求节点(T$6:T$44,$M$67:$M$105,$AA82)</f>
        <v>52</v>
      </c>
      <c r="BL82" s="5">
        <f>求节点(U$6:U$44,$M$67:$M$105,$AA82)</f>
        <v>53.841650607202226</v>
      </c>
      <c r="BM82" s="5">
        <f>求节点(V$6:V$44,$M$67:$M$105,$AA82)</f>
        <v>55.643866268036192</v>
      </c>
      <c r="BN82" s="5">
        <f>求节点(W$6:W$44,$M$67:$M$105,$AA82)</f>
        <v>58.895170809585181</v>
      </c>
      <c r="BO82" s="5">
        <f>求节点(X$6:X$44,$M$67:$M$105,$AA82)</f>
        <v>60.530855180844661</v>
      </c>
      <c r="BP82" s="5">
        <f>求节点(T$67:T$105,$L$67:$L$105,$AA82)</f>
        <v>0</v>
      </c>
      <c r="BQ82" s="5">
        <f>求节点(U$67:U$105,$L$67:$L$105,$AA82)</f>
        <v>0</v>
      </c>
      <c r="BR82" s="5">
        <f>求节点(V$67:V$105,$L$67:$L$105,$AA82)</f>
        <v>0</v>
      </c>
      <c r="BS82" s="5">
        <f>求节点(W$67:W$105,$L$67:$L$105,$AA82)</f>
        <v>0</v>
      </c>
      <c r="BT82" s="5">
        <f>求节点(X$67:X$105,$L$67:$L$105,$AA82)</f>
        <v>0</v>
      </c>
      <c r="BZ82" s="5">
        <v>78</v>
      </c>
      <c r="CA82" s="5">
        <f t="shared" si="44"/>
        <v>5408</v>
      </c>
      <c r="CB82" s="5">
        <f t="shared" si="45"/>
        <v>5599.5316631490314</v>
      </c>
      <c r="CC82" s="5">
        <f t="shared" si="46"/>
        <v>5786.9620918757646</v>
      </c>
      <c r="CD82" s="5">
        <f t="shared" si="47"/>
        <v>6125.0977641968584</v>
      </c>
      <c r="CE82" s="5">
        <f t="shared" si="48"/>
        <v>6295.2089388078439</v>
      </c>
      <c r="CF82" s="5">
        <f>(CA82-CA81)/节奏总纲!W81</f>
        <v>4.6456577890792428</v>
      </c>
      <c r="CI82" s="5">
        <v>78</v>
      </c>
      <c r="CJ82" s="5">
        <f t="shared" si="49"/>
        <v>12480</v>
      </c>
      <c r="CK82" s="5">
        <f t="shared" si="50"/>
        <v>12921.996145728534</v>
      </c>
      <c r="CL82" s="5">
        <f t="shared" si="51"/>
        <v>13354.527904328686</v>
      </c>
      <c r="CM82" s="5">
        <f t="shared" si="52"/>
        <v>14134.840994300444</v>
      </c>
      <c r="CN82" s="5">
        <f t="shared" si="53"/>
        <v>14527.405243402718</v>
      </c>
      <c r="CO82" s="5">
        <f>(CJ82-CJ81)/节奏总纲!W81</f>
        <v>10.720748744028928</v>
      </c>
      <c r="CP82" s="5">
        <f t="shared" si="38"/>
        <v>15.366406533108171</v>
      </c>
      <c r="CR82" s="5">
        <v>78</v>
      </c>
      <c r="CS82" s="5">
        <f t="shared" si="39"/>
        <v>0</v>
      </c>
      <c r="CT82" s="5">
        <f t="shared" si="40"/>
        <v>0</v>
      </c>
      <c r="CU82" s="5">
        <f t="shared" si="41"/>
        <v>0</v>
      </c>
      <c r="CV82" s="5">
        <f t="shared" si="42"/>
        <v>0</v>
      </c>
      <c r="CW82" s="5">
        <f t="shared" si="43"/>
        <v>0</v>
      </c>
      <c r="CX82" s="5">
        <f t="shared" si="54"/>
        <v>0</v>
      </c>
      <c r="CY82" s="5">
        <f t="shared" si="55"/>
        <v>0</v>
      </c>
      <c r="CZ82" s="5">
        <f t="shared" si="56"/>
        <v>0</v>
      </c>
      <c r="DA82" s="5">
        <f t="shared" si="57"/>
        <v>0</v>
      </c>
      <c r="DB82" s="5">
        <f t="shared" si="58"/>
        <v>0</v>
      </c>
    </row>
    <row r="83" spans="2:106" x14ac:dyDescent="0.15">
      <c r="B83" s="5">
        <v>17</v>
      </c>
      <c r="C83" s="5">
        <f>SUM(C$6:C22)</f>
        <v>0</v>
      </c>
      <c r="D83" s="5">
        <f>SUM(D$6:D22)</f>
        <v>2436600</v>
      </c>
      <c r="E83" s="5">
        <f>SUM(E$6:E22)</f>
        <v>2040</v>
      </c>
      <c r="F83" s="5">
        <f>SUM(F$6:F22)</f>
        <v>546600</v>
      </c>
      <c r="G83" s="5">
        <f>SUM(G$6:G22)</f>
        <v>0</v>
      </c>
      <c r="H83" s="5">
        <f>SUM(H$6:H22)</f>
        <v>369600</v>
      </c>
      <c r="I83" s="5">
        <f>SUM(I$6:I22)</f>
        <v>2784000</v>
      </c>
      <c r="J83" s="5">
        <f>SUM(J$6:J22)</f>
        <v>910000</v>
      </c>
      <c r="K83" s="5">
        <f>SUM(K$6:K22)</f>
        <v>1496</v>
      </c>
      <c r="L83" s="5">
        <f>SUM(L$6:L22)</f>
        <v>0</v>
      </c>
      <c r="M83" s="5">
        <f>SUM(M$6:M22)</f>
        <v>34</v>
      </c>
      <c r="N83" s="5">
        <f>SUM(N$6:N22)</f>
        <v>0</v>
      </c>
      <c r="O83" s="5">
        <f>SUM(O$6:O22)</f>
        <v>0</v>
      </c>
      <c r="P83" s="5">
        <f>SUM(P$6:P22)</f>
        <v>0</v>
      </c>
      <c r="Q83" s="5">
        <f>SUM(Q$6:Q22)</f>
        <v>0</v>
      </c>
      <c r="S83" s="5">
        <v>17</v>
      </c>
      <c r="T83" s="5">
        <f>T22+1</f>
        <v>52</v>
      </c>
      <c r="U83" s="5">
        <f>U22+1</f>
        <v>51.17601066521982</v>
      </c>
      <c r="V83" s="5">
        <f>V22+1</f>
        <v>49.114727522013901</v>
      </c>
      <c r="W83" s="5">
        <f>W22+1</f>
        <v>45.142666529165915</v>
      </c>
      <c r="X83" s="5">
        <f>X22+1</f>
        <v>43.314284870508764</v>
      </c>
      <c r="AA83" s="5">
        <v>79</v>
      </c>
      <c r="AB83" s="5">
        <f>求节点(T$6:T$44,$C$67:$C$105,$AA83)</f>
        <v>0</v>
      </c>
      <c r="AC83" s="5">
        <f>求节点(U$6:U$44,$C$67:$C$105,$AA83)</f>
        <v>0</v>
      </c>
      <c r="AD83" s="5">
        <f>求节点(V$6:V$44,$C$67:$C$105,$AA83)</f>
        <v>0</v>
      </c>
      <c r="AE83" s="5">
        <f>求节点(W$6:W$44,$C$67:$C$105,$AA83)</f>
        <v>0</v>
      </c>
      <c r="AF83" s="5">
        <f>求节点(X$6:X$44,$C$67:$C$105,$AA83)</f>
        <v>0</v>
      </c>
      <c r="AG83" s="5">
        <f>求节点(T$6:T$44,$D$67:$D$105,$AA83)+求节点(T$67:T$105,$Q$67:$Q$105,$AA83)</f>
        <v>18970200</v>
      </c>
      <c r="AH83" s="5">
        <f>求节点(U$6:U$44,$D$67:$D$105,$AA83)+求节点(U$67:U$105,$Q$67:$Q$105,$AA83)</f>
        <v>22898817.352534823</v>
      </c>
      <c r="AI83" s="5">
        <f>求节点(V$6:V$44,$D$67:$D$105,$AA83)+求节点(V$67:V$105,$Q$67:$Q$105,$AA83)</f>
        <v>26762605.55503884</v>
      </c>
      <c r="AJ83" s="5">
        <f>求节点(W$6:W$44,$D$67:$D$105,$AA83)+求节点(W$67:W$105,$Q$67:$Q$105,$AA83)</f>
        <v>35416647.86382062</v>
      </c>
      <c r="AK83" s="5">
        <f>求节点(X$6:X$44,$D$67:$D$105,$AA83)+求节点(X$67:X$105,$Q$67:$Q$105,$AA83)</f>
        <v>39548298.429178476</v>
      </c>
      <c r="AL83" s="5">
        <f>求节点(T$6:T$44,$F$67:$F$105,$AA83)+求节点(T$67:T$105,$P$67:$P$105,$AA83)</f>
        <v>1023800</v>
      </c>
      <c r="AM83" s="5">
        <f>求节点(U$6:U$44,$F$67:$F$105,$AA83)+求节点(U$67:U$105,$P$67:$P$105,$AA83)</f>
        <v>1080988.1300378894</v>
      </c>
      <c r="AN83" s="5">
        <f>求节点(V$6:V$44,$F$67:$F$105,$AA83)+求节点(V$67:V$105,$P$67:$P$105,$AA83)</f>
        <v>1133688.7066633564</v>
      </c>
      <c r="AO83" s="5">
        <f>求节点(W$6:W$44,$F$67:$F$105,$AA83)+求节点(W$67:W$105,$P$67:$P$105,$AA83)</f>
        <v>1241321.8280177217</v>
      </c>
      <c r="AP83" s="5">
        <f>求节点(X$6:X$44,$F$67:$F$105,$AA83)+求节点(X$67:X$105,$P$67:$P$105,$AA83)</f>
        <v>1290979.941827639</v>
      </c>
      <c r="AQ83" s="5">
        <f>求节点(T$6:T$44,$H$67:$H$105,$AA83)</f>
        <v>621600</v>
      </c>
      <c r="AR83" s="5">
        <f>求节点(U$6:U$44,$H$67:$H$105,$AA83)</f>
        <v>647958.24092631333</v>
      </c>
      <c r="AS83" s="5">
        <f>求节点(V$6:V$44,$H$67:$H$105,$AA83)</f>
        <v>671756.7823514808</v>
      </c>
      <c r="AT83" s="5">
        <f>求节点(W$6:W$44,$H$67:$H$105,$AA83)</f>
        <v>718748.86789228336</v>
      </c>
      <c r="AU83" s="5">
        <f>求节点(X$6:X$44,$H$67:$H$105,$AA83)</f>
        <v>740235.55175234389</v>
      </c>
      <c r="AV83" s="5">
        <f>求节点(T$6:T$44,$I$67:$I$105,$AA83)</f>
        <v>10385333.333333334</v>
      </c>
      <c r="AW83" s="5">
        <f>求节点(U$6:U$44,$I$67:$I$105,$AA83)</f>
        <v>11432187.023925049</v>
      </c>
      <c r="AX83" s="5">
        <f>求节点(V$6:V$44,$I$67:$I$105,$AA83)</f>
        <v>12392473.116715994</v>
      </c>
      <c r="AY83" s="5">
        <f>求节点(W$6:W$44,$I$67:$I$105,$AA83)</f>
        <v>14327212.297753977</v>
      </c>
      <c r="AZ83" s="5">
        <f>求节点(X$6:X$44,$I$67:$I$105,$AA83)</f>
        <v>15230147.65891343</v>
      </c>
      <c r="BA83" s="5">
        <f>求节点(T$6:T$44,$E$67:$E$105,$AA83)+求节点(T$6:T$44,$K$67:$K$105,$AA83)+求节点(T$67:T$105,$O$67:$O$105,$AA83)</f>
        <v>5477.3333333333339</v>
      </c>
      <c r="BB83" s="5">
        <f>求节点(U$6:U$44,$E$67:$E$105,$AA83)+求节点(U$6:U$44,$K$67:$K$105,$AA83)+求节点(U$67:U$105,$O$67:$O$105,$AA83)</f>
        <v>5680.3894115804887</v>
      </c>
      <c r="BC83" s="5">
        <f>求节点(V$6:V$44,$E$67:$E$105,$AA83)+求节点(V$6:V$44,$K$67:$K$105,$AA83)+求节点(V$67:V$105,$O$67:$O$105,$AA83)</f>
        <v>5863.7263233002959</v>
      </c>
      <c r="BD83" s="5">
        <f>求节点(W$6:W$44,$E$67:$E$105,$AA83)+求节点(W$6:W$44,$K$67:$K$105,$AA83)+求节点(W$67:W$105,$O$67:$O$105,$AA83)</f>
        <v>6225.7394267257387</v>
      </c>
      <c r="BE83" s="5">
        <f>求节点(X$6:X$44,$E$67:$E$105,$AA83)+求节点(X$6:X$44,$K$67:$K$105,$AA83)+求节点(X$67:X$105,$O$67:$O$105,$AA83)</f>
        <v>6391.2664727587962</v>
      </c>
      <c r="BF83" s="5">
        <f>求节点(T$6:T$44,$G$67:$G$105,$AA83)</f>
        <v>0</v>
      </c>
      <c r="BG83" s="5">
        <f>求节点(U$6:U$44,$G$67:$G$105,$AA83)</f>
        <v>0</v>
      </c>
      <c r="BH83" s="5">
        <f>求节点(V$6:V$44,$G$67:$G$105,$AA83)</f>
        <v>0</v>
      </c>
      <c r="BI83" s="5">
        <f>求节点(W$6:W$44,$G$67:$G$105,$AA83)</f>
        <v>0</v>
      </c>
      <c r="BJ83" s="5">
        <f>求节点(X$6:X$44,$G$67:$G$105,$AA83)</f>
        <v>0</v>
      </c>
      <c r="BK83" s="5">
        <f>求节点(T$6:T$44,$M$67:$M$105,$AA83)</f>
        <v>52.666666666666664</v>
      </c>
      <c r="BL83" s="5">
        <f>求节点(U$6:U$44,$M$67:$M$105,$AA83)</f>
        <v>54.619128957504692</v>
      </c>
      <c r="BM83" s="5">
        <f>求节点(V$6:V$44,$M$67:$M$105,$AA83)</f>
        <v>56.381983877887464</v>
      </c>
      <c r="BN83" s="5">
        <f>求节点(W$6:W$44,$M$67:$M$105,$AA83)</f>
        <v>59.862879103132101</v>
      </c>
      <c r="BO83" s="5">
        <f>求节点(X$6:X$44,$M$67:$M$105,$AA83)</f>
        <v>61.454485314988432</v>
      </c>
      <c r="BP83" s="5">
        <f>求节点(T$67:T$105,$L$67:$L$105,$AA83)</f>
        <v>0</v>
      </c>
      <c r="BQ83" s="5">
        <f>求节点(U$67:U$105,$L$67:$L$105,$AA83)</f>
        <v>0</v>
      </c>
      <c r="BR83" s="5">
        <f>求节点(V$67:V$105,$L$67:$L$105,$AA83)</f>
        <v>0</v>
      </c>
      <c r="BS83" s="5">
        <f>求节点(W$67:W$105,$L$67:$L$105,$AA83)</f>
        <v>0</v>
      </c>
      <c r="BT83" s="5">
        <f>求节点(X$67:X$105,$L$67:$L$105,$AA83)</f>
        <v>0</v>
      </c>
      <c r="BZ83" s="5">
        <v>79</v>
      </c>
      <c r="CA83" s="5">
        <f t="shared" si="44"/>
        <v>5477.3333333333339</v>
      </c>
      <c r="CB83" s="5">
        <f t="shared" si="45"/>
        <v>5680.3894115804887</v>
      </c>
      <c r="CC83" s="5">
        <f t="shared" si="46"/>
        <v>5863.7263233002959</v>
      </c>
      <c r="CD83" s="5">
        <f t="shared" si="47"/>
        <v>6225.7394267257387</v>
      </c>
      <c r="CE83" s="5">
        <f t="shared" si="48"/>
        <v>6391.2664727587962</v>
      </c>
      <c r="CF83" s="5">
        <f>(CA83-CA82)/节奏总纲!W82</f>
        <v>4.3345519846008864</v>
      </c>
      <c r="CI83" s="5">
        <v>79</v>
      </c>
      <c r="CJ83" s="5">
        <f t="shared" si="49"/>
        <v>12640</v>
      </c>
      <c r="CK83" s="5">
        <f t="shared" si="50"/>
        <v>13108.590949801126</v>
      </c>
      <c r="CL83" s="5">
        <f t="shared" si="51"/>
        <v>13531.676130692991</v>
      </c>
      <c r="CM83" s="5">
        <f t="shared" si="52"/>
        <v>14367.090984751705</v>
      </c>
      <c r="CN83" s="5">
        <f t="shared" si="53"/>
        <v>14749.076475597223</v>
      </c>
      <c r="CO83" s="5">
        <f>(CJ83-CJ82)/节奏总纲!W82</f>
        <v>10.002812272155804</v>
      </c>
      <c r="CP83" s="5">
        <f t="shared" si="38"/>
        <v>14.33736425675669</v>
      </c>
      <c r="CR83" s="5">
        <v>79</v>
      </c>
      <c r="CS83" s="5">
        <f t="shared" si="39"/>
        <v>0</v>
      </c>
      <c r="CT83" s="5">
        <f t="shared" si="40"/>
        <v>0</v>
      </c>
      <c r="CU83" s="5">
        <f t="shared" si="41"/>
        <v>0</v>
      </c>
      <c r="CV83" s="5">
        <f t="shared" si="42"/>
        <v>0</v>
      </c>
      <c r="CW83" s="5">
        <f t="shared" si="43"/>
        <v>0</v>
      </c>
      <c r="CX83" s="5">
        <f t="shared" si="54"/>
        <v>0</v>
      </c>
      <c r="CY83" s="5">
        <f t="shared" si="55"/>
        <v>0</v>
      </c>
      <c r="CZ83" s="5">
        <f t="shared" si="56"/>
        <v>0</v>
      </c>
      <c r="DA83" s="5">
        <f t="shared" si="57"/>
        <v>0</v>
      </c>
      <c r="DB83" s="5">
        <f t="shared" si="58"/>
        <v>0</v>
      </c>
    </row>
    <row r="84" spans="2:106" x14ac:dyDescent="0.15">
      <c r="B84" s="5">
        <v>18</v>
      </c>
      <c r="C84" s="5">
        <f>SUM(C$6:C23)</f>
        <v>0</v>
      </c>
      <c r="D84" s="5">
        <f>SUM(D$6:D23)</f>
        <v>3138000</v>
      </c>
      <c r="E84" s="5">
        <f>SUM(E$6:E23)</f>
        <v>2160</v>
      </c>
      <c r="F84" s="5">
        <f>SUM(F$6:F23)</f>
        <v>591600</v>
      </c>
      <c r="G84" s="5">
        <f>SUM(G$6:G23)</f>
        <v>0</v>
      </c>
      <c r="H84" s="5">
        <f>SUM(H$6:H23)</f>
        <v>396600</v>
      </c>
      <c r="I84" s="5">
        <f>SUM(I$6:I23)</f>
        <v>3306000</v>
      </c>
      <c r="J84" s="5">
        <f>SUM(J$6:J23)</f>
        <v>984000</v>
      </c>
      <c r="K84" s="5">
        <f>SUM(K$6:K23)</f>
        <v>1584</v>
      </c>
      <c r="L84" s="5">
        <f>SUM(L$6:L23)</f>
        <v>0</v>
      </c>
      <c r="M84" s="5">
        <f>SUM(M$6:M23)</f>
        <v>36</v>
      </c>
      <c r="N84" s="5">
        <f>SUM(N$6:N23)</f>
        <v>0</v>
      </c>
      <c r="O84" s="5">
        <f>SUM(O$6:O23)</f>
        <v>0</v>
      </c>
      <c r="P84" s="5">
        <f>SUM(P$6:P23)</f>
        <v>0</v>
      </c>
      <c r="Q84" s="5">
        <f>SUM(Q$6:Q23)</f>
        <v>0</v>
      </c>
      <c r="S84" s="5">
        <v>18</v>
      </c>
      <c r="T84" s="5">
        <f>T23+1</f>
        <v>55</v>
      </c>
      <c r="U84" s="5">
        <f>U23+1</f>
        <v>54.10459741945877</v>
      </c>
      <c r="V84" s="5">
        <f>V23+1</f>
        <v>51.64776435351115</v>
      </c>
      <c r="W84" s="5">
        <f>W23+1</f>
        <v>48.707840717256921</v>
      </c>
      <c r="X84" s="5">
        <f>X23+1</f>
        <v>46.731279310915319</v>
      </c>
      <c r="AA84" s="5">
        <v>80</v>
      </c>
      <c r="AB84" s="5">
        <f>求节点(T$6:T$44,$C$67:$C$105,$AA84)</f>
        <v>0</v>
      </c>
      <c r="AC84" s="5">
        <f>求节点(U$6:U$44,$C$67:$C$105,$AA84)</f>
        <v>0</v>
      </c>
      <c r="AD84" s="5">
        <f>求节点(V$6:V$44,$C$67:$C$105,$AA84)</f>
        <v>0</v>
      </c>
      <c r="AE84" s="5">
        <f>求节点(W$6:W$44,$C$67:$C$105,$AA84)</f>
        <v>0</v>
      </c>
      <c r="AF84" s="5">
        <f>求节点(X$6:X$44,$C$67:$C$105,$AA84)</f>
        <v>0</v>
      </c>
      <c r="AG84" s="5">
        <f>求节点(T$6:T$44,$D$67:$D$105,$AA84)+求节点(T$67:T$105,$Q$67:$Q$105,$AA84)</f>
        <v>20270400</v>
      </c>
      <c r="AH84" s="5">
        <f>求节点(U$6:U$44,$D$67:$D$105,$AA84)+求节点(U$67:U$105,$Q$67:$Q$105,$AA84)</f>
        <v>24571700.112287253</v>
      </c>
      <c r="AI84" s="5">
        <f>求节点(V$6:V$44,$D$67:$D$105,$AA84)+求节点(V$67:V$105,$Q$67:$Q$105,$AA84)</f>
        <v>28392070.429190051</v>
      </c>
      <c r="AJ84" s="5">
        <f>求节点(W$6:W$44,$D$67:$D$105,$AA84)+求节点(W$67:W$105,$Q$67:$Q$105,$AA84)</f>
        <v>37890309.735711724</v>
      </c>
      <c r="AK84" s="5">
        <f>求节点(X$6:X$44,$D$67:$D$105,$AA84)+求节点(X$67:X$105,$Q$67:$Q$105,$AA84)</f>
        <v>42054657.349525392</v>
      </c>
      <c r="AL84" s="5">
        <f>求节点(T$6:T$44,$F$67:$F$105,$AA84)+求节点(T$67:T$105,$P$67:$P$105,$AA84)</f>
        <v>1043200</v>
      </c>
      <c r="AM84" s="5">
        <f>求节点(U$6:U$44,$F$67:$F$105,$AA84)+求节点(U$67:U$105,$P$67:$P$105,$AA84)</f>
        <v>1104147.8829697159</v>
      </c>
      <c r="AN84" s="5">
        <f>求节点(V$6:V$44,$F$67:$F$105,$AA84)+求节点(V$67:V$105,$P$67:$P$105,$AA84)</f>
        <v>1154818.3045737841</v>
      </c>
      <c r="AO84" s="5">
        <f>求节点(W$6:W$44,$F$67:$F$105,$AA84)+求节点(W$67:W$105,$P$67:$P$105,$AA84)</f>
        <v>1271052.6537055378</v>
      </c>
      <c r="AP84" s="5">
        <f>求节点(X$6:X$44,$F$67:$F$105,$AA84)+求节点(X$67:X$105,$P$67:$P$105,$AA84)</f>
        <v>1321103.7518029169</v>
      </c>
      <c r="AQ84" s="5">
        <f>求节点(T$6:T$44,$H$67:$H$105,$AA84)</f>
        <v>630600</v>
      </c>
      <c r="AR84" s="5">
        <f>求节点(U$6:U$44,$H$67:$H$105,$AA84)</f>
        <v>658485.40134987084</v>
      </c>
      <c r="AS84" s="5">
        <f>求节点(V$6:V$44,$H$67:$H$105,$AA84)</f>
        <v>681078.66378255177</v>
      </c>
      <c r="AT84" s="5">
        <f>求节点(W$6:W$44,$H$67:$H$105,$AA84)</f>
        <v>731613.16746874235</v>
      </c>
      <c r="AU84" s="5">
        <f>求节点(X$6:X$44,$H$67:$H$105,$AA84)</f>
        <v>753269.89260703139</v>
      </c>
      <c r="AV84" s="5">
        <f>求节点(T$6:T$44,$I$67:$I$105,$AA84)</f>
        <v>10740666.666666666</v>
      </c>
      <c r="AW84" s="5">
        <f>求节点(U$6:U$44,$I$67:$I$105,$AA84)</f>
        <v>11855612.809850361</v>
      </c>
      <c r="AX84" s="5">
        <f>求节点(V$6:V$44,$I$67:$I$105,$AA84)</f>
        <v>12772943.981050817</v>
      </c>
      <c r="AY84" s="5">
        <f>求节点(W$6:W$44,$I$67:$I$105,$AA84)</f>
        <v>14867368.82387005</v>
      </c>
      <c r="AZ84" s="5">
        <f>求节点(X$6:X$44,$I$67:$I$105,$AA84)</f>
        <v>15782335.409944972</v>
      </c>
      <c r="BA84" s="5">
        <f>求节点(T$6:T$44,$E$67:$E$105,$AA84)+求节点(T$6:T$44,$K$67:$K$105,$AA84)+求节点(T$67:T$105,$O$67:$O$105,$AA84)</f>
        <v>5546.6666666666661</v>
      </c>
      <c r="BB84" s="5">
        <f>求节点(U$6:U$44,$E$67:$E$105,$AA84)+求节点(U$6:U$44,$K$67:$K$105,$AA84)+求节点(U$67:U$105,$O$67:$O$105,$AA84)</f>
        <v>5761.4875363249312</v>
      </c>
      <c r="BC84" s="5">
        <f>求节点(V$6:V$44,$E$67:$E$105,$AA84)+求节点(V$6:V$44,$K$67:$K$105,$AA84)+求节点(V$67:V$105,$O$67:$O$105,$AA84)</f>
        <v>5935.5393358063247</v>
      </c>
      <c r="BD84" s="5">
        <f>求节点(W$6:W$44,$E$67:$E$105,$AA84)+求节点(W$6:W$44,$K$67:$K$105,$AA84)+求节点(W$67:W$105,$O$67:$O$105,$AA84)</f>
        <v>6324.8421790184602</v>
      </c>
      <c r="BE84" s="5">
        <f>求节点(X$6:X$44,$E$67:$E$105,$AA84)+求节点(X$6:X$44,$K$67:$K$105,$AA84)+求节点(X$67:X$105,$O$67:$O$105,$AA84)</f>
        <v>6491.6791726763895</v>
      </c>
      <c r="BF84" s="5">
        <f>求节点(T$6:T$44,$G$67:$G$105,$AA84)</f>
        <v>0</v>
      </c>
      <c r="BG84" s="5">
        <f>求节点(U$6:U$44,$G$67:$G$105,$AA84)</f>
        <v>0</v>
      </c>
      <c r="BH84" s="5">
        <f>求节点(V$6:V$44,$G$67:$G$105,$AA84)</f>
        <v>0</v>
      </c>
      <c r="BI84" s="5">
        <f>求节点(W$6:W$44,$G$67:$G$105,$AA84)</f>
        <v>0</v>
      </c>
      <c r="BJ84" s="5">
        <f>求节点(X$6:X$44,$G$67:$G$105,$AA84)</f>
        <v>0</v>
      </c>
      <c r="BK84" s="5">
        <f>求节点(T$6:T$44,$M$67:$M$105,$AA84)</f>
        <v>53.333333333333336</v>
      </c>
      <c r="BL84" s="5">
        <f>求节点(U$6:U$44,$M$67:$M$105,$AA84)</f>
        <v>55.398918618508951</v>
      </c>
      <c r="BM84" s="5">
        <f>求节点(V$6:V$44,$M$67:$M$105,$AA84)</f>
        <v>57.072493613522354</v>
      </c>
      <c r="BN84" s="5">
        <f>求节点(W$6:W$44,$M$67:$M$105,$AA84)</f>
        <v>60.815790182869804</v>
      </c>
      <c r="BO84" s="5">
        <f>求节点(X$6:X$44,$M$67:$M$105,$AA84)</f>
        <v>62.419992044965291</v>
      </c>
      <c r="BP84" s="5">
        <f>求节点(T$67:T$105,$L$67:$L$105,$AA84)</f>
        <v>0</v>
      </c>
      <c r="BQ84" s="5">
        <f>求节点(U$67:U$105,$L$67:$L$105,$AA84)</f>
        <v>0</v>
      </c>
      <c r="BR84" s="5">
        <f>求节点(V$67:V$105,$L$67:$L$105,$AA84)</f>
        <v>0</v>
      </c>
      <c r="BS84" s="5">
        <f>求节点(W$67:W$105,$L$67:$L$105,$AA84)</f>
        <v>0</v>
      </c>
      <c r="BT84" s="5">
        <f>求节点(X$67:X$105,$L$67:$L$105,$AA84)</f>
        <v>0</v>
      </c>
      <c r="BZ84" s="5">
        <v>80</v>
      </c>
      <c r="CA84" s="5">
        <f t="shared" si="44"/>
        <v>5546.6666666666661</v>
      </c>
      <c r="CB84" s="5">
        <f t="shared" si="45"/>
        <v>5761.4875363249312</v>
      </c>
      <c r="CC84" s="5">
        <f t="shared" si="46"/>
        <v>5935.5393358063247</v>
      </c>
      <c r="CD84" s="5">
        <f t="shared" si="47"/>
        <v>6324.8421790184602</v>
      </c>
      <c r="CE84" s="5">
        <f t="shared" si="48"/>
        <v>6491.6791726763895</v>
      </c>
      <c r="CF84" s="5">
        <f>(CA84-CA83)/节奏总纲!W83</f>
        <v>4.0442800051638441</v>
      </c>
      <c r="CI84" s="5">
        <v>80</v>
      </c>
      <c r="CJ84" s="5">
        <f t="shared" si="49"/>
        <v>12800</v>
      </c>
      <c r="CK84" s="5">
        <f t="shared" si="50"/>
        <v>13295.740468442149</v>
      </c>
      <c r="CL84" s="5">
        <f t="shared" si="51"/>
        <v>13697.398467245364</v>
      </c>
      <c r="CM84" s="5">
        <f t="shared" si="52"/>
        <v>14595.789643888753</v>
      </c>
      <c r="CN84" s="5">
        <f t="shared" si="53"/>
        <v>14980.79809079167</v>
      </c>
      <c r="CO84" s="5">
        <f>(CJ84-CJ83)/节奏总纲!W83</f>
        <v>9.3329538580705727</v>
      </c>
      <c r="CP84" s="5">
        <f t="shared" si="38"/>
        <v>13.377233863234416</v>
      </c>
      <c r="CR84" s="5">
        <v>80</v>
      </c>
      <c r="CS84" s="5">
        <f t="shared" si="39"/>
        <v>0</v>
      </c>
      <c r="CT84" s="5">
        <f t="shared" si="40"/>
        <v>0</v>
      </c>
      <c r="CU84" s="5">
        <f t="shared" si="41"/>
        <v>0</v>
      </c>
      <c r="CV84" s="5">
        <f t="shared" si="42"/>
        <v>0</v>
      </c>
      <c r="CW84" s="5">
        <f t="shared" si="43"/>
        <v>0</v>
      </c>
      <c r="CX84" s="5">
        <f t="shared" si="54"/>
        <v>0</v>
      </c>
      <c r="CY84" s="5">
        <f t="shared" si="55"/>
        <v>0</v>
      </c>
      <c r="CZ84" s="5">
        <f t="shared" si="56"/>
        <v>0</v>
      </c>
      <c r="DA84" s="5">
        <f t="shared" si="57"/>
        <v>0</v>
      </c>
      <c r="DB84" s="5">
        <f t="shared" si="58"/>
        <v>0</v>
      </c>
    </row>
    <row r="85" spans="2:106" x14ac:dyDescent="0.15">
      <c r="B85" s="5">
        <v>19</v>
      </c>
      <c r="C85" s="5">
        <f>SUM(C$6:C24)</f>
        <v>0</v>
      </c>
      <c r="D85" s="5">
        <f>SUM(D$6:D24)</f>
        <v>3987000</v>
      </c>
      <c r="E85" s="5">
        <f>SUM(E$6:E24)</f>
        <v>2280</v>
      </c>
      <c r="F85" s="5">
        <f>SUM(F$6:F24)</f>
        <v>638400</v>
      </c>
      <c r="G85" s="5">
        <f>SUM(G$6:G24)</f>
        <v>0</v>
      </c>
      <c r="H85" s="5">
        <f>SUM(H$6:H24)</f>
        <v>423600</v>
      </c>
      <c r="I85" s="5">
        <f>SUM(I$6:I24)</f>
        <v>3888000</v>
      </c>
      <c r="J85" s="5">
        <f>SUM(J$6:J24)</f>
        <v>1060000</v>
      </c>
      <c r="K85" s="5">
        <f>SUM(K$6:K24)</f>
        <v>1672</v>
      </c>
      <c r="L85" s="5">
        <f>SUM(L$6:L24)</f>
        <v>0</v>
      </c>
      <c r="M85" s="5">
        <f>SUM(M$6:M24)</f>
        <v>38</v>
      </c>
      <c r="N85" s="5">
        <f>SUM(N$6:N24)</f>
        <v>0</v>
      </c>
      <c r="O85" s="5">
        <f>SUM(O$6:O24)</f>
        <v>0</v>
      </c>
      <c r="P85" s="5">
        <f>SUM(P$6:P24)</f>
        <v>0</v>
      </c>
      <c r="Q85" s="5">
        <f>SUM(Q$6:Q24)</f>
        <v>0</v>
      </c>
      <c r="S85" s="5">
        <v>19</v>
      </c>
      <c r="T85" s="5">
        <f>T24+1</f>
        <v>58</v>
      </c>
      <c r="U85" s="5">
        <f>U24+1</f>
        <v>57.122203150228408</v>
      </c>
      <c r="V85" s="5">
        <f>V24+1</f>
        <v>53.720756910363008</v>
      </c>
      <c r="W85" s="5">
        <f>W24+1</f>
        <v>51.93185632612898</v>
      </c>
      <c r="X85" s="5">
        <f>X24+1</f>
        <v>50.491771378560095</v>
      </c>
      <c r="AA85" s="5">
        <v>81</v>
      </c>
      <c r="AB85" s="5">
        <f>求节点(T$6:T$44,$C$67:$C$105,$AA85)</f>
        <v>0</v>
      </c>
      <c r="AC85" s="5">
        <f>求节点(U$6:U$44,$C$67:$C$105,$AA85)</f>
        <v>0</v>
      </c>
      <c r="AD85" s="5">
        <f>求节点(V$6:V$44,$C$67:$C$105,$AA85)</f>
        <v>0</v>
      </c>
      <c r="AE85" s="5">
        <f>求节点(W$6:W$44,$C$67:$C$105,$AA85)</f>
        <v>0</v>
      </c>
      <c r="AF85" s="5">
        <f>求节点(X$6:X$44,$C$67:$C$105,$AA85)</f>
        <v>0</v>
      </c>
      <c r="AG85" s="5">
        <f>求节点(T$6:T$44,$D$67:$D$105,$AA85)+求节点(T$67:T$105,$Q$67:$Q$105,$AA85)</f>
        <v>21570600</v>
      </c>
      <c r="AH85" s="5">
        <f>求节点(U$6:U$44,$D$67:$D$105,$AA85)+求节点(U$67:U$105,$Q$67:$Q$105,$AA85)</f>
        <v>26239579.39606024</v>
      </c>
      <c r="AI85" s="5">
        <f>求节点(V$6:V$44,$D$67:$D$105,$AA85)+求节点(V$67:V$105,$Q$67:$Q$105,$AA85)</f>
        <v>30021535.303341258</v>
      </c>
      <c r="AJ85" s="5">
        <f>求节点(W$6:W$44,$D$67:$D$105,$AA85)+求节点(W$67:W$105,$Q$67:$Q$105,$AA85)</f>
        <v>40357630.192014351</v>
      </c>
      <c r="AK85" s="5">
        <f>求节点(X$6:X$44,$D$67:$D$105,$AA85)+求节点(X$67:X$105,$Q$67:$Q$105,$AA85)</f>
        <v>44717850.679246441</v>
      </c>
      <c r="AL85" s="5">
        <f>求节点(T$6:T$44,$F$67:$F$105,$AA85)+求节点(T$67:T$105,$P$67:$P$105,$AA85)</f>
        <v>1062600</v>
      </c>
      <c r="AM85" s="5">
        <f>求节点(U$6:U$44,$F$67:$F$105,$AA85)+求节点(U$67:U$105,$P$67:$P$105,$AA85)</f>
        <v>1126906.5215354874</v>
      </c>
      <c r="AN85" s="5">
        <f>求节点(V$6:V$44,$F$67:$F$105,$AA85)+求节点(V$67:V$105,$P$67:$P$105,$AA85)</f>
        <v>1175947.9024842116</v>
      </c>
      <c r="AO85" s="5">
        <f>求节点(W$6:W$44,$F$67:$F$105,$AA85)+求节点(W$67:W$105,$P$67:$P$105,$AA85)</f>
        <v>1300707.2622176693</v>
      </c>
      <c r="AP85" s="5">
        <f>求节点(X$6:X$44,$F$67:$F$105,$AA85)+求节点(X$67:X$105,$P$67:$P$105,$AA85)</f>
        <v>1353112.5471676448</v>
      </c>
      <c r="AQ85" s="5">
        <f>求节点(T$6:T$44,$H$67:$H$105,$AA85)</f>
        <v>639600</v>
      </c>
      <c r="AR85" s="5">
        <f>求节点(U$6:U$44,$H$67:$H$105,$AA85)</f>
        <v>668764.64185389155</v>
      </c>
      <c r="AS85" s="5">
        <f>求节点(V$6:V$44,$H$67:$H$105,$AA85)</f>
        <v>690400.54521362274</v>
      </c>
      <c r="AT85" s="5">
        <f>求节点(W$6:W$44,$H$67:$H$105,$AA85)</f>
        <v>744444.48845956847</v>
      </c>
      <c r="AU85" s="5">
        <f>求节点(X$6:X$44,$H$67:$H$105,$AA85)</f>
        <v>767119.85213984631</v>
      </c>
      <c r="AV85" s="5">
        <f>求节点(T$6:T$44,$I$67:$I$105,$AA85)</f>
        <v>11096000</v>
      </c>
      <c r="AW85" s="5">
        <f>求节点(U$6:U$44,$I$67:$I$105,$AA85)</f>
        <v>12270349.456406981</v>
      </c>
      <c r="AX85" s="5">
        <f>求节点(V$6:V$44,$I$67:$I$105,$AA85)</f>
        <v>13153414.845385641</v>
      </c>
      <c r="AY85" s="5">
        <f>求节点(W$6:W$44,$I$67:$I$105,$AA85)</f>
        <v>15407234.773706287</v>
      </c>
      <c r="AZ85" s="5">
        <f>求节点(X$6:X$44,$I$67:$I$105,$AA85)</f>
        <v>16374292.939606763</v>
      </c>
      <c r="BA85" s="5">
        <f>求节点(T$6:T$44,$E$67:$E$105,$AA85)+求节点(T$6:T$44,$K$67:$K$105,$AA85)+求节点(T$67:T$105,$O$67:$O$105,$AA85)</f>
        <v>5616</v>
      </c>
      <c r="BB85" s="5">
        <f>求节点(U$6:U$44,$E$67:$E$105,$AA85)+求节点(U$6:U$44,$K$67:$K$105,$AA85)+求节点(U$67:U$105,$O$67:$O$105,$AA85)</f>
        <v>5840.6757594670162</v>
      </c>
      <c r="BC85" s="5">
        <f>求节点(V$6:V$44,$E$67:$E$105,$AA85)+求节点(V$6:V$44,$K$67:$K$105,$AA85)+求节点(V$67:V$105,$O$67:$O$105,$AA85)</f>
        <v>6007.3523483123536</v>
      </c>
      <c r="BD85" s="5">
        <f>求节点(W$6:W$44,$E$67:$E$105,$AA85)+求节点(W$6:W$44,$K$67:$K$105,$AA85)+求节点(W$67:W$105,$O$67:$O$105,$AA85)</f>
        <v>6423.690874058897</v>
      </c>
      <c r="BE85" s="5">
        <f>求节点(X$6:X$44,$E$67:$E$105,$AA85)+求节点(X$6:X$44,$K$67:$K$105,$AA85)+求节点(X$67:X$105,$O$67:$O$105,$AA85)</f>
        <v>6598.3751572254823</v>
      </c>
      <c r="BF85" s="5">
        <f>求节点(T$6:T$44,$G$67:$G$105,$AA85)</f>
        <v>0</v>
      </c>
      <c r="BG85" s="5">
        <f>求节点(U$6:U$44,$G$67:$G$105,$AA85)</f>
        <v>0</v>
      </c>
      <c r="BH85" s="5">
        <f>求节点(V$6:V$44,$G$67:$G$105,$AA85)</f>
        <v>0</v>
      </c>
      <c r="BI85" s="5">
        <f>求节点(W$6:W$44,$G$67:$G$105,$AA85)</f>
        <v>0</v>
      </c>
      <c r="BJ85" s="5">
        <f>求节点(X$6:X$44,$G$67:$G$105,$AA85)</f>
        <v>0</v>
      </c>
      <c r="BK85" s="5">
        <f>求节点(T$6:T$44,$M$67:$M$105,$AA85)</f>
        <v>54</v>
      </c>
      <c r="BL85" s="5">
        <f>求节点(U$6:U$44,$M$67:$M$105,$AA85)</f>
        <v>56.160343841029004</v>
      </c>
      <c r="BM85" s="5">
        <f>求节点(V$6:V$44,$M$67:$M$105,$AA85)</f>
        <v>57.763003349157245</v>
      </c>
      <c r="BN85" s="5">
        <f>求节点(W$6:W$44,$M$67:$M$105,$AA85)</f>
        <v>61.766258404412476</v>
      </c>
      <c r="BO85" s="5">
        <f>求节点(X$6:X$44,$M$67:$M$105,$AA85)</f>
        <v>63.445914973321948</v>
      </c>
      <c r="BP85" s="5">
        <f>求节点(T$67:T$105,$L$67:$L$105,$AA85)</f>
        <v>0</v>
      </c>
      <c r="BQ85" s="5">
        <f>求节点(U$67:U$105,$L$67:$L$105,$AA85)</f>
        <v>0</v>
      </c>
      <c r="BR85" s="5">
        <f>求节点(V$67:V$105,$L$67:$L$105,$AA85)</f>
        <v>0</v>
      </c>
      <c r="BS85" s="5">
        <f>求节点(W$67:W$105,$L$67:$L$105,$AA85)</f>
        <v>0</v>
      </c>
      <c r="BT85" s="5">
        <f>求节点(X$67:X$105,$L$67:$L$105,$AA85)</f>
        <v>0</v>
      </c>
      <c r="BZ85" s="5">
        <v>81</v>
      </c>
      <c r="CA85" s="5">
        <f t="shared" si="44"/>
        <v>5616</v>
      </c>
      <c r="CB85" s="5">
        <f t="shared" si="45"/>
        <v>5840.6757594670162</v>
      </c>
      <c r="CC85" s="5">
        <f t="shared" si="46"/>
        <v>6007.3523483123536</v>
      </c>
      <c r="CD85" s="5">
        <f t="shared" si="47"/>
        <v>6423.690874058897</v>
      </c>
      <c r="CE85" s="5">
        <f t="shared" si="48"/>
        <v>6598.3751572254823</v>
      </c>
      <c r="CF85" s="5">
        <f>(CA85-CA84)/节奏总纲!W84</f>
        <v>3.7734466718306412</v>
      </c>
      <c r="CI85" s="5">
        <v>81</v>
      </c>
      <c r="CJ85" s="5">
        <f t="shared" si="49"/>
        <v>12960</v>
      </c>
      <c r="CK85" s="5">
        <f t="shared" si="50"/>
        <v>13478.482521846961</v>
      </c>
      <c r="CL85" s="5">
        <f t="shared" si="51"/>
        <v>13863.120803797739</v>
      </c>
      <c r="CM85" s="5">
        <f t="shared" si="52"/>
        <v>14823.902017058994</v>
      </c>
      <c r="CN85" s="5">
        <f t="shared" si="53"/>
        <v>15227.019593597268</v>
      </c>
      <c r="CO85" s="5">
        <f>(CJ85-CJ84)/节奏总纲!W84</f>
        <v>8.7079538580706348</v>
      </c>
      <c r="CP85" s="5">
        <f t="shared" si="38"/>
        <v>12.481400529901276</v>
      </c>
      <c r="CR85" s="5">
        <v>81</v>
      </c>
      <c r="CS85" s="5">
        <f t="shared" si="39"/>
        <v>0</v>
      </c>
      <c r="CT85" s="5">
        <f t="shared" si="40"/>
        <v>0</v>
      </c>
      <c r="CU85" s="5">
        <f t="shared" si="41"/>
        <v>0</v>
      </c>
      <c r="CV85" s="5">
        <f t="shared" si="42"/>
        <v>0</v>
      </c>
      <c r="CW85" s="5">
        <f t="shared" si="43"/>
        <v>0</v>
      </c>
      <c r="CX85" s="5">
        <f t="shared" si="54"/>
        <v>0</v>
      </c>
      <c r="CY85" s="5">
        <f t="shared" si="55"/>
        <v>0</v>
      </c>
      <c r="CZ85" s="5">
        <f t="shared" si="56"/>
        <v>0</v>
      </c>
      <c r="DA85" s="5">
        <f t="shared" si="57"/>
        <v>0</v>
      </c>
      <c r="DB85" s="5">
        <f t="shared" si="58"/>
        <v>0</v>
      </c>
    </row>
    <row r="86" spans="2:106" x14ac:dyDescent="0.15">
      <c r="B86" s="5">
        <v>20</v>
      </c>
      <c r="C86" s="5">
        <f>SUM(C$6:C25)</f>
        <v>0</v>
      </c>
      <c r="D86" s="5">
        <f>SUM(D$6:D25)</f>
        <v>5014200</v>
      </c>
      <c r="E86" s="5">
        <f>SUM(E$6:E25)</f>
        <v>2400</v>
      </c>
      <c r="F86" s="5">
        <f>SUM(F$6:F25)</f>
        <v>686400</v>
      </c>
      <c r="G86" s="5">
        <f>SUM(G$6:G25)</f>
        <v>0</v>
      </c>
      <c r="H86" s="5">
        <f>SUM(H$6:H25)</f>
        <v>450600</v>
      </c>
      <c r="I86" s="5">
        <f>SUM(I$6:I25)</f>
        <v>4532000</v>
      </c>
      <c r="J86" s="5">
        <f>SUM(J$6:J25)</f>
        <v>1136000</v>
      </c>
      <c r="K86" s="5">
        <f>SUM(K$6:K25)</f>
        <v>1760</v>
      </c>
      <c r="L86" s="5">
        <f>SUM(L$6:L25)</f>
        <v>0</v>
      </c>
      <c r="M86" s="5">
        <f>SUM(M$6:M25)</f>
        <v>40</v>
      </c>
      <c r="N86" s="5">
        <f>SUM(N$6:N25)</f>
        <v>0</v>
      </c>
      <c r="O86" s="5">
        <f>SUM(O$6:O25)</f>
        <v>0</v>
      </c>
      <c r="P86" s="5">
        <f>SUM(P$6:P25)</f>
        <v>0</v>
      </c>
      <c r="Q86" s="5">
        <f>SUM(Q$6:Q25)</f>
        <v>0</v>
      </c>
      <c r="S86" s="5">
        <v>20</v>
      </c>
      <c r="T86" s="5">
        <f>T25+1</f>
        <v>61</v>
      </c>
      <c r="U86" s="5">
        <f>U25+1</f>
        <v>60.205358406697492</v>
      </c>
      <c r="V86" s="5">
        <f>V25+1</f>
        <v>57.737858137093006</v>
      </c>
      <c r="W86" s="5">
        <f>W25+1</f>
        <v>54.763092981878088</v>
      </c>
      <c r="X86" s="5">
        <f>X25+1</f>
        <v>53.338371395299703</v>
      </c>
      <c r="AA86" s="5">
        <v>82</v>
      </c>
      <c r="AB86" s="5">
        <f>求节点(T$6:T$44,$C$67:$C$105,$AA86)</f>
        <v>0</v>
      </c>
      <c r="AC86" s="5">
        <f>求节点(U$6:U$44,$C$67:$C$105,$AA86)</f>
        <v>0</v>
      </c>
      <c r="AD86" s="5">
        <f>求节点(V$6:V$44,$C$67:$C$105,$AA86)</f>
        <v>0</v>
      </c>
      <c r="AE86" s="5">
        <f>求节点(W$6:W$44,$C$67:$C$105,$AA86)</f>
        <v>0</v>
      </c>
      <c r="AF86" s="5">
        <f>求节点(X$6:X$44,$C$67:$C$105,$AA86)</f>
        <v>0</v>
      </c>
      <c r="AG86" s="5">
        <f>求节点(T$6:T$44,$D$67:$D$105,$AA86)+求节点(T$67:T$105,$Q$67:$Q$105,$AA86)</f>
        <v>23000800</v>
      </c>
      <c r="AH86" s="5">
        <f>求节点(U$6:U$44,$D$67:$D$105,$AA86)+求节点(U$67:U$105,$Q$67:$Q$105,$AA86)</f>
        <v>27890629.598034825</v>
      </c>
      <c r="AI86" s="5">
        <f>求节点(V$6:V$44,$D$67:$D$105,$AA86)+求节点(V$67:V$105,$Q$67:$Q$105,$AA86)</f>
        <v>32015583.535968736</v>
      </c>
      <c r="AJ86" s="5">
        <f>求节点(W$6:W$44,$D$67:$D$105,$AA86)+求节点(W$67:W$105,$Q$67:$Q$105,$AA86)</f>
        <v>42831821.789415069</v>
      </c>
      <c r="AK86" s="5">
        <f>求节点(X$6:X$44,$D$67:$D$105,$AA86)+求节点(X$67:X$105,$Q$67:$Q$105,$AA86)</f>
        <v>47062320.403289817</v>
      </c>
      <c r="AL86" s="5">
        <f>求节点(T$6:T$44,$F$67:$F$105,$AA86)+求节点(T$67:T$105,$P$67:$P$105,$AA86)</f>
        <v>1082400</v>
      </c>
      <c r="AM86" s="5">
        <f>求节点(U$6:U$44,$F$67:$F$105,$AA86)+求节点(U$67:U$105,$P$67:$P$105,$AA86)</f>
        <v>1148316.0207220381</v>
      </c>
      <c r="AN86" s="5">
        <f>求节点(V$6:V$44,$F$67:$F$105,$AA86)+求节点(V$67:V$105,$P$67:$P$105,$AA86)</f>
        <v>1200444.5958327458</v>
      </c>
      <c r="AO86" s="5">
        <f>求节点(W$6:W$44,$F$67:$F$105,$AA86)+求节点(W$67:W$105,$P$67:$P$105,$AA86)</f>
        <v>1330444.4546514696</v>
      </c>
      <c r="AP86" s="5">
        <f>求节点(X$6:X$44,$F$67:$F$105,$AA86)+求节点(X$67:X$105,$P$67:$P$105,$AA86)</f>
        <v>1381290.6185071238</v>
      </c>
      <c r="AQ86" s="5">
        <f>求节点(T$6:T$44,$H$67:$H$105,$AA86)</f>
        <v>648600</v>
      </c>
      <c r="AR86" s="5">
        <f>求节点(U$6:U$44,$H$67:$H$105,$AA86)</f>
        <v>678210.00914207567</v>
      </c>
      <c r="AS86" s="5">
        <f>求节点(V$6:V$44,$H$67:$H$105,$AA86)</f>
        <v>701061.60396609188</v>
      </c>
      <c r="AT86" s="5">
        <f>求节点(W$6:W$44,$H$67:$H$105,$AA86)</f>
        <v>757311.54287803976</v>
      </c>
      <c r="AU86" s="5">
        <f>求节点(X$6:X$44,$H$67:$H$105,$AA86)</f>
        <v>779312.28685404395</v>
      </c>
      <c r="AV86" s="5">
        <f>求节点(T$6:T$44,$I$67:$I$105,$AA86)</f>
        <v>11458000</v>
      </c>
      <c r="AW86" s="5">
        <f>求节点(U$6:U$44,$I$67:$I$105,$AA86)</f>
        <v>12655860.373132125</v>
      </c>
      <c r="AX86" s="5">
        <f>求节点(V$6:V$44,$I$67:$I$105,$AA86)</f>
        <v>13593518.38674159</v>
      </c>
      <c r="AY86" s="5">
        <f>求节点(W$6:W$44,$I$67:$I$105,$AA86)</f>
        <v>15955078.536342883</v>
      </c>
      <c r="AZ86" s="5">
        <f>求节点(X$6:X$44,$I$67:$I$105,$AA86)</f>
        <v>16898548.155294053</v>
      </c>
      <c r="BA86" s="5">
        <f>求节点(T$6:T$44,$E$67:$E$105,$AA86)+求节点(T$6:T$44,$K$67:$K$105,$AA86)+求节点(T$67:T$105,$O$67:$O$105,$AA86)</f>
        <v>5685.3333333333339</v>
      </c>
      <c r="BB86" s="5">
        <f>求节点(U$6:U$44,$E$67:$E$105,$AA86)+求节点(U$6:U$44,$K$67:$K$105,$AA86)+求节点(U$67:U$105,$O$67:$O$105,$AA86)</f>
        <v>5913.4400704278423</v>
      </c>
      <c r="BC86" s="5">
        <f>求节点(V$6:V$44,$E$67:$E$105,$AA86)+求节点(V$6:V$44,$K$67:$K$105,$AA86)+求节点(V$67:V$105,$O$67:$O$105,$AA86)</f>
        <v>6089.4819861091528</v>
      </c>
      <c r="BD86" s="5">
        <f>求节点(W$6:W$44,$E$67:$E$105,$AA86)+求节点(W$6:W$44,$K$67:$K$105,$AA86)+求节点(W$67:W$105,$O$67:$O$105,$AA86)</f>
        <v>6522.8148488382321</v>
      </c>
      <c r="BE86" s="5">
        <f>求节点(X$6:X$44,$E$67:$E$105,$AA86)+求节点(X$6:X$44,$K$67:$K$105,$AA86)+求节点(X$67:X$105,$O$67:$O$105,$AA86)</f>
        <v>6692.3020616904123</v>
      </c>
      <c r="BF86" s="5">
        <f>求节点(T$6:T$44,$G$67:$G$105,$AA86)</f>
        <v>0</v>
      </c>
      <c r="BG86" s="5">
        <f>求节点(U$6:U$44,$G$67:$G$105,$AA86)</f>
        <v>0</v>
      </c>
      <c r="BH86" s="5">
        <f>求节点(V$6:V$44,$G$67:$G$105,$AA86)</f>
        <v>0</v>
      </c>
      <c r="BI86" s="5">
        <f>求节点(W$6:W$44,$G$67:$G$105,$AA86)</f>
        <v>0</v>
      </c>
      <c r="BJ86" s="5">
        <f>求节点(X$6:X$44,$G$67:$G$105,$AA86)</f>
        <v>0</v>
      </c>
      <c r="BK86" s="5">
        <f>求节点(T$6:T$44,$M$67:$M$105,$AA86)</f>
        <v>54.666666666666664</v>
      </c>
      <c r="BL86" s="5">
        <f>求节点(U$6:U$44,$M$67:$M$105,$AA86)</f>
        <v>56.86000067719079</v>
      </c>
      <c r="BM86" s="5">
        <f>求节点(V$6:V$44,$M$67:$M$105,$AA86)</f>
        <v>58.552711404895696</v>
      </c>
      <c r="BN86" s="5">
        <f>求节点(W$6:W$44,$M$67:$M$105,$AA86)</f>
        <v>62.71937354652146</v>
      </c>
      <c r="BO86" s="5">
        <f>求节点(X$6:X$44,$M$67:$M$105,$AA86)</f>
        <v>64.34905828548473</v>
      </c>
      <c r="BP86" s="5">
        <f>求节点(T$67:T$105,$L$67:$L$105,$AA86)</f>
        <v>0</v>
      </c>
      <c r="BQ86" s="5">
        <f>求节点(U$67:U$105,$L$67:$L$105,$AA86)</f>
        <v>0</v>
      </c>
      <c r="BR86" s="5">
        <f>求节点(V$67:V$105,$L$67:$L$105,$AA86)</f>
        <v>0</v>
      </c>
      <c r="BS86" s="5">
        <f>求节点(W$67:W$105,$L$67:$L$105,$AA86)</f>
        <v>0</v>
      </c>
      <c r="BT86" s="5">
        <f>求节点(X$67:X$105,$L$67:$L$105,$AA86)</f>
        <v>0</v>
      </c>
      <c r="BZ86" s="5">
        <v>82</v>
      </c>
      <c r="CA86" s="5">
        <f t="shared" si="44"/>
        <v>5685.3333333333339</v>
      </c>
      <c r="CB86" s="5">
        <f t="shared" si="45"/>
        <v>5913.4400704278423</v>
      </c>
      <c r="CC86" s="5">
        <f t="shared" si="46"/>
        <v>6089.4819861091528</v>
      </c>
      <c r="CD86" s="5">
        <f t="shared" si="47"/>
        <v>6522.8148488382321</v>
      </c>
      <c r="CE86" s="5">
        <f t="shared" si="48"/>
        <v>6692.3020616904123</v>
      </c>
      <c r="CF86" s="5">
        <f>(CA86-CA85)/节奏总纲!W85</f>
        <v>3.5207502366227854</v>
      </c>
      <c r="CI86" s="5">
        <v>82</v>
      </c>
      <c r="CJ86" s="5">
        <f t="shared" si="49"/>
        <v>13120</v>
      </c>
      <c r="CK86" s="5">
        <f t="shared" si="50"/>
        <v>13646.40016252579</v>
      </c>
      <c r="CL86" s="5">
        <f t="shared" si="51"/>
        <v>14052.650737174967</v>
      </c>
      <c r="CM86" s="5">
        <f t="shared" si="52"/>
        <v>15052.649651165151</v>
      </c>
      <c r="CN86" s="5">
        <f t="shared" si="53"/>
        <v>15443.773988516336</v>
      </c>
      <c r="CO86" s="5">
        <f>(CJ86-CJ85)/节奏总纲!W85</f>
        <v>8.1248082383602025</v>
      </c>
      <c r="CP86" s="5">
        <f t="shared" si="38"/>
        <v>11.645558474982987</v>
      </c>
      <c r="CR86" s="5">
        <v>82</v>
      </c>
      <c r="CS86" s="5">
        <f t="shared" si="39"/>
        <v>0</v>
      </c>
      <c r="CT86" s="5">
        <f t="shared" si="40"/>
        <v>0</v>
      </c>
      <c r="CU86" s="5">
        <f t="shared" si="41"/>
        <v>0</v>
      </c>
      <c r="CV86" s="5">
        <f t="shared" si="42"/>
        <v>0</v>
      </c>
      <c r="CW86" s="5">
        <f t="shared" si="43"/>
        <v>0</v>
      </c>
      <c r="CX86" s="5">
        <f t="shared" si="54"/>
        <v>0</v>
      </c>
      <c r="CY86" s="5">
        <f t="shared" si="55"/>
        <v>0</v>
      </c>
      <c r="CZ86" s="5">
        <f t="shared" si="56"/>
        <v>0</v>
      </c>
      <c r="DA86" s="5">
        <f t="shared" si="57"/>
        <v>0</v>
      </c>
      <c r="DB86" s="5">
        <f t="shared" si="58"/>
        <v>0</v>
      </c>
    </row>
    <row r="87" spans="2:106" x14ac:dyDescent="0.15">
      <c r="B87" s="5">
        <v>21</v>
      </c>
      <c r="C87" s="5">
        <f>SUM(C$6:C26)</f>
        <v>0</v>
      </c>
      <c r="D87" s="5">
        <f>SUM(D$6:D26)</f>
        <v>6256800</v>
      </c>
      <c r="E87" s="5">
        <f>SUM(E$6:E26)</f>
        <v>2520</v>
      </c>
      <c r="F87" s="5">
        <f>SUM(F$6:F26)</f>
        <v>735600</v>
      </c>
      <c r="G87" s="5">
        <f>SUM(G$6:G26)</f>
        <v>0</v>
      </c>
      <c r="H87" s="5">
        <f>SUM(H$6:H26)</f>
        <v>477600</v>
      </c>
      <c r="I87" s="5">
        <f>SUM(I$6:I26)</f>
        <v>5318000</v>
      </c>
      <c r="J87" s="5">
        <f>SUM(J$6:J26)</f>
        <v>1214000</v>
      </c>
      <c r="K87" s="5">
        <f>SUM(K$6:K26)</f>
        <v>1848</v>
      </c>
      <c r="L87" s="5">
        <f>SUM(L$6:L26)</f>
        <v>0</v>
      </c>
      <c r="M87" s="5">
        <f>SUM(M$6:M26)</f>
        <v>42</v>
      </c>
      <c r="N87" s="5">
        <f>SUM(N$6:N26)</f>
        <v>0</v>
      </c>
      <c r="O87" s="5">
        <f>SUM(O$6:O26)</f>
        <v>0</v>
      </c>
      <c r="P87" s="5">
        <f>SUM(P$6:P26)</f>
        <v>0</v>
      </c>
      <c r="Q87" s="5">
        <f>SUM(Q$6:Q26)</f>
        <v>0</v>
      </c>
      <c r="S87" s="5">
        <v>21</v>
      </c>
      <c r="T87" s="5">
        <f>T26+1</f>
        <v>64</v>
      </c>
      <c r="U87" s="5">
        <f>U26+1</f>
        <v>62.860622789459953</v>
      </c>
      <c r="V87" s="5">
        <f>V26+1</f>
        <v>61.521685096626115</v>
      </c>
      <c r="W87" s="5">
        <f>W26+1</f>
        <v>58.344123721260431</v>
      </c>
      <c r="X87" s="5">
        <f>X26+1</f>
        <v>56.994542261986723</v>
      </c>
      <c r="AA87" s="5">
        <v>83</v>
      </c>
      <c r="AB87" s="5">
        <f>求节点(T$6:T$44,$C$67:$C$105,$AA87)</f>
        <v>0</v>
      </c>
      <c r="AC87" s="5">
        <f>求节点(U$6:U$44,$C$67:$C$105,$AA87)</f>
        <v>0</v>
      </c>
      <c r="AD87" s="5">
        <f>求节点(V$6:V$44,$C$67:$C$105,$AA87)</f>
        <v>0</v>
      </c>
      <c r="AE87" s="5">
        <f>求节点(W$6:W$44,$C$67:$C$105,$AA87)</f>
        <v>0</v>
      </c>
      <c r="AF87" s="5">
        <f>求节点(X$6:X$44,$C$67:$C$105,$AA87)</f>
        <v>0</v>
      </c>
      <c r="AG87" s="5">
        <f>求节点(T$6:T$44,$D$67:$D$105,$AA87)+求节点(T$67:T$105,$Q$67:$Q$105,$AA87)</f>
        <v>24431000</v>
      </c>
      <c r="AH87" s="5">
        <f>求节点(U$6:U$44,$D$67:$D$105,$AA87)+求节点(U$67:U$105,$Q$67:$Q$105,$AA87)</f>
        <v>29541679.800009411</v>
      </c>
      <c r="AI87" s="5">
        <f>求节点(V$6:V$44,$D$67:$D$105,$AA87)+求节点(V$67:V$105,$Q$67:$Q$105,$AA87)</f>
        <v>34200155.565614067</v>
      </c>
      <c r="AJ87" s="5">
        <f>求节点(W$6:W$44,$D$67:$D$105,$AA87)+求节点(W$67:W$105,$Q$67:$Q$105,$AA87)</f>
        <v>45308254.22931502</v>
      </c>
      <c r="AK87" s="5">
        <f>求节点(X$6:X$44,$D$67:$D$105,$AA87)+求节点(X$67:X$105,$Q$67:$Q$105,$AA87)</f>
        <v>49032509.093684636</v>
      </c>
      <c r="AL87" s="5">
        <f>求节点(T$6:T$44,$F$67:$F$105,$AA87)+求节点(T$67:T$105,$P$67:$P$105,$AA87)</f>
        <v>1102200</v>
      </c>
      <c r="AM87" s="5">
        <f>求节点(U$6:U$44,$F$67:$F$105,$AA87)+求节点(U$67:U$105,$P$67:$P$105,$AA87)</f>
        <v>1169725.5199085888</v>
      </c>
      <c r="AN87" s="5">
        <f>求节点(V$6:V$44,$F$67:$F$105,$AA87)+求节点(V$67:V$105,$P$67:$P$105,$AA87)</f>
        <v>1226700.864304156</v>
      </c>
      <c r="AO87" s="5">
        <f>求节点(W$6:W$44,$F$67:$F$105,$AA87)+求节点(W$67:W$105,$P$67:$P$105,$AA87)</f>
        <v>1360208.5796658688</v>
      </c>
      <c r="AP87" s="5">
        <f>求节点(X$6:X$44,$F$67:$F$105,$AA87)+求节点(X$67:X$105,$P$67:$P$105,$AA87)</f>
        <v>1404970.2237077549</v>
      </c>
      <c r="AQ87" s="5">
        <f>求节点(T$6:T$44,$H$67:$H$105,$AA87)</f>
        <v>657600</v>
      </c>
      <c r="AR87" s="5">
        <f>求节点(U$6:U$44,$H$67:$H$105,$AA87)</f>
        <v>687655.37643025978</v>
      </c>
      <c r="AS87" s="5">
        <f>求节点(V$6:V$44,$H$67:$H$105,$AA87)</f>
        <v>712422.48936237523</v>
      </c>
      <c r="AT87" s="5">
        <f>求节点(W$6:W$44,$H$67:$H$105,$AA87)</f>
        <v>770190.25081696245</v>
      </c>
      <c r="AU87" s="5">
        <f>求节点(X$6:X$44,$H$67:$H$105,$AA87)</f>
        <v>789558.26987354772</v>
      </c>
      <c r="AV87" s="5">
        <f>求节点(T$6:T$44,$I$67:$I$105,$AA87)</f>
        <v>11820000</v>
      </c>
      <c r="AW87" s="5">
        <f>求节点(U$6:U$44,$I$67:$I$105,$AA87)</f>
        <v>13041371.28985727</v>
      </c>
      <c r="AX87" s="5">
        <f>求节点(V$6:V$44,$I$67:$I$105,$AA87)</f>
        <v>14064784.743920751</v>
      </c>
      <c r="AY87" s="5">
        <f>求节点(W$6:W$44,$I$67:$I$105,$AA87)</f>
        <v>16505524.053436097</v>
      </c>
      <c r="AZ87" s="5">
        <f>求节点(X$6:X$44,$I$67:$I$105,$AA87)</f>
        <v>17343299.714511037</v>
      </c>
      <c r="BA87" s="5">
        <f>求节点(T$6:T$44,$E$67:$E$105,$AA87)+求节点(T$6:T$44,$K$67:$K$105,$AA87)+求节点(T$67:T$105,$O$67:$O$105,$AA87)</f>
        <v>5754.6666666666661</v>
      </c>
      <c r="BB87" s="5">
        <f>求节点(U$6:U$44,$E$67:$E$105,$AA87)+求节点(U$6:U$44,$K$67:$K$105,$AA87)+求节点(U$67:U$105,$O$67:$O$105,$AA87)</f>
        <v>5986.2043813886685</v>
      </c>
      <c r="BC87" s="5">
        <f>求节点(V$6:V$44,$E$67:$E$105,$AA87)+求节点(V$6:V$44,$K$67:$K$105,$AA87)+求节点(V$67:V$105,$O$67:$O$105,$AA87)</f>
        <v>6177.0028810138538</v>
      </c>
      <c r="BD87" s="5">
        <f>求节点(W$6:W$44,$E$67:$E$105,$AA87)+求节点(W$6:W$44,$K$67:$K$105,$AA87)+求节点(W$67:W$105,$O$67:$O$105,$AA87)</f>
        <v>6622.0285988862288</v>
      </c>
      <c r="BE87" s="5">
        <f>求节点(X$6:X$44,$E$67:$E$105,$AA87)+求节点(X$6:X$44,$K$67:$K$105,$AA87)+求节点(X$67:X$105,$O$67:$O$105,$AA87)</f>
        <v>6771.2340790258495</v>
      </c>
      <c r="BF87" s="5">
        <f>求节点(T$6:T$44,$G$67:$G$105,$AA87)</f>
        <v>0</v>
      </c>
      <c r="BG87" s="5">
        <f>求节点(U$6:U$44,$G$67:$G$105,$AA87)</f>
        <v>0</v>
      </c>
      <c r="BH87" s="5">
        <f>求节点(V$6:V$44,$G$67:$G$105,$AA87)</f>
        <v>0</v>
      </c>
      <c r="BI87" s="5">
        <f>求节点(W$6:W$44,$G$67:$G$105,$AA87)</f>
        <v>0</v>
      </c>
      <c r="BJ87" s="5">
        <f>求节点(X$6:X$44,$G$67:$G$105,$AA87)</f>
        <v>0</v>
      </c>
      <c r="BK87" s="5">
        <f>求节点(T$6:T$44,$M$67:$M$105,$AA87)</f>
        <v>55.333333333333336</v>
      </c>
      <c r="BL87" s="5">
        <f>求节点(U$6:U$44,$M$67:$M$105,$AA87)</f>
        <v>57.559657513352576</v>
      </c>
      <c r="BM87" s="5">
        <f>求节点(V$6:V$44,$M$67:$M$105,$AA87)</f>
        <v>59.394258471287053</v>
      </c>
      <c r="BN87" s="5">
        <f>求节点(W$6:W$44,$M$67:$M$105,$AA87)</f>
        <v>63.673351912367586</v>
      </c>
      <c r="BO87" s="5">
        <f>求节点(X$6:X$44,$M$67:$M$105,$AA87)</f>
        <v>65.108019990633167</v>
      </c>
      <c r="BP87" s="5">
        <f>求节点(T$67:T$105,$L$67:$L$105,$AA87)</f>
        <v>0</v>
      </c>
      <c r="BQ87" s="5">
        <f>求节点(U$67:U$105,$L$67:$L$105,$AA87)</f>
        <v>0</v>
      </c>
      <c r="BR87" s="5">
        <f>求节点(V$67:V$105,$L$67:$L$105,$AA87)</f>
        <v>0</v>
      </c>
      <c r="BS87" s="5">
        <f>求节点(W$67:W$105,$L$67:$L$105,$AA87)</f>
        <v>0</v>
      </c>
      <c r="BT87" s="5">
        <f>求节点(X$67:X$105,$L$67:$L$105,$AA87)</f>
        <v>0</v>
      </c>
      <c r="BZ87" s="5">
        <v>83</v>
      </c>
      <c r="CA87" s="5">
        <f t="shared" si="44"/>
        <v>5754.6666666666661</v>
      </c>
      <c r="CB87" s="5">
        <f t="shared" si="45"/>
        <v>5986.2043813886685</v>
      </c>
      <c r="CC87" s="5">
        <f t="shared" si="46"/>
        <v>6177.0028810138538</v>
      </c>
      <c r="CD87" s="5">
        <f t="shared" si="47"/>
        <v>6622.0285988862288</v>
      </c>
      <c r="CE87" s="5">
        <f t="shared" si="48"/>
        <v>6771.2340790258495</v>
      </c>
      <c r="CF87" s="5">
        <f>(CA87-CA86)/节奏总纲!W86</f>
        <v>3.284976125729866</v>
      </c>
      <c r="CI87" s="5">
        <v>83</v>
      </c>
      <c r="CJ87" s="5">
        <f t="shared" si="49"/>
        <v>13280</v>
      </c>
      <c r="CK87" s="5">
        <f t="shared" si="50"/>
        <v>13814.317803204618</v>
      </c>
      <c r="CL87" s="5">
        <f t="shared" si="51"/>
        <v>14254.622033108893</v>
      </c>
      <c r="CM87" s="5">
        <f t="shared" si="52"/>
        <v>15281.604458968221</v>
      </c>
      <c r="CN87" s="5">
        <f t="shared" si="53"/>
        <v>15625.924797751961</v>
      </c>
      <c r="CO87" s="5">
        <f>(CJ87-CJ86)/节奏总纲!W86</f>
        <v>7.5807141362998234</v>
      </c>
      <c r="CP87" s="5">
        <f t="shared" si="38"/>
        <v>10.865690262029689</v>
      </c>
      <c r="CR87" s="5">
        <v>83</v>
      </c>
      <c r="CS87" s="5">
        <f t="shared" si="39"/>
        <v>0</v>
      </c>
      <c r="CT87" s="5">
        <f t="shared" si="40"/>
        <v>0</v>
      </c>
      <c r="CU87" s="5">
        <f t="shared" si="41"/>
        <v>0</v>
      </c>
      <c r="CV87" s="5">
        <f t="shared" si="42"/>
        <v>0</v>
      </c>
      <c r="CW87" s="5">
        <f t="shared" si="43"/>
        <v>0</v>
      </c>
      <c r="CX87" s="5">
        <f>CS87-CS86</f>
        <v>0</v>
      </c>
      <c r="CY87" s="5">
        <f>CT87-CT86</f>
        <v>0</v>
      </c>
      <c r="CZ87" s="5">
        <f>CU87-CU86</f>
        <v>0</v>
      </c>
      <c r="DA87" s="5">
        <f>CV87-CV86</f>
        <v>0</v>
      </c>
      <c r="DB87" s="5">
        <f>CW87-CW86</f>
        <v>0</v>
      </c>
    </row>
    <row r="88" spans="2:106" x14ac:dyDescent="0.15">
      <c r="B88" s="5">
        <v>22</v>
      </c>
      <c r="C88" s="5">
        <f>SUM(C$6:C27)</f>
        <v>0</v>
      </c>
      <c r="D88" s="5">
        <f>SUM(D$6:D27)</f>
        <v>7760400</v>
      </c>
      <c r="E88" s="5">
        <f>SUM(E$6:E27)</f>
        <v>2640</v>
      </c>
      <c r="F88" s="5">
        <f>SUM(F$6:F27)</f>
        <v>786600</v>
      </c>
      <c r="G88" s="5">
        <f>SUM(G$6:G27)</f>
        <v>0</v>
      </c>
      <c r="H88" s="5">
        <f>SUM(H$6:H27)</f>
        <v>504600</v>
      </c>
      <c r="I88" s="5">
        <f>SUM(I$6:I27)</f>
        <v>6182000</v>
      </c>
      <c r="J88" s="5">
        <f>SUM(J$6:J27)</f>
        <v>1294000</v>
      </c>
      <c r="K88" s="5">
        <f>SUM(K$6:K27)</f>
        <v>1936</v>
      </c>
      <c r="L88" s="5">
        <f>SUM(L$6:L27)</f>
        <v>0</v>
      </c>
      <c r="M88" s="5">
        <f>SUM(M$6:M27)</f>
        <v>44</v>
      </c>
      <c r="N88" s="5">
        <f>SUM(N$6:N27)</f>
        <v>0</v>
      </c>
      <c r="O88" s="5">
        <f>SUM(O$6:O27)</f>
        <v>0</v>
      </c>
      <c r="P88" s="5">
        <f>SUM(P$6:P27)</f>
        <v>0</v>
      </c>
      <c r="Q88" s="5">
        <f>SUM(Q$6:Q27)</f>
        <v>0</v>
      </c>
      <c r="S88" s="5">
        <v>22</v>
      </c>
      <c r="T88" s="5">
        <f>T27+1</f>
        <v>67</v>
      </c>
      <c r="U88" s="5">
        <f>U27+1</f>
        <v>65.361886729921849</v>
      </c>
      <c r="V88" s="5">
        <f>V27+1</f>
        <v>63.886620963673955</v>
      </c>
      <c r="W88" s="5">
        <f>W27+1</f>
        <v>61.123711679237957</v>
      </c>
      <c r="X88" s="5">
        <f>X27+1</f>
        <v>60.00871277769766</v>
      </c>
      <c r="AA88" s="5">
        <v>84</v>
      </c>
      <c r="AB88" s="5">
        <f>求节点(T$6:T$44,$C$67:$C$105,$AA88)</f>
        <v>0</v>
      </c>
      <c r="AC88" s="5">
        <f>求节点(U$6:U$44,$C$67:$C$105,$AA88)</f>
        <v>0</v>
      </c>
      <c r="AD88" s="5">
        <f>求节点(V$6:V$44,$C$67:$C$105,$AA88)</f>
        <v>0</v>
      </c>
      <c r="AE88" s="5">
        <f>求节点(W$6:W$44,$C$67:$C$105,$AA88)</f>
        <v>0</v>
      </c>
      <c r="AF88" s="5">
        <f>求节点(X$6:X$44,$C$67:$C$105,$AA88)</f>
        <v>0</v>
      </c>
      <c r="AG88" s="5">
        <f>求节点(T$6:T$44,$D$67:$D$105,$AA88)+求节点(T$67:T$105,$Q$67:$Q$105,$AA88)</f>
        <v>25861200</v>
      </c>
      <c r="AH88" s="5">
        <f>求节点(U$6:U$44,$D$67:$D$105,$AA88)+求节点(U$67:U$105,$Q$67:$Q$105,$AA88)</f>
        <v>31379577.008021697</v>
      </c>
      <c r="AI88" s="5">
        <f>求节点(V$6:V$44,$D$67:$D$105,$AA88)+求节点(V$67:V$105,$Q$67:$Q$105,$AA88)</f>
        <v>36341764.363231942</v>
      </c>
      <c r="AJ88" s="5">
        <f>求节点(W$6:W$44,$D$67:$D$105,$AA88)+求节点(W$67:W$105,$Q$67:$Q$105,$AA88)</f>
        <v>47370879.767470166</v>
      </c>
      <c r="AK88" s="5">
        <f>求节点(X$6:X$44,$D$67:$D$105,$AA88)+求节点(X$67:X$105,$Q$67:$Q$105,$AA88)</f>
        <v>51002697.784079447</v>
      </c>
      <c r="AL88" s="5">
        <f>求节点(T$6:T$44,$F$67:$F$105,$AA88)+求节点(T$67:T$105,$P$67:$P$105,$AA88)</f>
        <v>1122000</v>
      </c>
      <c r="AM88" s="5">
        <f>求节点(U$6:U$44,$F$67:$F$105,$AA88)+求节点(U$67:U$105,$P$67:$P$105,$AA88)</f>
        <v>1192800.4632883689</v>
      </c>
      <c r="AN88" s="5">
        <f>求节点(V$6:V$44,$F$67:$F$105,$AA88)+求节点(V$67:V$105,$P$67:$P$105,$AA88)</f>
        <v>1252440.7597106348</v>
      </c>
      <c r="AO88" s="5">
        <f>求节点(W$6:W$44,$F$67:$F$105,$AA88)+求节点(W$67:W$105,$P$67:$P$105,$AA88)</f>
        <v>1384999.1789918984</v>
      </c>
      <c r="AP88" s="5">
        <f>求节点(X$6:X$44,$F$67:$F$105,$AA88)+求节点(X$67:X$105,$P$67:$P$105,$AA88)</f>
        <v>1428649.8289083859</v>
      </c>
      <c r="AQ88" s="5">
        <f>求节点(T$6:T$44,$H$67:$H$105,$AA88)</f>
        <v>666600</v>
      </c>
      <c r="AR88" s="5">
        <f>求节点(U$6:U$44,$H$67:$H$105,$AA88)</f>
        <v>697754.0466151596</v>
      </c>
      <c r="AS88" s="5">
        <f>求节点(V$6:V$44,$H$67:$H$105,$AA88)</f>
        <v>723559.9441055631</v>
      </c>
      <c r="AT88" s="5">
        <f>求节点(W$6:W$44,$H$67:$H$105,$AA88)</f>
        <v>780916.95244841767</v>
      </c>
      <c r="AU88" s="5">
        <f>求节点(X$6:X$44,$H$67:$H$105,$AA88)</f>
        <v>799804.2528930516</v>
      </c>
      <c r="AV88" s="5">
        <f>求节点(T$6:T$44,$I$67:$I$105,$AA88)</f>
        <v>12182000</v>
      </c>
      <c r="AW88" s="5">
        <f>求节点(U$6:U$44,$I$67:$I$105,$AA88)</f>
        <v>13456316.007739956</v>
      </c>
      <c r="AX88" s="5">
        <f>求节点(V$6:V$44,$I$67:$I$105,$AA88)</f>
        <v>14528536.907552581</v>
      </c>
      <c r="AY88" s="5">
        <f>求节点(W$6:W$44,$I$67:$I$105,$AA88)</f>
        <v>16968202.528501682</v>
      </c>
      <c r="AZ88" s="5">
        <f>求节点(X$6:X$44,$I$67:$I$105,$AA88)</f>
        <v>17788051.273728017</v>
      </c>
      <c r="BA88" s="5">
        <f>求节点(T$6:T$44,$E$67:$E$105,$AA88)+求节点(T$6:T$44,$K$67:$K$105,$AA88)+求节点(T$67:T$105,$O$67:$O$105,$AA88)</f>
        <v>5824</v>
      </c>
      <c r="BB88" s="5">
        <f>求节点(U$6:U$44,$E$67:$E$105,$AA88)+求节点(U$6:U$44,$K$67:$K$105,$AA88)+求节点(U$67:U$105,$O$67:$O$105,$AA88)</f>
        <v>6064.0015442945632</v>
      </c>
      <c r="BC88" s="5">
        <f>求节点(V$6:V$44,$E$67:$E$105,$AA88)+求节点(V$6:V$44,$K$67:$K$105,$AA88)+求节点(V$67:V$105,$O$67:$O$105,$AA88)</f>
        <v>6262.8025323687825</v>
      </c>
      <c r="BD88" s="5">
        <f>求节点(W$6:W$44,$E$67:$E$105,$AA88)+求节点(W$6:W$44,$K$67:$K$105,$AA88)+求节点(W$67:W$105,$O$67:$O$105,$AA88)</f>
        <v>6704.663929972995</v>
      </c>
      <c r="BE88" s="5">
        <f>求节点(X$6:X$44,$E$67:$E$105,$AA88)+求节点(X$6:X$44,$K$67:$K$105,$AA88)+求节点(X$67:X$105,$O$67:$O$105,$AA88)</f>
        <v>6850.1660963612867</v>
      </c>
      <c r="BF88" s="5">
        <f>求节点(T$6:T$44,$G$67:$G$105,$AA88)</f>
        <v>0</v>
      </c>
      <c r="BG88" s="5">
        <f>求节点(U$6:U$44,$G$67:$G$105,$AA88)</f>
        <v>0</v>
      </c>
      <c r="BH88" s="5">
        <f>求节点(V$6:V$44,$G$67:$G$105,$AA88)</f>
        <v>0</v>
      </c>
      <c r="BI88" s="5">
        <f>求节点(W$6:W$44,$G$67:$G$105,$AA88)</f>
        <v>0</v>
      </c>
      <c r="BJ88" s="5">
        <f>求节点(X$6:X$44,$G$67:$G$105,$AA88)</f>
        <v>0</v>
      </c>
      <c r="BK88" s="5">
        <f>求节点(T$6:T$44,$M$67:$M$105,$AA88)</f>
        <v>56</v>
      </c>
      <c r="BL88" s="5">
        <f>求节点(U$6:U$44,$M$67:$M$105,$AA88)</f>
        <v>58.307707156678489</v>
      </c>
      <c r="BM88" s="5">
        <f>求节点(V$6:V$44,$M$67:$M$105,$AA88)</f>
        <v>60.219255118930597</v>
      </c>
      <c r="BN88" s="5">
        <f>求节点(W$6:W$44,$M$67:$M$105,$AA88)</f>
        <v>64.467922403586485</v>
      </c>
      <c r="BO88" s="5">
        <f>求节点(X$6:X$44,$M$67:$M$105,$AA88)</f>
        <v>65.866981695781604</v>
      </c>
      <c r="BP88" s="5">
        <f>求节点(T$67:T$105,$L$67:$L$105,$AA88)</f>
        <v>0</v>
      </c>
      <c r="BQ88" s="5">
        <f>求节点(U$67:U$105,$L$67:$L$105,$AA88)</f>
        <v>0</v>
      </c>
      <c r="BR88" s="5">
        <f>求节点(V$67:V$105,$L$67:$L$105,$AA88)</f>
        <v>0</v>
      </c>
      <c r="BS88" s="5">
        <f>求节点(W$67:W$105,$L$67:$L$105,$AA88)</f>
        <v>0</v>
      </c>
      <c r="BT88" s="5">
        <f>求节点(X$67:X$105,$L$67:$L$105,$AA88)</f>
        <v>0</v>
      </c>
      <c r="BZ88" s="5">
        <v>84</v>
      </c>
      <c r="CA88" s="5">
        <f t="shared" si="44"/>
        <v>5824</v>
      </c>
      <c r="CB88" s="5">
        <f t="shared" si="45"/>
        <v>6064.0015442945632</v>
      </c>
      <c r="CC88" s="5">
        <f t="shared" si="46"/>
        <v>6262.8025323687825</v>
      </c>
      <c r="CD88" s="5">
        <f t="shared" si="47"/>
        <v>6704.663929972995</v>
      </c>
      <c r="CE88" s="5">
        <f t="shared" si="48"/>
        <v>6850.1660963612867</v>
      </c>
      <c r="CF88" s="5">
        <f>(CA88-CA87)/节奏总纲!W87</f>
        <v>3.0649911017169305</v>
      </c>
      <c r="CI88" s="5">
        <v>84</v>
      </c>
      <c r="CJ88" s="5">
        <f t="shared" si="49"/>
        <v>13440</v>
      </c>
      <c r="CK88" s="5">
        <f t="shared" si="50"/>
        <v>13993.849717602838</v>
      </c>
      <c r="CL88" s="5">
        <f t="shared" si="51"/>
        <v>14452.621228543343</v>
      </c>
      <c r="CM88" s="5">
        <f t="shared" si="52"/>
        <v>15472.301376860756</v>
      </c>
      <c r="CN88" s="5">
        <f t="shared" si="53"/>
        <v>15808.075606987584</v>
      </c>
      <c r="CO88" s="5">
        <f>(CJ88-CJ87)/节奏总纲!W87</f>
        <v>7.07305638857747</v>
      </c>
      <c r="CP88" s="5">
        <f t="shared" si="38"/>
        <v>10.138047490294401</v>
      </c>
      <c r="CR88" s="5">
        <v>84</v>
      </c>
      <c r="CS88" s="5">
        <f t="shared" si="39"/>
        <v>0</v>
      </c>
      <c r="CT88" s="5">
        <f t="shared" si="40"/>
        <v>0</v>
      </c>
      <c r="CU88" s="5">
        <f t="shared" si="41"/>
        <v>0</v>
      </c>
      <c r="CV88" s="5">
        <f t="shared" si="42"/>
        <v>0</v>
      </c>
      <c r="CW88" s="5">
        <f t="shared" si="43"/>
        <v>0</v>
      </c>
      <c r="CX88" s="5">
        <f t="shared" si="54"/>
        <v>0</v>
      </c>
      <c r="CY88" s="5">
        <f t="shared" si="55"/>
        <v>0</v>
      </c>
      <c r="CZ88" s="5">
        <f t="shared" si="56"/>
        <v>0</v>
      </c>
      <c r="DA88" s="5">
        <f t="shared" si="57"/>
        <v>0</v>
      </c>
      <c r="DB88" s="5">
        <f t="shared" si="58"/>
        <v>0</v>
      </c>
    </row>
    <row r="89" spans="2:106" x14ac:dyDescent="0.15">
      <c r="B89" s="5">
        <v>23</v>
      </c>
      <c r="C89" s="5">
        <f>SUM(C$6:C28)</f>
        <v>0</v>
      </c>
      <c r="D89" s="5">
        <f>SUM(D$6:D28)</f>
        <v>9580200</v>
      </c>
      <c r="E89" s="5">
        <f>SUM(E$6:E28)</f>
        <v>2760</v>
      </c>
      <c r="F89" s="5">
        <f>SUM(F$6:F28)</f>
        <v>838800</v>
      </c>
      <c r="G89" s="5">
        <f>SUM(G$6:G28)</f>
        <v>0</v>
      </c>
      <c r="H89" s="5">
        <f>SUM(H$6:H28)</f>
        <v>531600</v>
      </c>
      <c r="I89" s="5">
        <f>SUM(I$6:I28)</f>
        <v>7084000</v>
      </c>
      <c r="J89" s="5">
        <f>SUM(J$6:J28)</f>
        <v>1376000</v>
      </c>
      <c r="K89" s="5">
        <f>SUM(K$6:K28)</f>
        <v>2024</v>
      </c>
      <c r="L89" s="5">
        <f>SUM(L$6:L28)</f>
        <v>0</v>
      </c>
      <c r="M89" s="5">
        <f>SUM(M$6:M28)</f>
        <v>46</v>
      </c>
      <c r="N89" s="5">
        <f>SUM(N$6:N28)</f>
        <v>0</v>
      </c>
      <c r="O89" s="5">
        <f>SUM(O$6:O28)</f>
        <v>0</v>
      </c>
      <c r="P89" s="5">
        <f>SUM(P$6:P28)</f>
        <v>0</v>
      </c>
      <c r="Q89" s="5">
        <f>SUM(Q$6:Q28)</f>
        <v>0</v>
      </c>
      <c r="S89" s="5">
        <v>23</v>
      </c>
      <c r="T89" s="5">
        <f>T28+1</f>
        <v>70</v>
      </c>
      <c r="U89" s="5">
        <f>U28+1</f>
        <v>67.772631853290434</v>
      </c>
      <c r="V89" s="5">
        <f>V28+1</f>
        <v>66.039789270281958</v>
      </c>
      <c r="W89" s="5">
        <f>W28+1</f>
        <v>63.240560410994611</v>
      </c>
      <c r="X89" s="5">
        <f>X28+1</f>
        <v>61.95040937320038</v>
      </c>
      <c r="AA89" s="5">
        <v>85</v>
      </c>
      <c r="AB89" s="5">
        <f>求节点(T$6:T$44,$C$67:$C$105,$AA89)</f>
        <v>0</v>
      </c>
      <c r="AC89" s="5">
        <f>求节点(U$6:U$44,$C$67:$C$105,$AA89)</f>
        <v>0</v>
      </c>
      <c r="AD89" s="5">
        <f>求节点(V$6:V$44,$C$67:$C$105,$AA89)</f>
        <v>0</v>
      </c>
      <c r="AE89" s="5">
        <f>求节点(W$6:W$44,$C$67:$C$105,$AA89)</f>
        <v>0</v>
      </c>
      <c r="AF89" s="5">
        <f>求节点(X$6:X$44,$C$67:$C$105,$AA89)</f>
        <v>0</v>
      </c>
      <c r="AG89" s="5">
        <f>求节点(T$6:T$44,$D$67:$D$105,$AA89)+求节点(T$67:T$105,$Q$67:$Q$105,$AA89)</f>
        <v>27434400</v>
      </c>
      <c r="AH89" s="5">
        <f>求节点(U$6:U$44,$D$67:$D$105,$AA89)+求节点(U$67:U$105,$Q$67:$Q$105,$AA89)</f>
        <v>33534759.686025731</v>
      </c>
      <c r="AI89" s="5">
        <f>求节点(V$6:V$44,$D$67:$D$105,$AA89)+求节点(V$67:V$105,$Q$67:$Q$105,$AA89)</f>
        <v>38373008.433613203</v>
      </c>
      <c r="AJ89" s="5">
        <f>求节点(W$6:W$44,$D$67:$D$105,$AA89)+求节点(W$67:W$105,$Q$67:$Q$105,$AA89)</f>
        <v>49218037.89109382</v>
      </c>
      <c r="AK89" s="5">
        <f>求节点(X$6:X$44,$D$67:$D$105,$AA89)+求节点(X$67:X$105,$Q$67:$Q$105,$AA89)</f>
        <v>53006603.51262641</v>
      </c>
      <c r="AL89" s="5">
        <f>求节点(T$6:T$44,$F$67:$F$105,$AA89)+求节点(T$67:T$105,$P$67:$P$105,$AA89)</f>
        <v>1142400</v>
      </c>
      <c r="AM89" s="5">
        <f>求节点(U$6:U$44,$F$67:$F$105,$AA89)+求节点(U$67:U$105,$P$67:$P$105,$AA89)</f>
        <v>1218703.5025247517</v>
      </c>
      <c r="AN89" s="5">
        <f>求节点(V$6:V$44,$F$67:$F$105,$AA89)+求节点(V$67:V$105,$P$67:$P$105,$AA89)</f>
        <v>1276854.1866515398</v>
      </c>
      <c r="AO89" s="5">
        <f>求节点(W$6:W$44,$F$67:$F$105,$AA89)+求节点(W$67:W$105,$P$67:$P$105,$AA89)</f>
        <v>1407200.085597337</v>
      </c>
      <c r="AP89" s="5">
        <f>求节点(X$6:X$44,$F$67:$F$105,$AA89)+求节点(X$67:X$105,$P$67:$P$105,$AA89)</f>
        <v>1449412.231337219</v>
      </c>
      <c r="AQ89" s="5">
        <f>求节点(T$6:T$44,$H$67:$H$105,$AA89)</f>
        <v>675600</v>
      </c>
      <c r="AR89" s="5">
        <f>求节点(U$6:U$44,$H$67:$H$105,$AA89)</f>
        <v>708962.09243859444</v>
      </c>
      <c r="AS89" s="5">
        <f>求节点(V$6:V$44,$H$67:$H$105,$AA89)</f>
        <v>734123.44614730089</v>
      </c>
      <c r="AT89" s="5">
        <f>求节点(W$6:W$44,$H$67:$H$105,$AA89)</f>
        <v>790523.11396038625</v>
      </c>
      <c r="AU89" s="5">
        <f>求节点(X$6:X$44,$H$67:$H$105,$AA89)</f>
        <v>808787.9847132198</v>
      </c>
      <c r="AV89" s="5">
        <f>求节点(T$6:T$44,$I$67:$I$105,$AA89)</f>
        <v>12549333.333333334</v>
      </c>
      <c r="AW89" s="5">
        <f>求节点(U$6:U$44,$I$67:$I$105,$AA89)</f>
        <v>13921242.353008363</v>
      </c>
      <c r="AX89" s="5">
        <f>求节点(V$6:V$44,$I$67:$I$105,$AA89)</f>
        <v>14972986.474938288</v>
      </c>
      <c r="AY89" s="5">
        <f>求节点(W$6:W$44,$I$67:$I$105,$AA89)</f>
        <v>17385181.094873063</v>
      </c>
      <c r="AZ89" s="5">
        <f>求节点(X$6:X$44,$I$67:$I$105,$AA89)</f>
        <v>18182803.77069376</v>
      </c>
      <c r="BA89" s="5">
        <f>求节点(T$6:T$44,$E$67:$E$105,$AA89)+求节点(T$6:T$44,$K$67:$K$105,$AA89)+求节点(T$67:T$105,$O$67:$O$105,$AA89)</f>
        <v>5893.3333333333339</v>
      </c>
      <c r="BB89" s="5">
        <f>求节点(U$6:U$44,$E$67:$E$105,$AA89)+求节点(U$6:U$44,$K$67:$K$105,$AA89)+求节点(U$67:U$105,$O$67:$O$105,$AA89)</f>
        <v>6150.3450084158394</v>
      </c>
      <c r="BC89" s="5">
        <f>求节点(V$6:V$44,$E$67:$E$105,$AA89)+求节点(V$6:V$44,$K$67:$K$105,$AA89)+求节点(V$67:V$105,$O$67:$O$105,$AA89)</f>
        <v>6344.1806221717998</v>
      </c>
      <c r="BD89" s="5">
        <f>求节点(W$6:W$44,$E$67:$E$105,$AA89)+求节点(W$6:W$44,$K$67:$K$105,$AA89)+求节点(W$67:W$105,$O$67:$O$105,$AA89)</f>
        <v>6778.6669519911229</v>
      </c>
      <c r="BE89" s="5">
        <f>求节点(X$6:X$44,$E$67:$E$105,$AA89)+求节点(X$6:X$44,$K$67:$K$105,$AA89)+求节点(X$67:X$105,$O$67:$O$105,$AA89)</f>
        <v>6919.3741044573962</v>
      </c>
      <c r="BF89" s="5">
        <f>求节点(T$6:T$44,$G$67:$G$105,$AA89)</f>
        <v>0</v>
      </c>
      <c r="BG89" s="5">
        <f>求节点(U$6:U$44,$G$67:$G$105,$AA89)</f>
        <v>0</v>
      </c>
      <c r="BH89" s="5">
        <f>求节点(V$6:V$44,$G$67:$G$105,$AA89)</f>
        <v>0</v>
      </c>
      <c r="BI89" s="5">
        <f>求节点(W$6:W$44,$G$67:$G$105,$AA89)</f>
        <v>0</v>
      </c>
      <c r="BJ89" s="5">
        <f>求节点(X$6:X$44,$G$67:$G$105,$AA89)</f>
        <v>0</v>
      </c>
      <c r="BK89" s="5">
        <f>求节点(T$6:T$44,$M$67:$M$105,$AA89)</f>
        <v>56.666666666666664</v>
      </c>
      <c r="BL89" s="5">
        <f>求节点(U$6:U$44,$M$67:$M$105,$AA89)</f>
        <v>59.137932773229217</v>
      </c>
      <c r="BM89" s="5">
        <f>求节点(V$6:V$44,$M$67:$M$105,$AA89)</f>
        <v>61.001736751651912</v>
      </c>
      <c r="BN89" s="5">
        <f>求节点(W$6:W$44,$M$67:$M$105,$AA89)</f>
        <v>65.179489922991579</v>
      </c>
      <c r="BO89" s="5">
        <f>求节点(X$6:X$44,$M$67:$M$105,$AA89)</f>
        <v>66.532443312090351</v>
      </c>
      <c r="BP89" s="5">
        <f>求节点(T$67:T$105,$L$67:$L$105,$AA89)</f>
        <v>0</v>
      </c>
      <c r="BQ89" s="5">
        <f>求节点(U$67:U$105,$L$67:$L$105,$AA89)</f>
        <v>0</v>
      </c>
      <c r="BR89" s="5">
        <f>求节点(V$67:V$105,$L$67:$L$105,$AA89)</f>
        <v>0</v>
      </c>
      <c r="BS89" s="5">
        <f>求节点(W$67:W$105,$L$67:$L$105,$AA89)</f>
        <v>0</v>
      </c>
      <c r="BT89" s="5">
        <f>求节点(X$67:X$105,$L$67:$L$105,$AA89)</f>
        <v>0</v>
      </c>
      <c r="BZ89" s="5">
        <v>85</v>
      </c>
      <c r="CA89" s="5">
        <f t="shared" si="44"/>
        <v>5893.3333333333339</v>
      </c>
      <c r="CB89" s="5">
        <f t="shared" si="45"/>
        <v>6150.3450084158394</v>
      </c>
      <c r="CC89" s="5">
        <f t="shared" si="46"/>
        <v>6344.1806221717998</v>
      </c>
      <c r="CD89" s="5">
        <f t="shared" si="47"/>
        <v>6778.6669519911229</v>
      </c>
      <c r="CE89" s="5">
        <f t="shared" si="48"/>
        <v>6919.3741044573962</v>
      </c>
      <c r="CF89" s="5">
        <f>(CA89-CA88)/节奏总纲!W88</f>
        <v>2.8597378166685994</v>
      </c>
      <c r="CI89" s="5">
        <v>85</v>
      </c>
      <c r="CJ89" s="5">
        <f t="shared" si="49"/>
        <v>13600</v>
      </c>
      <c r="CK89" s="5">
        <f t="shared" si="50"/>
        <v>14193.103865575013</v>
      </c>
      <c r="CL89" s="5">
        <f t="shared" si="51"/>
        <v>14640.416820396458</v>
      </c>
      <c r="CM89" s="5">
        <f t="shared" si="52"/>
        <v>15643.077581517979</v>
      </c>
      <c r="CN89" s="5">
        <f t="shared" si="53"/>
        <v>15967.786394901685</v>
      </c>
      <c r="CO89" s="5">
        <f>(CJ89-CJ88)/节奏总纲!W88</f>
        <v>6.5993949615428642</v>
      </c>
      <c r="CP89" s="5">
        <f t="shared" si="38"/>
        <v>9.4591327782114636</v>
      </c>
      <c r="CR89" s="5">
        <v>85</v>
      </c>
      <c r="CS89" s="5">
        <f t="shared" si="39"/>
        <v>0</v>
      </c>
      <c r="CT89" s="5">
        <f t="shared" si="40"/>
        <v>0</v>
      </c>
      <c r="CU89" s="5">
        <f t="shared" si="41"/>
        <v>0</v>
      </c>
      <c r="CV89" s="5">
        <f t="shared" si="42"/>
        <v>0</v>
      </c>
      <c r="CW89" s="5">
        <f t="shared" si="43"/>
        <v>0</v>
      </c>
      <c r="CX89" s="5">
        <f t="shared" si="54"/>
        <v>0</v>
      </c>
      <c r="CY89" s="5">
        <f t="shared" si="55"/>
        <v>0</v>
      </c>
      <c r="CZ89" s="5">
        <f t="shared" si="56"/>
        <v>0</v>
      </c>
      <c r="DA89" s="5">
        <f t="shared" si="57"/>
        <v>0</v>
      </c>
      <c r="DB89" s="5">
        <f t="shared" si="58"/>
        <v>0</v>
      </c>
    </row>
    <row r="90" spans="2:106" x14ac:dyDescent="0.15">
      <c r="B90" s="5">
        <v>24</v>
      </c>
      <c r="C90" s="5">
        <f>SUM(C$6:C29)</f>
        <v>0</v>
      </c>
      <c r="D90" s="5">
        <f>SUM(D$6:D29)</f>
        <v>11782200</v>
      </c>
      <c r="E90" s="5">
        <f>SUM(E$6:E29)</f>
        <v>2880</v>
      </c>
      <c r="F90" s="5">
        <f>SUM(F$6:F29)</f>
        <v>892800</v>
      </c>
      <c r="G90" s="5">
        <f>SUM(G$6:G29)</f>
        <v>0</v>
      </c>
      <c r="H90" s="5">
        <f>SUM(H$6:H29)</f>
        <v>558600</v>
      </c>
      <c r="I90" s="5">
        <f>SUM(I$6:I29)</f>
        <v>8024000</v>
      </c>
      <c r="J90" s="5">
        <f>SUM(J$6:J29)</f>
        <v>1460000</v>
      </c>
      <c r="K90" s="5">
        <f>SUM(K$6:K29)</f>
        <v>2112</v>
      </c>
      <c r="L90" s="5">
        <f>SUM(L$6:L29)</f>
        <v>0</v>
      </c>
      <c r="M90" s="5">
        <f>SUM(M$6:M29)</f>
        <v>48</v>
      </c>
      <c r="N90" s="5">
        <f>SUM(N$6:N29)</f>
        <v>0</v>
      </c>
      <c r="O90" s="5">
        <f>SUM(O$6:O29)</f>
        <v>0</v>
      </c>
      <c r="P90" s="5">
        <f>SUM(P$6:P29)</f>
        <v>0</v>
      </c>
      <c r="Q90" s="5">
        <f>SUM(Q$6:Q29)</f>
        <v>0</v>
      </c>
      <c r="S90" s="5">
        <v>24</v>
      </c>
      <c r="T90" s="5">
        <f>T29+1</f>
        <v>73</v>
      </c>
      <c r="U90" s="5">
        <f>U29+1</f>
        <v>70.440609632737917</v>
      </c>
      <c r="V90" s="5">
        <f>V29+1</f>
        <v>68.445554373072483</v>
      </c>
      <c r="W90" s="5">
        <f>W29+1</f>
        <v>65.565962793836292</v>
      </c>
      <c r="X90" s="5">
        <f>X29+1</f>
        <v>64.36294273402045</v>
      </c>
      <c r="AA90" s="5">
        <v>86</v>
      </c>
      <c r="AB90" s="5">
        <f>求节点(T$6:T$44,$C$67:$C$105,$AA90)</f>
        <v>0</v>
      </c>
      <c r="AC90" s="5">
        <f>求节点(U$6:U$44,$C$67:$C$105,$AA90)</f>
        <v>0</v>
      </c>
      <c r="AD90" s="5">
        <f>求节点(V$6:V$44,$C$67:$C$105,$AA90)</f>
        <v>0</v>
      </c>
      <c r="AE90" s="5">
        <f>求节点(W$6:W$44,$C$67:$C$105,$AA90)</f>
        <v>0</v>
      </c>
      <c r="AF90" s="5">
        <f>求节点(X$6:X$44,$C$67:$C$105,$AA90)</f>
        <v>0</v>
      </c>
      <c r="AG90" s="5">
        <f>求节点(T$6:T$44,$D$67:$D$105,$AA90)+求节点(T$67:T$105,$Q$67:$Q$105,$AA90)</f>
        <v>29007600</v>
      </c>
      <c r="AH90" s="5">
        <f>求节点(U$6:U$44,$D$67:$D$105,$AA90)+求节点(U$67:U$105,$Q$67:$Q$105,$AA90)</f>
        <v>35689942.364029765</v>
      </c>
      <c r="AI90" s="5">
        <f>求节点(V$6:V$44,$D$67:$D$105,$AA90)+求节点(V$67:V$105,$Q$67:$Q$105,$AA90)</f>
        <v>40404252.503994465</v>
      </c>
      <c r="AJ90" s="5">
        <f>求节点(W$6:W$44,$D$67:$D$105,$AA90)+求节点(W$67:W$105,$Q$67:$Q$105,$AA90)</f>
        <v>51065196.014717475</v>
      </c>
      <c r="AK90" s="5">
        <f>求节点(X$6:X$44,$D$67:$D$105,$AA90)+求节点(X$67:X$105,$Q$67:$Q$105,$AA90)</f>
        <v>55017674.39896816</v>
      </c>
      <c r="AL90" s="5">
        <f>求节点(T$6:T$44,$F$67:$F$105,$AA90)+求节点(T$67:T$105,$P$67:$P$105,$AA90)</f>
        <v>1162800</v>
      </c>
      <c r="AM90" s="5">
        <f>求节点(U$6:U$44,$F$67:$F$105,$AA90)+求节点(U$67:U$105,$P$67:$P$105,$AA90)</f>
        <v>1244606.5417611343</v>
      </c>
      <c r="AN90" s="5">
        <f>求节点(V$6:V$44,$F$67:$F$105,$AA90)+求节点(V$67:V$105,$P$67:$P$105,$AA90)</f>
        <v>1301267.6135924447</v>
      </c>
      <c r="AO90" s="5">
        <f>求节点(W$6:W$44,$F$67:$F$105,$AA90)+求节点(W$67:W$105,$P$67:$P$105,$AA90)</f>
        <v>1429400.9922027756</v>
      </c>
      <c r="AP90" s="5">
        <f>求节点(X$6:X$44,$F$67:$F$105,$AA90)+求节点(X$67:X$105,$P$67:$P$105,$AA90)</f>
        <v>1469554.7033295473</v>
      </c>
      <c r="AQ90" s="5">
        <f>求节点(T$6:T$44,$H$67:$H$105,$AA90)</f>
        <v>684600</v>
      </c>
      <c r="AR90" s="5">
        <f>求节点(U$6:U$44,$H$67:$H$105,$AA90)</f>
        <v>720170.13826202927</v>
      </c>
      <c r="AS90" s="5">
        <f>求节点(V$6:V$44,$H$67:$H$105,$AA90)</f>
        <v>744686.94818903855</v>
      </c>
      <c r="AT90" s="5">
        <f>求节点(W$6:W$44,$H$67:$H$105,$AA90)</f>
        <v>800129.27547235484</v>
      </c>
      <c r="AU90" s="5">
        <f>求节点(X$6:X$44,$H$67:$H$105,$AA90)</f>
        <v>817503.47740220802</v>
      </c>
      <c r="AV90" s="5">
        <f>求节点(T$6:T$44,$I$67:$I$105,$AA90)</f>
        <v>12916666.666666666</v>
      </c>
      <c r="AW90" s="5">
        <f>求节点(U$6:U$44,$I$67:$I$105,$AA90)</f>
        <v>14386168.698276771</v>
      </c>
      <c r="AX90" s="5">
        <f>求节点(V$6:V$44,$I$67:$I$105,$AA90)</f>
        <v>15417436.042323995</v>
      </c>
      <c r="AY90" s="5">
        <f>求节点(W$6:W$44,$I$67:$I$105,$AA90)</f>
        <v>17802159.661244441</v>
      </c>
      <c r="AZ90" s="5">
        <f>求节点(X$6:X$44,$I$67:$I$105,$AA90)</f>
        <v>18566931.04106028</v>
      </c>
      <c r="BA90" s="5">
        <f>求节点(T$6:T$44,$E$67:$E$105,$AA90)+求节点(T$6:T$44,$K$67:$K$105,$AA90)+求节点(T$67:T$105,$O$67:$O$105,$AA90)</f>
        <v>5962.6666666666661</v>
      </c>
      <c r="BB90" s="5">
        <f>求节点(U$6:U$44,$E$67:$E$105,$AA90)+求节点(U$6:U$44,$K$67:$K$105,$AA90)+求节点(U$67:U$105,$O$67:$O$105,$AA90)</f>
        <v>6236.6884725371146</v>
      </c>
      <c r="BC90" s="5">
        <f>求节点(V$6:V$44,$E$67:$E$105,$AA90)+求节点(V$6:V$44,$K$67:$K$105,$AA90)+求节点(V$67:V$105,$O$67:$O$105,$AA90)</f>
        <v>6425.5587119748161</v>
      </c>
      <c r="BD90" s="5">
        <f>求节点(W$6:W$44,$E$67:$E$105,$AA90)+求节点(W$6:W$44,$K$67:$K$105,$AA90)+求节点(W$67:W$105,$O$67:$O$105,$AA90)</f>
        <v>6852.6699740092517</v>
      </c>
      <c r="BE90" s="5">
        <f>求节点(X$6:X$44,$E$67:$E$105,$AA90)+求节点(X$6:X$44,$K$67:$K$105,$AA90)+求节点(X$67:X$105,$O$67:$O$105,$AA90)</f>
        <v>6986.5156777651582</v>
      </c>
      <c r="BF90" s="5">
        <f>求节点(T$6:T$44,$G$67:$G$105,$AA90)</f>
        <v>0</v>
      </c>
      <c r="BG90" s="5">
        <f>求节点(U$6:U$44,$G$67:$G$105,$AA90)</f>
        <v>0</v>
      </c>
      <c r="BH90" s="5">
        <f>求节点(V$6:V$44,$G$67:$G$105,$AA90)</f>
        <v>0</v>
      </c>
      <c r="BI90" s="5">
        <f>求节点(W$6:W$44,$G$67:$G$105,$AA90)</f>
        <v>0</v>
      </c>
      <c r="BJ90" s="5">
        <f>求节点(X$6:X$44,$G$67:$G$105,$AA90)</f>
        <v>0</v>
      </c>
      <c r="BK90" s="5">
        <f>求节点(T$6:T$44,$M$67:$M$105,$AA90)</f>
        <v>57.333333333333336</v>
      </c>
      <c r="BL90" s="5">
        <f>求节点(U$6:U$44,$M$67:$M$105,$AA90)</f>
        <v>59.968158389779944</v>
      </c>
      <c r="BM90" s="5">
        <f>求节点(V$6:V$44,$M$67:$M$105,$AA90)</f>
        <v>61.784218384373233</v>
      </c>
      <c r="BN90" s="5">
        <f>求节点(W$6:W$44,$M$67:$M$105,$AA90)</f>
        <v>65.891057442396658</v>
      </c>
      <c r="BO90" s="5">
        <f>求节点(X$6:X$44,$M$67:$M$105,$AA90)</f>
        <v>67.178035363126526</v>
      </c>
      <c r="BP90" s="5">
        <f>求节点(T$67:T$105,$L$67:$L$105,$AA90)</f>
        <v>0</v>
      </c>
      <c r="BQ90" s="5">
        <f>求节点(U$67:U$105,$L$67:$L$105,$AA90)</f>
        <v>0</v>
      </c>
      <c r="BR90" s="5">
        <f>求节点(V$67:V$105,$L$67:$L$105,$AA90)</f>
        <v>0</v>
      </c>
      <c r="BS90" s="5">
        <f>求节点(W$67:W$105,$L$67:$L$105,$AA90)</f>
        <v>0</v>
      </c>
      <c r="BT90" s="5">
        <f>求节点(X$67:X$105,$L$67:$L$105,$AA90)</f>
        <v>0</v>
      </c>
      <c r="BZ90" s="5">
        <v>86</v>
      </c>
      <c r="CA90" s="5">
        <f t="shared" si="44"/>
        <v>5962.6666666666661</v>
      </c>
      <c r="CB90" s="5">
        <f t="shared" si="45"/>
        <v>6236.6884725371146</v>
      </c>
      <c r="CC90" s="5">
        <f t="shared" si="46"/>
        <v>6425.5587119748161</v>
      </c>
      <c r="CD90" s="5">
        <f t="shared" si="47"/>
        <v>6852.6699740092517</v>
      </c>
      <c r="CE90" s="5">
        <f t="shared" si="48"/>
        <v>6986.5156777651582</v>
      </c>
      <c r="CF90" s="5">
        <f>(CA90-CA89)/节奏总纲!W89</f>
        <v>2.6682297300971749</v>
      </c>
      <c r="CI90" s="5">
        <v>86</v>
      </c>
      <c r="CJ90" s="5">
        <f t="shared" si="49"/>
        <v>13760</v>
      </c>
      <c r="CK90" s="5">
        <f t="shared" si="50"/>
        <v>14392.358013547186</v>
      </c>
      <c r="CL90" s="5">
        <f t="shared" si="51"/>
        <v>14828.212412249575</v>
      </c>
      <c r="CM90" s="5">
        <f t="shared" si="52"/>
        <v>15813.853786175197</v>
      </c>
      <c r="CN90" s="5">
        <f t="shared" si="53"/>
        <v>16122.728487150365</v>
      </c>
      <c r="CO90" s="5">
        <f>(CJ90-CJ89)/节奏总纲!W89</f>
        <v>6.1574532233012809</v>
      </c>
      <c r="CP90" s="5">
        <f t="shared" si="38"/>
        <v>8.8256829533984558</v>
      </c>
      <c r="CR90" s="5">
        <v>86</v>
      </c>
      <c r="CS90" s="5">
        <f t="shared" si="39"/>
        <v>0</v>
      </c>
      <c r="CT90" s="5">
        <f t="shared" si="40"/>
        <v>0</v>
      </c>
      <c r="CU90" s="5">
        <f t="shared" si="41"/>
        <v>0</v>
      </c>
      <c r="CV90" s="5">
        <f t="shared" si="42"/>
        <v>0</v>
      </c>
      <c r="CW90" s="5">
        <f t="shared" si="43"/>
        <v>0</v>
      </c>
      <c r="CX90" s="5">
        <f t="shared" si="54"/>
        <v>0</v>
      </c>
      <c r="CY90" s="5">
        <f t="shared" si="55"/>
        <v>0</v>
      </c>
      <c r="CZ90" s="5">
        <f t="shared" si="56"/>
        <v>0</v>
      </c>
      <c r="DA90" s="5">
        <f t="shared" si="57"/>
        <v>0</v>
      </c>
      <c r="DB90" s="5">
        <f t="shared" si="58"/>
        <v>0</v>
      </c>
    </row>
    <row r="91" spans="2:106" x14ac:dyDescent="0.15">
      <c r="B91" s="5">
        <v>25</v>
      </c>
      <c r="C91" s="5">
        <f>SUM(C$6:C30)</f>
        <v>0</v>
      </c>
      <c r="D91" s="5">
        <f>SUM(D$6:D30)</f>
        <v>14446200</v>
      </c>
      <c r="E91" s="5">
        <f>SUM(E$6:E30)</f>
        <v>3000</v>
      </c>
      <c r="F91" s="5">
        <f>SUM(F$6:F30)</f>
        <v>948000</v>
      </c>
      <c r="G91" s="5">
        <f>SUM(G$6:G30)</f>
        <v>0</v>
      </c>
      <c r="H91" s="5">
        <f>SUM(H$6:H30)</f>
        <v>585600</v>
      </c>
      <c r="I91" s="5">
        <f>SUM(I$6:I30)</f>
        <v>9006000</v>
      </c>
      <c r="J91" s="5">
        <f>SUM(J$6:J30)</f>
        <v>1544000</v>
      </c>
      <c r="K91" s="5">
        <f>SUM(K$6:K30)</f>
        <v>2200</v>
      </c>
      <c r="L91" s="5">
        <f>SUM(L$6:L30)</f>
        <v>0</v>
      </c>
      <c r="M91" s="5">
        <f>SUM(M$6:M30)</f>
        <v>50</v>
      </c>
      <c r="N91" s="5">
        <f>SUM(N$6:N30)</f>
        <v>0</v>
      </c>
      <c r="O91" s="5">
        <f>SUM(O$6:O30)</f>
        <v>0</v>
      </c>
      <c r="P91" s="5">
        <f>SUM(P$6:P30)</f>
        <v>0</v>
      </c>
      <c r="Q91" s="5">
        <f>SUM(Q$6:Q30)</f>
        <v>0</v>
      </c>
      <c r="S91" s="5">
        <v>25</v>
      </c>
      <c r="T91" s="5">
        <f>T30+1</f>
        <v>76</v>
      </c>
      <c r="U91" s="5">
        <f>U30+1</f>
        <v>73.551287870200269</v>
      </c>
      <c r="V91" s="5">
        <f>V30+1</f>
        <v>71.146468785313871</v>
      </c>
      <c r="W91" s="5">
        <f>W30+1</f>
        <v>68.229111128152894</v>
      </c>
      <c r="X91" s="5">
        <f>X30+1</f>
        <v>67.084076643123851</v>
      </c>
      <c r="AA91" s="5">
        <v>87</v>
      </c>
      <c r="AB91" s="5">
        <f>求节点(T$6:T$44,$C$67:$C$105,$AA91)</f>
        <v>0</v>
      </c>
      <c r="AC91" s="5">
        <f>求节点(U$6:U$44,$C$67:$C$105,$AA91)</f>
        <v>0</v>
      </c>
      <c r="AD91" s="5">
        <f>求节点(V$6:V$44,$C$67:$C$105,$AA91)</f>
        <v>0</v>
      </c>
      <c r="AE91" s="5">
        <f>求节点(W$6:W$44,$C$67:$C$105,$AA91)</f>
        <v>0</v>
      </c>
      <c r="AF91" s="5">
        <f>求节点(X$6:X$44,$C$67:$C$105,$AA91)</f>
        <v>0</v>
      </c>
      <c r="AG91" s="5">
        <f>求节点(T$6:T$44,$D$67:$D$105,$AA91)+求节点(T$67:T$105,$Q$67:$Q$105,$AA91)</f>
        <v>30580800</v>
      </c>
      <c r="AH91" s="5">
        <f>求节点(U$6:U$44,$D$67:$D$105,$AA91)+求节点(U$67:U$105,$Q$67:$Q$105,$AA91)</f>
        <v>37500510.327636711</v>
      </c>
      <c r="AI91" s="5">
        <f>求节点(V$6:V$44,$D$67:$D$105,$AA91)+求节点(V$67:V$105,$Q$67:$Q$105,$AA91)</f>
        <v>42512572.557807989</v>
      </c>
      <c r="AJ91" s="5">
        <f>求节点(W$6:W$44,$D$67:$D$105,$AA91)+求节点(W$67:W$105,$Q$67:$Q$105,$AA91)</f>
        <v>53113430.296053328</v>
      </c>
      <c r="AK91" s="5">
        <f>求节点(X$6:X$44,$D$67:$D$105,$AA91)+求节点(X$67:X$105,$Q$67:$Q$105,$AA91)</f>
        <v>57028745.285309903</v>
      </c>
      <c r="AL91" s="5">
        <f>求节点(T$6:T$44,$F$67:$F$105,$AA91)+求节点(T$67:T$105,$P$67:$P$105,$AA91)</f>
        <v>1183200</v>
      </c>
      <c r="AM91" s="5">
        <f>求节点(U$6:U$44,$F$67:$F$105,$AA91)+求节点(U$67:U$105,$P$67:$P$105,$AA91)</f>
        <v>1266367.6729543763</v>
      </c>
      <c r="AN91" s="5">
        <f>求节点(V$6:V$44,$F$67:$F$105,$AA91)+求节点(V$67:V$105,$P$67:$P$105,$AA91)</f>
        <v>1326607.4131528984</v>
      </c>
      <c r="AO91" s="5">
        <f>求节点(W$6:W$44,$F$67:$F$105,$AA91)+求节点(W$67:W$105,$P$67:$P$105,$AA91)</f>
        <v>1450482.1864083309</v>
      </c>
      <c r="AP91" s="5">
        <f>求节点(X$6:X$44,$F$67:$F$105,$AA91)+求节点(X$67:X$105,$P$67:$P$105,$AA91)</f>
        <v>1489697.1753218758</v>
      </c>
      <c r="AQ91" s="5">
        <f>求节点(T$6:T$44,$H$67:$H$105,$AA91)</f>
        <v>693600</v>
      </c>
      <c r="AR91" s="5">
        <f>求节点(U$6:U$44,$H$67:$H$105,$AA91)</f>
        <v>729586.01233602816</v>
      </c>
      <c r="AS91" s="5">
        <f>求节点(V$6:V$44,$H$67:$H$105,$AA91)</f>
        <v>755651.28453731188</v>
      </c>
      <c r="AT91" s="5">
        <f>求节点(W$6:W$44,$H$67:$H$105,$AA91)</f>
        <v>809250.94604206632</v>
      </c>
      <c r="AU91" s="5">
        <f>求节点(X$6:X$44,$H$67:$H$105,$AA91)</f>
        <v>826218.97009119624</v>
      </c>
      <c r="AV91" s="5">
        <f>求节点(T$6:T$44,$I$67:$I$105,$AA91)</f>
        <v>13284000</v>
      </c>
      <c r="AW91" s="5">
        <f>求节点(U$6:U$44,$I$67:$I$105,$AA91)</f>
        <v>14782078.148656594</v>
      </c>
      <c r="AX91" s="5">
        <f>求节点(V$6:V$44,$I$67:$I$105,$AA91)</f>
        <v>15884117.865039181</v>
      </c>
      <c r="AY91" s="5">
        <f>求节点(W$6:W$44,$I$67:$I$105,$AA91)</f>
        <v>18203208.362594772</v>
      </c>
      <c r="AZ91" s="5">
        <f>求节点(X$6:X$44,$I$67:$I$105,$AA91)</f>
        <v>18951058.3114268</v>
      </c>
      <c r="BA91" s="5">
        <f>求节点(T$6:T$44,$E$67:$E$105,$AA91)+求节点(T$6:T$44,$K$67:$K$105,$AA91)+求节点(T$67:T$105,$O$67:$O$105,$AA91)</f>
        <v>6032</v>
      </c>
      <c r="BB91" s="5">
        <f>求节点(U$6:U$44,$E$67:$E$105,$AA91)+求节点(U$6:U$44,$K$67:$K$105,$AA91)+求节点(U$67:U$105,$O$67:$O$105,$AA91)</f>
        <v>6309.2255765145874</v>
      </c>
      <c r="BC91" s="5">
        <f>求节点(V$6:V$44,$E$67:$E$105,$AA91)+求节点(V$6:V$44,$K$67:$K$105,$AA91)+求节点(V$67:V$105,$O$67:$O$105,$AA91)</f>
        <v>6510.0247105096623</v>
      </c>
      <c r="BD91" s="5">
        <f>求节点(W$6:W$44,$E$67:$E$105,$AA91)+求节点(W$6:W$44,$K$67:$K$105,$AA91)+求节点(W$67:W$105,$O$67:$O$105,$AA91)</f>
        <v>6922.9406213611037</v>
      </c>
      <c r="BE91" s="5">
        <f>求节点(X$6:X$44,$E$67:$E$105,$AA91)+求节点(X$6:X$44,$K$67:$K$105,$AA91)+求节点(X$67:X$105,$O$67:$O$105,$AA91)</f>
        <v>7053.6572510729193</v>
      </c>
      <c r="BF91" s="5">
        <f>求节点(T$6:T$44,$G$67:$G$105,$AA91)</f>
        <v>0</v>
      </c>
      <c r="BG91" s="5">
        <f>求节点(U$6:U$44,$G$67:$G$105,$AA91)</f>
        <v>0</v>
      </c>
      <c r="BH91" s="5">
        <f>求节点(V$6:V$44,$G$67:$G$105,$AA91)</f>
        <v>0</v>
      </c>
      <c r="BI91" s="5">
        <f>求节点(W$6:W$44,$G$67:$G$105,$AA91)</f>
        <v>0</v>
      </c>
      <c r="BJ91" s="5">
        <f>求节点(X$6:X$44,$G$67:$G$105,$AA91)</f>
        <v>0</v>
      </c>
      <c r="BK91" s="5">
        <f>求节点(T$6:T$44,$M$67:$M$105,$AA91)</f>
        <v>58</v>
      </c>
      <c r="BL91" s="5">
        <f>求节点(U$6:U$44,$M$67:$M$105,$AA91)</f>
        <v>60.665630543409492</v>
      </c>
      <c r="BM91" s="5">
        <f>求节点(V$6:V$44,$M$67:$M$105,$AA91)</f>
        <v>62.596391447208283</v>
      </c>
      <c r="BN91" s="5">
        <f>求节点(W$6:W$44,$M$67:$M$105,$AA91)</f>
        <v>66.566736743856765</v>
      </c>
      <c r="BO91" s="5">
        <f>求节点(X$6:X$44,$M$67:$M$105,$AA91)</f>
        <v>67.823627414162686</v>
      </c>
      <c r="BP91" s="5">
        <f>求节点(T$67:T$105,$L$67:$L$105,$AA91)</f>
        <v>0</v>
      </c>
      <c r="BQ91" s="5">
        <f>求节点(U$67:U$105,$L$67:$L$105,$AA91)</f>
        <v>0</v>
      </c>
      <c r="BR91" s="5">
        <f>求节点(V$67:V$105,$L$67:$L$105,$AA91)</f>
        <v>0</v>
      </c>
      <c r="BS91" s="5">
        <f>求节点(W$67:W$105,$L$67:$L$105,$AA91)</f>
        <v>0</v>
      </c>
      <c r="BT91" s="5">
        <f>求节点(X$67:X$105,$L$67:$L$105,$AA91)</f>
        <v>0</v>
      </c>
      <c r="BZ91" s="5">
        <v>87</v>
      </c>
      <c r="CA91" s="5">
        <f t="shared" si="44"/>
        <v>6032</v>
      </c>
      <c r="CB91" s="5">
        <f t="shared" si="45"/>
        <v>6309.2255765145874</v>
      </c>
      <c r="CC91" s="5">
        <f t="shared" si="46"/>
        <v>6510.0247105096623</v>
      </c>
      <c r="CD91" s="5">
        <f t="shared" si="47"/>
        <v>6922.9406213611037</v>
      </c>
      <c r="CE91" s="5">
        <f t="shared" si="48"/>
        <v>7053.6572510729193</v>
      </c>
      <c r="CF91" s="5">
        <f>(CA91-CA90)/节奏总纲!W90</f>
        <v>2.4895463671801172</v>
      </c>
      <c r="CI91" s="5">
        <v>87</v>
      </c>
      <c r="CJ91" s="5">
        <f t="shared" si="49"/>
        <v>13920</v>
      </c>
      <c r="CK91" s="5">
        <f t="shared" si="50"/>
        <v>14559.751330418278</v>
      </c>
      <c r="CL91" s="5">
        <f t="shared" si="51"/>
        <v>15023.133947329989</v>
      </c>
      <c r="CM91" s="5">
        <f t="shared" si="52"/>
        <v>15976.016818525624</v>
      </c>
      <c r="CN91" s="5">
        <f t="shared" si="53"/>
        <v>16277.670579399044</v>
      </c>
      <c r="CO91" s="5">
        <f>(CJ91-CJ90)/节奏总纲!W90</f>
        <v>5.7451070011848353</v>
      </c>
      <c r="CP91" s="5">
        <f t="shared" si="38"/>
        <v>8.2346533683649525</v>
      </c>
      <c r="CR91" s="5">
        <v>87</v>
      </c>
      <c r="CS91" s="5">
        <f t="shared" si="39"/>
        <v>0</v>
      </c>
      <c r="CT91" s="5">
        <f t="shared" si="40"/>
        <v>0</v>
      </c>
      <c r="CU91" s="5">
        <f t="shared" si="41"/>
        <v>0</v>
      </c>
      <c r="CV91" s="5">
        <f t="shared" si="42"/>
        <v>0</v>
      </c>
      <c r="CW91" s="5">
        <f t="shared" si="43"/>
        <v>0</v>
      </c>
      <c r="CX91" s="5">
        <f t="shared" si="54"/>
        <v>0</v>
      </c>
      <c r="CY91" s="5">
        <f t="shared" si="55"/>
        <v>0</v>
      </c>
      <c r="CZ91" s="5">
        <f t="shared" si="56"/>
        <v>0</v>
      </c>
      <c r="DA91" s="5">
        <f t="shared" si="57"/>
        <v>0</v>
      </c>
      <c r="DB91" s="5">
        <f t="shared" si="58"/>
        <v>0</v>
      </c>
    </row>
    <row r="92" spans="2:106" x14ac:dyDescent="0.15">
      <c r="B92" s="5">
        <v>26</v>
      </c>
      <c r="C92" s="5">
        <f>SUM(C$6:C31)</f>
        <v>0</v>
      </c>
      <c r="D92" s="5">
        <f>SUM(D$6:D31)</f>
        <v>17670000</v>
      </c>
      <c r="E92" s="5">
        <f>SUM(E$6:E31)</f>
        <v>3120</v>
      </c>
      <c r="F92" s="5">
        <f>SUM(F$6:F31)</f>
        <v>1004400</v>
      </c>
      <c r="G92" s="5">
        <f>SUM(G$6:G31)</f>
        <v>0</v>
      </c>
      <c r="H92" s="5">
        <f>SUM(H$6:H31)</f>
        <v>612600</v>
      </c>
      <c r="I92" s="5">
        <f>SUM(I$6:I31)</f>
        <v>10030000</v>
      </c>
      <c r="J92" s="5">
        <f>SUM(J$6:J31)</f>
        <v>1630000</v>
      </c>
      <c r="K92" s="5">
        <f>SUM(K$6:K31)</f>
        <v>2288</v>
      </c>
      <c r="L92" s="5">
        <f>SUM(L$6:L31)</f>
        <v>0</v>
      </c>
      <c r="M92" s="5">
        <f>SUM(M$6:M31)</f>
        <v>52</v>
      </c>
      <c r="N92" s="5">
        <f>SUM(N$6:N31)</f>
        <v>0</v>
      </c>
      <c r="O92" s="5">
        <f>SUM(O$6:O31)</f>
        <v>0</v>
      </c>
      <c r="P92" s="5">
        <f>SUM(P$6:P31)</f>
        <v>0</v>
      </c>
      <c r="Q92" s="5">
        <f>SUM(Q$6:Q31)</f>
        <v>0</v>
      </c>
      <c r="S92" s="5">
        <v>26</v>
      </c>
      <c r="T92" s="5">
        <f>T31+1</f>
        <v>79</v>
      </c>
      <c r="U92" s="5">
        <f>U31+1</f>
        <v>76.603800187926879</v>
      </c>
      <c r="V92" s="5">
        <f>V31+1</f>
        <v>74.405577469188358</v>
      </c>
      <c r="W92" s="5">
        <f>W31+1</f>
        <v>70.877865220905022</v>
      </c>
      <c r="X92" s="5">
        <f>X31+1</f>
        <v>69.722086327728192</v>
      </c>
      <c r="AA92" s="5">
        <v>88</v>
      </c>
      <c r="AB92" s="5">
        <f>求节点(T$6:T$44,$C$67:$C$105,$AA92)</f>
        <v>0</v>
      </c>
      <c r="AC92" s="5">
        <f>求节点(U$6:U$44,$C$67:$C$105,$AA92)</f>
        <v>0</v>
      </c>
      <c r="AD92" s="5">
        <f>求节点(V$6:V$44,$C$67:$C$105,$AA92)</f>
        <v>0</v>
      </c>
      <c r="AE92" s="5">
        <f>求节点(W$6:W$44,$C$67:$C$105,$AA92)</f>
        <v>0</v>
      </c>
      <c r="AF92" s="5">
        <f>求节点(X$6:X$44,$C$67:$C$105,$AA92)</f>
        <v>0</v>
      </c>
      <c r="AG92" s="5">
        <f>求节点(T$6:T$44,$D$67:$D$105,$AA92)+求节点(T$67:T$105,$Q$67:$Q$105,$AA92)</f>
        <v>32311400</v>
      </c>
      <c r="AH92" s="5">
        <f>求节点(U$6:U$44,$D$67:$D$105,$AA92)+求节点(U$67:U$105,$Q$67:$Q$105,$AA92)</f>
        <v>39297334.168960489</v>
      </c>
      <c r="AI92" s="5">
        <f>求节点(V$6:V$44,$D$67:$D$105,$AA92)+求节点(V$67:V$105,$Q$67:$Q$105,$AA92)</f>
        <v>44650240.731842697</v>
      </c>
      <c r="AJ92" s="5">
        <f>求节点(W$6:W$44,$D$67:$D$105,$AA92)+求节点(W$67:W$105,$Q$67:$Q$105,$AA92)</f>
        <v>55198015.130855665</v>
      </c>
      <c r="AK92" s="5">
        <f>求节点(X$6:X$44,$D$67:$D$105,$AA92)+求节点(X$67:X$105,$Q$67:$Q$105,$AA92)</f>
        <v>59438223.540867552</v>
      </c>
      <c r="AL92" s="5">
        <f>求节点(T$6:T$44,$F$67:$F$105,$AA92)+求节点(T$67:T$105,$P$67:$P$105,$AA92)</f>
        <v>1204000</v>
      </c>
      <c r="AM92" s="5">
        <f>求节点(U$6:U$44,$F$67:$F$105,$AA92)+求节点(U$67:U$105,$P$67:$P$105,$AA92)</f>
        <v>1287963.6141883614</v>
      </c>
      <c r="AN92" s="5">
        <f>求节点(V$6:V$44,$F$67:$F$105,$AA92)+求节点(V$67:V$105,$P$67:$P$105,$AA92)</f>
        <v>1352299.946389881</v>
      </c>
      <c r="AO92" s="5">
        <f>求节点(W$6:W$44,$F$67:$F$105,$AA92)+求节点(W$67:W$105,$P$67:$P$105,$AA92)</f>
        <v>1471360.958974632</v>
      </c>
      <c r="AP92" s="5">
        <f>求节点(X$6:X$44,$F$67:$F$105,$AA92)+求节点(X$67:X$105,$P$67:$P$105,$AA92)</f>
        <v>1510683.8443301497</v>
      </c>
      <c r="AQ92" s="5">
        <f>求节点(T$6:T$44,$H$67:$H$105,$AA92)</f>
        <v>702600</v>
      </c>
      <c r="AR92" s="5">
        <f>求节点(U$6:U$44,$H$67:$H$105,$AA92)</f>
        <v>738930.4099853487</v>
      </c>
      <c r="AS92" s="5">
        <f>求节点(V$6:V$44,$H$67:$H$105,$AA92)</f>
        <v>766768.24603408307</v>
      </c>
      <c r="AT92" s="5">
        <f>求节点(W$6:W$44,$H$67:$H$105,$AA92)</f>
        <v>818285.03032556199</v>
      </c>
      <c r="AU92" s="5">
        <f>求节点(X$6:X$44,$H$67:$H$105,$AA92)</f>
        <v>834606.6637487649</v>
      </c>
      <c r="AV92" s="5">
        <f>求节点(T$6:T$44,$I$67:$I$105,$AA92)</f>
        <v>13657333.333333334</v>
      </c>
      <c r="AW92" s="5">
        <f>求节点(U$6:U$44,$I$67:$I$105,$AA92)</f>
        <v>15175235.027531708</v>
      </c>
      <c r="AX92" s="5">
        <f>求节点(V$6:V$44,$I$67:$I$105,$AA92)</f>
        <v>16359265.034197479</v>
      </c>
      <c r="AY92" s="5">
        <f>求节点(W$6:W$44,$I$67:$I$105,$AA92)</f>
        <v>18601377.262496989</v>
      </c>
      <c r="AZ92" s="5">
        <f>求节点(X$6:X$44,$I$67:$I$105,$AA92)</f>
        <v>19324742.5855003</v>
      </c>
      <c r="BA92" s="5">
        <f>求节点(T$6:T$44,$E$67:$E$105,$AA92)+求节点(T$6:T$44,$K$67:$K$105,$AA92)+求节点(T$67:T$105,$O$67:$O$105,$AA92)</f>
        <v>6101.3333333333339</v>
      </c>
      <c r="BB92" s="5">
        <f>求节点(U$6:U$44,$E$67:$E$105,$AA92)+求节点(U$6:U$44,$K$67:$K$105,$AA92)+求节点(U$67:U$105,$O$67:$O$105,$AA92)</f>
        <v>6381.212047294538</v>
      </c>
      <c r="BC92" s="5">
        <f>求节点(V$6:V$44,$E$67:$E$105,$AA92)+求节点(V$6:V$44,$K$67:$K$105,$AA92)+求节点(V$67:V$105,$O$67:$O$105,$AA92)</f>
        <v>6595.6664879662694</v>
      </c>
      <c r="BD92" s="5">
        <f>求节点(W$6:W$44,$E$67:$E$105,$AA92)+求节点(W$6:W$44,$K$67:$K$105,$AA92)+求节点(W$67:W$105,$O$67:$O$105,$AA92)</f>
        <v>6992.53652991544</v>
      </c>
      <c r="BE92" s="5">
        <f>求节点(X$6:X$44,$E$67:$E$105,$AA92)+求节点(X$6:X$44,$K$67:$K$105,$AA92)+求节点(X$67:X$105,$O$67:$O$105,$AA92)</f>
        <v>7118.2735577682633</v>
      </c>
      <c r="BF92" s="5">
        <f>求节点(T$6:T$44,$G$67:$G$105,$AA92)</f>
        <v>0</v>
      </c>
      <c r="BG92" s="5">
        <f>求节点(U$6:U$44,$G$67:$G$105,$AA92)</f>
        <v>0</v>
      </c>
      <c r="BH92" s="5">
        <f>求节点(V$6:V$44,$G$67:$G$105,$AA92)</f>
        <v>0</v>
      </c>
      <c r="BI92" s="5">
        <f>求节点(W$6:W$44,$G$67:$G$105,$AA92)</f>
        <v>0</v>
      </c>
      <c r="BJ92" s="5">
        <f>求节点(X$6:X$44,$G$67:$G$105,$AA92)</f>
        <v>0</v>
      </c>
      <c r="BK92" s="5">
        <f>求节点(T$6:T$44,$M$67:$M$105,$AA92)</f>
        <v>58.666666666666664</v>
      </c>
      <c r="BL92" s="5">
        <f>求节点(U$6:U$44,$M$67:$M$105,$AA92)</f>
        <v>61.357808147062869</v>
      </c>
      <c r="BM92" s="5">
        <f>求节点(V$6:V$44,$M$67:$M$105,$AA92)</f>
        <v>63.419870076598748</v>
      </c>
      <c r="BN92" s="5">
        <f>求节点(W$6:W$44,$M$67:$M$105,$AA92)</f>
        <v>67.235928172263854</v>
      </c>
      <c r="BO92" s="5">
        <f>求节点(X$6:X$44,$M$67:$M$105,$AA92)</f>
        <v>68.444938055464064</v>
      </c>
      <c r="BP92" s="5">
        <f>求节点(T$67:T$105,$L$67:$L$105,$AA92)</f>
        <v>0</v>
      </c>
      <c r="BQ92" s="5">
        <f>求节点(U$67:U$105,$L$67:$L$105,$AA92)</f>
        <v>0</v>
      </c>
      <c r="BR92" s="5">
        <f>求节点(V$67:V$105,$L$67:$L$105,$AA92)</f>
        <v>0</v>
      </c>
      <c r="BS92" s="5">
        <f>求节点(W$67:W$105,$L$67:$L$105,$AA92)</f>
        <v>0</v>
      </c>
      <c r="BT92" s="5">
        <f>求节点(X$67:X$105,$L$67:$L$105,$AA92)</f>
        <v>0</v>
      </c>
      <c r="BZ92" s="5">
        <v>88</v>
      </c>
      <c r="CA92" s="5">
        <f t="shared" si="44"/>
        <v>6101.3333333333339</v>
      </c>
      <c r="CB92" s="5">
        <f t="shared" si="45"/>
        <v>6381.212047294538</v>
      </c>
      <c r="CC92" s="5">
        <f t="shared" si="46"/>
        <v>6595.6664879662694</v>
      </c>
      <c r="CD92" s="5">
        <f t="shared" si="47"/>
        <v>6992.53652991544</v>
      </c>
      <c r="CE92" s="5">
        <f t="shared" si="48"/>
        <v>7118.2735577682633</v>
      </c>
      <c r="CF92" s="5">
        <f>(CA92-CA91)/节奏总纲!W91</f>
        <v>2.3228288945395947</v>
      </c>
      <c r="CI92" s="5">
        <v>88</v>
      </c>
      <c r="CJ92" s="5">
        <f t="shared" si="49"/>
        <v>14080</v>
      </c>
      <c r="CK92" s="5">
        <f t="shared" si="50"/>
        <v>14725.873955295088</v>
      </c>
      <c r="CL92" s="5">
        <f t="shared" si="51"/>
        <v>15220.7688183837</v>
      </c>
      <c r="CM92" s="5">
        <f t="shared" si="52"/>
        <v>16136.622761343326</v>
      </c>
      <c r="CN92" s="5">
        <f t="shared" si="53"/>
        <v>16426.785133311376</v>
      </c>
      <c r="CO92" s="5">
        <f>(CJ92-CJ91)/节奏总纲!W91</f>
        <v>5.3603743720144026</v>
      </c>
      <c r="CP92" s="5">
        <f t="shared" si="38"/>
        <v>7.6832032665539973</v>
      </c>
      <c r="CR92" s="5">
        <v>88</v>
      </c>
      <c r="CS92" s="5">
        <f t="shared" si="39"/>
        <v>0</v>
      </c>
      <c r="CT92" s="5">
        <f t="shared" si="40"/>
        <v>0</v>
      </c>
      <c r="CU92" s="5">
        <f t="shared" si="41"/>
        <v>0</v>
      </c>
      <c r="CV92" s="5">
        <f t="shared" si="42"/>
        <v>0</v>
      </c>
      <c r="CW92" s="5">
        <f t="shared" si="43"/>
        <v>0</v>
      </c>
      <c r="CX92" s="5">
        <f t="shared" si="54"/>
        <v>0</v>
      </c>
      <c r="CY92" s="5">
        <f t="shared" si="55"/>
        <v>0</v>
      </c>
      <c r="CZ92" s="5">
        <f t="shared" si="56"/>
        <v>0</v>
      </c>
      <c r="DA92" s="5">
        <f t="shared" si="57"/>
        <v>0</v>
      </c>
      <c r="DB92" s="5">
        <f t="shared" si="58"/>
        <v>0</v>
      </c>
    </row>
    <row r="93" spans="2:106" x14ac:dyDescent="0.15">
      <c r="B93" s="5">
        <v>27</v>
      </c>
      <c r="C93" s="5">
        <f>SUM(C$6:C32)</f>
        <v>0</v>
      </c>
      <c r="D93" s="5">
        <f>SUM(D$6:D32)</f>
        <v>21570600</v>
      </c>
      <c r="E93" s="5">
        <f>SUM(E$6:E32)</f>
        <v>3240</v>
      </c>
      <c r="F93" s="5">
        <f>SUM(F$6:F32)</f>
        <v>1062600</v>
      </c>
      <c r="G93" s="5">
        <f>SUM(G$6:G32)</f>
        <v>0</v>
      </c>
      <c r="H93" s="5">
        <f>SUM(H$6:H32)</f>
        <v>639600</v>
      </c>
      <c r="I93" s="5">
        <f>SUM(I$6:I32)</f>
        <v>11096000</v>
      </c>
      <c r="J93" s="5">
        <f>SUM(J$6:J32)</f>
        <v>1718000</v>
      </c>
      <c r="K93" s="5">
        <f>SUM(K$6:K32)</f>
        <v>2376</v>
      </c>
      <c r="L93" s="5">
        <f>SUM(L$6:L32)</f>
        <v>0</v>
      </c>
      <c r="M93" s="5">
        <f>SUM(M$6:M32)</f>
        <v>54</v>
      </c>
      <c r="N93" s="5">
        <f>SUM(N$6:N32)</f>
        <v>0</v>
      </c>
      <c r="O93" s="5">
        <f>SUM(O$6:O32)</f>
        <v>0</v>
      </c>
      <c r="P93" s="5">
        <f>SUM(P$6:P32)</f>
        <v>0</v>
      </c>
      <c r="Q93" s="5">
        <f>SUM(Q$6:Q32)</f>
        <v>0</v>
      </c>
      <c r="S93" s="5">
        <v>27</v>
      </c>
      <c r="T93" s="5">
        <f>T32+1</f>
        <v>82</v>
      </c>
      <c r="U93" s="5">
        <f>U32+1</f>
        <v>79.206030820276141</v>
      </c>
      <c r="V93" s="5">
        <f>V32+1</f>
        <v>76.937589384648476</v>
      </c>
      <c r="W93" s="5">
        <f>W32+1</f>
        <v>73.356875978489199</v>
      </c>
      <c r="X93" s="5">
        <f>X32+1</f>
        <v>72.038773752306952</v>
      </c>
      <c r="AA93" s="5">
        <v>89</v>
      </c>
      <c r="AB93" s="5">
        <f>求节点(T$6:T$44,$C$67:$C$105,$AA93)</f>
        <v>0</v>
      </c>
      <c r="AC93" s="5">
        <f>求节点(U$6:U$44,$C$67:$C$105,$AA93)</f>
        <v>0</v>
      </c>
      <c r="AD93" s="5">
        <f>求节点(V$6:V$44,$C$67:$C$105,$AA93)</f>
        <v>0</v>
      </c>
      <c r="AE93" s="5">
        <f>求节点(W$6:W$44,$C$67:$C$105,$AA93)</f>
        <v>0</v>
      </c>
      <c r="AF93" s="5">
        <f>求节点(X$6:X$44,$C$67:$C$105,$AA93)</f>
        <v>0</v>
      </c>
      <c r="AG93" s="5">
        <f>求节点(T$6:T$44,$D$67:$D$105,$AA93)+求节点(T$67:T$105,$Q$67:$Q$105,$AA93)</f>
        <v>34042000</v>
      </c>
      <c r="AH93" s="5">
        <f>求节点(U$6:U$44,$D$67:$D$105,$AA93)+求节点(U$67:U$105,$Q$67:$Q$105,$AA93)</f>
        <v>41100984.004796237</v>
      </c>
      <c r="AI93" s="5">
        <f>求节点(V$6:V$44,$D$67:$D$105,$AA93)+求节点(V$67:V$105,$Q$67:$Q$105,$AA93)</f>
        <v>46731189.585298173</v>
      </c>
      <c r="AJ93" s="5">
        <f>求节点(W$6:W$44,$D$67:$D$105,$AA93)+求节点(W$67:W$105,$Q$67:$Q$105,$AA93)</f>
        <v>57282599.965658009</v>
      </c>
      <c r="AK93" s="5">
        <f>求节点(X$6:X$44,$D$67:$D$105,$AA93)+求节点(X$67:X$105,$Q$67:$Q$105,$AA93)</f>
        <v>61997457.173464954</v>
      </c>
      <c r="AL93" s="5">
        <f>求节点(T$6:T$44,$F$67:$F$105,$AA93)+求节点(T$67:T$105,$P$67:$P$105,$AA93)</f>
        <v>1224800</v>
      </c>
      <c r="AM93" s="5">
        <f>求节点(U$6:U$44,$F$67:$F$105,$AA93)+求节点(U$67:U$105,$P$67:$P$105,$AA93)</f>
        <v>1309641.5967293202</v>
      </c>
      <c r="AN93" s="5">
        <f>求节点(V$6:V$44,$F$67:$F$105,$AA93)+求节点(V$67:V$105,$P$67:$P$105,$AA93)</f>
        <v>1377310.7727806552</v>
      </c>
      <c r="AO93" s="5">
        <f>求节点(W$6:W$44,$F$67:$F$105,$AA93)+求节点(W$67:W$105,$P$67:$P$105,$AA93)</f>
        <v>1492239.731540933</v>
      </c>
      <c r="AP93" s="5">
        <f>求节点(X$6:X$44,$F$67:$F$105,$AA93)+求节点(X$67:X$105,$P$67:$P$105,$AA93)</f>
        <v>1531987.834382629</v>
      </c>
      <c r="AQ93" s="5">
        <f>求节点(T$6:T$44,$H$67:$H$105,$AA93)</f>
        <v>711600</v>
      </c>
      <c r="AR93" s="5">
        <f>求节点(U$6:U$44,$H$67:$H$105,$AA93)</f>
        <v>748310.30627710978</v>
      </c>
      <c r="AS93" s="5">
        <f>求节点(V$6:V$44,$H$67:$H$105,$AA93)</f>
        <v>777590.23822239891</v>
      </c>
      <c r="AT93" s="5">
        <f>求节点(W$6:W$44,$H$67:$H$105,$AA93)</f>
        <v>827319.11460905755</v>
      </c>
      <c r="AU93" s="5">
        <f>求节点(X$6:X$44,$H$67:$H$105,$AA93)</f>
        <v>842871.14264843368</v>
      </c>
      <c r="AV93" s="5">
        <f>求节点(T$6:T$44,$I$67:$I$105,$AA93)</f>
        <v>14030666.666666666</v>
      </c>
      <c r="AW93" s="5">
        <f>求节点(U$6:U$44,$I$67:$I$105,$AA93)</f>
        <v>15570359.016436469</v>
      </c>
      <c r="AX93" s="5">
        <f>求节点(V$6:V$44,$I$67:$I$105,$AA93)</f>
        <v>16823798.488764871</v>
      </c>
      <c r="AY93" s="5">
        <f>求节点(W$6:W$44,$I$67:$I$105,$AA93)</f>
        <v>18999546.162399206</v>
      </c>
      <c r="AZ93" s="5">
        <f>求节点(X$6:X$44,$I$67:$I$105,$AA93)</f>
        <v>19694501.493307699</v>
      </c>
      <c r="BA93" s="5">
        <f>求节点(T$6:T$44,$E$67:$E$105,$AA93)+求节点(T$6:T$44,$K$67:$K$105,$AA93)+求节点(T$67:T$105,$O$67:$O$105,$AA93)</f>
        <v>6170.6666666666661</v>
      </c>
      <c r="BB93" s="5">
        <f>求节点(U$6:U$44,$E$67:$E$105,$AA93)+求节点(U$6:U$44,$K$67:$K$105,$AA93)+求节点(U$67:U$105,$O$67:$O$105,$AA93)</f>
        <v>6453.471989097734</v>
      </c>
      <c r="BC93" s="5">
        <f>求节点(V$6:V$44,$E$67:$E$105,$AA93)+求节点(V$6:V$44,$K$67:$K$105,$AA93)+求节点(V$67:V$105,$O$67:$O$105,$AA93)</f>
        <v>6679.0359092688514</v>
      </c>
      <c r="BD93" s="5">
        <f>求节点(W$6:W$44,$E$67:$E$105,$AA93)+求节点(W$6:W$44,$K$67:$K$105,$AA93)+求节点(W$67:W$105,$O$67:$O$105,$AA93)</f>
        <v>7062.1324384697764</v>
      </c>
      <c r="BE93" s="5">
        <f>求节点(X$6:X$44,$E$67:$E$105,$AA93)+求节点(X$6:X$44,$K$67:$K$105,$AA93)+求节点(X$67:X$105,$O$67:$O$105,$AA93)</f>
        <v>7181.9406544768226</v>
      </c>
      <c r="BF93" s="5">
        <f>求节点(T$6:T$44,$G$67:$G$105,$AA93)</f>
        <v>0</v>
      </c>
      <c r="BG93" s="5">
        <f>求节点(U$6:U$44,$G$67:$G$105,$AA93)</f>
        <v>0</v>
      </c>
      <c r="BH93" s="5">
        <f>求节点(V$6:V$44,$G$67:$G$105,$AA93)</f>
        <v>0</v>
      </c>
      <c r="BI93" s="5">
        <f>求节点(W$6:W$44,$G$67:$G$105,$AA93)</f>
        <v>0</v>
      </c>
      <c r="BJ93" s="5">
        <f>求节点(X$6:X$44,$G$67:$G$105,$AA93)</f>
        <v>0</v>
      </c>
      <c r="BK93" s="5">
        <f>求节点(T$6:T$44,$M$67:$M$105,$AA93)</f>
        <v>59.333333333333336</v>
      </c>
      <c r="BL93" s="5">
        <f>求节点(U$6:U$44,$M$67:$M$105,$AA93)</f>
        <v>62.052615279785904</v>
      </c>
      <c r="BM93" s="5">
        <f>求节点(V$6:V$44,$M$67:$M$105,$AA93)</f>
        <v>64.221499127585105</v>
      </c>
      <c r="BN93" s="5">
        <f>求节点(W$6:W$44,$M$67:$M$105,$AA93)</f>
        <v>67.905119600670929</v>
      </c>
      <c r="BO93" s="5">
        <f>求节点(X$6:X$44,$M$67:$M$105,$AA93)</f>
        <v>69.057121677661755</v>
      </c>
      <c r="BP93" s="5">
        <f>求节点(T$67:T$105,$L$67:$L$105,$AA93)</f>
        <v>0</v>
      </c>
      <c r="BQ93" s="5">
        <f>求节点(U$67:U$105,$L$67:$L$105,$AA93)</f>
        <v>0</v>
      </c>
      <c r="BR93" s="5">
        <f>求节点(V$67:V$105,$L$67:$L$105,$AA93)</f>
        <v>0</v>
      </c>
      <c r="BS93" s="5">
        <f>求节点(W$67:W$105,$L$67:$L$105,$AA93)</f>
        <v>0</v>
      </c>
      <c r="BT93" s="5">
        <f>求节点(X$67:X$105,$L$67:$L$105,$AA93)</f>
        <v>0</v>
      </c>
      <c r="BZ93" s="5">
        <v>89</v>
      </c>
      <c r="CA93" s="5">
        <f t="shared" si="44"/>
        <v>6170.6666666666661</v>
      </c>
      <c r="CB93" s="5">
        <f t="shared" si="45"/>
        <v>6453.471989097734</v>
      </c>
      <c r="CC93" s="5">
        <f t="shared" si="46"/>
        <v>6679.0359092688514</v>
      </c>
      <c r="CD93" s="5">
        <f t="shared" si="47"/>
        <v>7062.1324384697764</v>
      </c>
      <c r="CE93" s="5">
        <f t="shared" si="48"/>
        <v>7181.9406544768226</v>
      </c>
      <c r="CF93" s="5">
        <f>(CA93-CA92)/节奏总纲!W92</f>
        <v>2.1672759923003824</v>
      </c>
      <c r="CI93" s="5">
        <v>89</v>
      </c>
      <c r="CJ93" s="5">
        <f t="shared" si="49"/>
        <v>14240</v>
      </c>
      <c r="CK93" s="5">
        <f t="shared" si="50"/>
        <v>14892.627667148618</v>
      </c>
      <c r="CL93" s="5">
        <f t="shared" si="51"/>
        <v>15413.159790620426</v>
      </c>
      <c r="CM93" s="5">
        <f t="shared" si="52"/>
        <v>16297.228704161023</v>
      </c>
      <c r="CN93" s="5">
        <f t="shared" si="53"/>
        <v>16573.70920263882</v>
      </c>
      <c r="CO93" s="5">
        <f>(CJ93-CJ92)/节奏总纲!W92</f>
        <v>5.0014061360778932</v>
      </c>
      <c r="CP93" s="5">
        <f t="shared" si="38"/>
        <v>7.1686821283782756</v>
      </c>
      <c r="CR93" s="5">
        <v>89</v>
      </c>
      <c r="CS93" s="5">
        <f t="shared" si="39"/>
        <v>0</v>
      </c>
      <c r="CT93" s="5">
        <f t="shared" si="40"/>
        <v>0</v>
      </c>
      <c r="CU93" s="5">
        <f t="shared" si="41"/>
        <v>0</v>
      </c>
      <c r="CV93" s="5">
        <f t="shared" si="42"/>
        <v>0</v>
      </c>
      <c r="CW93" s="5">
        <f t="shared" si="43"/>
        <v>0</v>
      </c>
      <c r="CX93" s="5">
        <f t="shared" si="54"/>
        <v>0</v>
      </c>
      <c r="CY93" s="5">
        <f t="shared" si="55"/>
        <v>0</v>
      </c>
      <c r="CZ93" s="5">
        <f t="shared" si="56"/>
        <v>0</v>
      </c>
      <c r="DA93" s="5">
        <f t="shared" si="57"/>
        <v>0</v>
      </c>
      <c r="DB93" s="5">
        <f t="shared" si="58"/>
        <v>0</v>
      </c>
    </row>
    <row r="94" spans="2:106" x14ac:dyDescent="0.15">
      <c r="B94" s="5">
        <v>28</v>
      </c>
      <c r="C94" s="5">
        <f>SUM(C$6:C33)</f>
        <v>0</v>
      </c>
      <c r="D94" s="5">
        <f>SUM(D$6:D33)</f>
        <v>25861200</v>
      </c>
      <c r="E94" s="5">
        <f>SUM(E$6:E33)</f>
        <v>3360</v>
      </c>
      <c r="F94" s="5">
        <f>SUM(F$6:F33)</f>
        <v>1122000</v>
      </c>
      <c r="G94" s="5">
        <f>SUM(G$6:G33)</f>
        <v>0</v>
      </c>
      <c r="H94" s="5">
        <f>SUM(H$6:H33)</f>
        <v>666600</v>
      </c>
      <c r="I94" s="5">
        <f>SUM(I$6:I33)</f>
        <v>12182000</v>
      </c>
      <c r="J94" s="5">
        <f>SUM(J$6:J33)</f>
        <v>1806000</v>
      </c>
      <c r="K94" s="5">
        <f>SUM(K$6:K33)</f>
        <v>2464</v>
      </c>
      <c r="L94" s="5">
        <f>SUM(L$6:L33)</f>
        <v>0</v>
      </c>
      <c r="M94" s="5">
        <f>SUM(M$6:M33)</f>
        <v>56</v>
      </c>
      <c r="N94" s="5">
        <f>SUM(N$6:N33)</f>
        <v>0</v>
      </c>
      <c r="O94" s="5">
        <f>SUM(O$6:O33)</f>
        <v>0</v>
      </c>
      <c r="P94" s="5">
        <f>SUM(P$6:P33)</f>
        <v>0</v>
      </c>
      <c r="Q94" s="5">
        <f>SUM(Q$6:Q33)</f>
        <v>0</v>
      </c>
      <c r="S94" s="5">
        <v>28</v>
      </c>
      <c r="T94" s="5">
        <f>T33+1</f>
        <v>85</v>
      </c>
      <c r="U94" s="5">
        <f>U33+1</f>
        <v>81.770825020579196</v>
      </c>
      <c r="V94" s="5">
        <f>V33+1</f>
        <v>79.446808845444806</v>
      </c>
      <c r="W94" s="5">
        <f>W33+1</f>
        <v>75.624309926393636</v>
      </c>
      <c r="X94" s="5">
        <f>X33+1</f>
        <v>74.339870572309351</v>
      </c>
      <c r="AA94" s="5">
        <v>90</v>
      </c>
      <c r="AB94" s="5">
        <f>求节点(T$6:T$44,$C$67:$C$105,$AA94)</f>
        <v>0</v>
      </c>
      <c r="AC94" s="5">
        <f>求节点(U$6:U$44,$C$67:$C$105,$AA94)</f>
        <v>0</v>
      </c>
      <c r="AD94" s="5">
        <f>求节点(V$6:V$44,$C$67:$C$105,$AA94)</f>
        <v>0</v>
      </c>
      <c r="AE94" s="5">
        <f>求节点(W$6:W$44,$C$67:$C$105,$AA94)</f>
        <v>0</v>
      </c>
      <c r="AF94" s="5">
        <f>求节点(X$6:X$44,$C$67:$C$105,$AA94)</f>
        <v>0</v>
      </c>
      <c r="AG94" s="5">
        <f>求节点(T$6:T$44,$D$67:$D$105,$AA94)+求节点(T$67:T$105,$Q$67:$Q$105,$AA94)</f>
        <v>35772600</v>
      </c>
      <c r="AH94" s="5">
        <f>求节点(U$6:U$44,$D$67:$D$105,$AA94)+求节点(U$67:U$105,$Q$67:$Q$105,$AA94)</f>
        <v>42992330.794283018</v>
      </c>
      <c r="AI94" s="5">
        <f>求节点(V$6:V$44,$D$67:$D$105,$AA94)+求节点(V$67:V$105,$Q$67:$Q$105,$AA94)</f>
        <v>48676922.699803084</v>
      </c>
      <c r="AJ94" s="5">
        <f>求节点(W$6:W$44,$D$67:$D$105,$AA94)+求节点(W$67:W$105,$Q$67:$Q$105,$AA94)</f>
        <v>59686535.391170494</v>
      </c>
      <c r="AK94" s="5">
        <f>求节点(X$6:X$44,$D$67:$D$105,$AA94)+求节点(X$67:X$105,$Q$67:$Q$105,$AA94)</f>
        <v>64556690.806062363</v>
      </c>
      <c r="AL94" s="5">
        <f>求节点(T$6:T$44,$F$67:$F$105,$AA94)+求节点(T$67:T$105,$P$67:$P$105,$AA94)</f>
        <v>1245600</v>
      </c>
      <c r="AM94" s="5">
        <f>求节点(U$6:U$44,$F$67:$F$105,$AA94)+求节点(U$67:U$105,$P$67:$P$105,$AA94)</f>
        <v>1332373.6048313226</v>
      </c>
      <c r="AN94" s="5">
        <f>求节点(V$6:V$44,$F$67:$F$105,$AA94)+求节点(V$67:V$105,$P$67:$P$105,$AA94)</f>
        <v>1400696.4475649509</v>
      </c>
      <c r="AO94" s="5">
        <f>求节点(W$6:W$44,$F$67:$F$105,$AA94)+求节点(W$67:W$105,$P$67:$P$105,$AA94)</f>
        <v>1512750.8823376948</v>
      </c>
      <c r="AP94" s="5">
        <f>求节点(X$6:X$44,$F$67:$F$105,$AA94)+求节点(X$67:X$105,$P$67:$P$105,$AA94)</f>
        <v>1553291.8244351083</v>
      </c>
      <c r="AQ94" s="5">
        <f>求节点(T$6:T$44,$H$67:$H$105,$AA94)</f>
        <v>720600</v>
      </c>
      <c r="AR94" s="5">
        <f>求节点(U$6:U$44,$H$67:$H$105,$AA94)</f>
        <v>758146.27132124535</v>
      </c>
      <c r="AS94" s="5">
        <f>求节点(V$6:V$44,$H$67:$H$105,$AA94)</f>
        <v>787709.03981175763</v>
      </c>
      <c r="AT94" s="5">
        <f>求节点(W$6:W$44,$H$67:$H$105,$AA94)</f>
        <v>835408.53194134717</v>
      </c>
      <c r="AU94" s="5">
        <f>求节点(X$6:X$44,$H$67:$H$105,$AA94)</f>
        <v>851135.62154810235</v>
      </c>
      <c r="AV94" s="5">
        <f>求节点(T$6:T$44,$I$67:$I$105,$AA94)</f>
        <v>14404000</v>
      </c>
      <c r="AW94" s="5">
        <f>求节点(U$6:U$44,$I$67:$I$105,$AA94)</f>
        <v>15990755.448322857</v>
      </c>
      <c r="AX94" s="5">
        <f>求节点(V$6:V$44,$I$67:$I$105,$AA94)</f>
        <v>17263029.431828886</v>
      </c>
      <c r="AY94" s="5">
        <f>求节点(W$6:W$44,$I$67:$I$105,$AA94)</f>
        <v>19360618.762412865</v>
      </c>
      <c r="AZ94" s="5">
        <f>求节点(X$6:X$44,$I$67:$I$105,$AA94)</f>
        <v>20064260.401115097</v>
      </c>
      <c r="BA94" s="5">
        <f>求节点(T$6:T$44,$E$67:$E$105,$AA94)+求节点(T$6:T$44,$K$67:$K$105,$AA94)+求节点(T$67:T$105,$O$67:$O$105,$AA94)</f>
        <v>6240</v>
      </c>
      <c r="BB94" s="5">
        <f>求节点(U$6:U$44,$E$67:$E$105,$AA94)+求节点(U$6:U$44,$K$67:$K$105,$AA94)+求节点(U$67:U$105,$O$67:$O$105,$AA94)</f>
        <v>6529.2453494377423</v>
      </c>
      <c r="BC94" s="5">
        <f>求节点(V$6:V$44,$E$67:$E$105,$AA94)+求节点(V$6:V$44,$K$67:$K$105,$AA94)+求节点(V$67:V$105,$O$67:$O$105,$AA94)</f>
        <v>6756.988158549837</v>
      </c>
      <c r="BD94" s="5">
        <f>求节点(W$6:W$44,$E$67:$E$105,$AA94)+求节点(W$6:W$44,$K$67:$K$105,$AA94)+求节点(W$67:W$105,$O$67:$O$105,$AA94)</f>
        <v>7124.4509127333413</v>
      </c>
      <c r="BE94" s="5">
        <f>求节点(X$6:X$44,$E$67:$E$105,$AA94)+求节点(X$6:X$44,$K$67:$K$105,$AA94)+求节点(X$67:X$105,$O$67:$O$105,$AA94)</f>
        <v>7245.6077511853809</v>
      </c>
      <c r="BF94" s="5">
        <f>求节点(T$6:T$44,$G$67:$G$105,$AA94)</f>
        <v>0</v>
      </c>
      <c r="BG94" s="5">
        <f>求节点(U$6:U$44,$G$67:$G$105,$AA94)</f>
        <v>0</v>
      </c>
      <c r="BH94" s="5">
        <f>求节点(V$6:V$44,$G$67:$G$105,$AA94)</f>
        <v>0</v>
      </c>
      <c r="BI94" s="5">
        <f>求节点(W$6:W$44,$G$67:$G$105,$AA94)</f>
        <v>0</v>
      </c>
      <c r="BJ94" s="5">
        <f>求节点(X$6:X$44,$G$67:$G$105,$AA94)</f>
        <v>0</v>
      </c>
      <c r="BK94" s="5">
        <f>求节点(T$6:T$44,$M$67:$M$105,$AA94)</f>
        <v>60</v>
      </c>
      <c r="BL94" s="5">
        <f>求节点(U$6:U$44,$M$67:$M$105,$AA94)</f>
        <v>62.781205283055208</v>
      </c>
      <c r="BM94" s="5">
        <f>求节点(V$6:V$44,$M$67:$M$105,$AA94)</f>
        <v>64.971039986056127</v>
      </c>
      <c r="BN94" s="5">
        <f>求节点(W$6:W$44,$M$67:$M$105,$AA94)</f>
        <v>68.504335699359046</v>
      </c>
      <c r="BO94" s="5">
        <f>求节点(X$6:X$44,$M$67:$M$105,$AA94)</f>
        <v>69.669305299859431</v>
      </c>
      <c r="BP94" s="5">
        <f>求节点(T$67:T$105,$L$67:$L$105,$AA94)</f>
        <v>0</v>
      </c>
      <c r="BQ94" s="5">
        <f>求节点(U$67:U$105,$L$67:$L$105,$AA94)</f>
        <v>0</v>
      </c>
      <c r="BR94" s="5">
        <f>求节点(V$67:V$105,$L$67:$L$105,$AA94)</f>
        <v>0</v>
      </c>
      <c r="BS94" s="5">
        <f>求节点(W$67:W$105,$L$67:$L$105,$AA94)</f>
        <v>0</v>
      </c>
      <c r="BT94" s="5">
        <f>求节点(X$67:X$105,$L$67:$L$105,$AA94)</f>
        <v>0</v>
      </c>
      <c r="BZ94" s="5">
        <v>90</v>
      </c>
      <c r="CA94" s="5">
        <f t="shared" si="44"/>
        <v>6240</v>
      </c>
      <c r="CB94" s="5">
        <f t="shared" si="45"/>
        <v>6529.2453494377423</v>
      </c>
      <c r="CC94" s="5">
        <f t="shared" si="46"/>
        <v>6756.988158549837</v>
      </c>
      <c r="CD94" s="5">
        <f t="shared" si="47"/>
        <v>7124.4509127333413</v>
      </c>
      <c r="CE94" s="5">
        <f t="shared" si="48"/>
        <v>7245.6077511853809</v>
      </c>
      <c r="CF94" s="5">
        <f>(CA94-CA93)/节奏总纲!W93</f>
        <v>2.0221400025819785</v>
      </c>
      <c r="CI94" s="5">
        <v>90</v>
      </c>
      <c r="CJ94" s="5">
        <f t="shared" si="49"/>
        <v>14400</v>
      </c>
      <c r="CK94" s="5">
        <f t="shared" si="50"/>
        <v>15067.48926793325</v>
      </c>
      <c r="CL94" s="5">
        <f t="shared" si="51"/>
        <v>15593.049596653471</v>
      </c>
      <c r="CM94" s="5">
        <f t="shared" si="52"/>
        <v>16441.040567846172</v>
      </c>
      <c r="CN94" s="5">
        <f t="shared" si="53"/>
        <v>16720.633271966264</v>
      </c>
      <c r="CO94" s="5">
        <f>(CJ94-CJ93)/节奏总纲!W93</f>
        <v>4.6664769290352934</v>
      </c>
      <c r="CP94" s="5">
        <f t="shared" si="38"/>
        <v>6.6886169316172719</v>
      </c>
      <c r="CR94" s="5">
        <v>90</v>
      </c>
      <c r="CS94" s="5">
        <f t="shared" si="39"/>
        <v>0</v>
      </c>
      <c r="CT94" s="5">
        <f t="shared" si="40"/>
        <v>0</v>
      </c>
      <c r="CU94" s="5">
        <f t="shared" si="41"/>
        <v>0</v>
      </c>
      <c r="CV94" s="5">
        <f t="shared" si="42"/>
        <v>0</v>
      </c>
      <c r="CW94" s="5">
        <f t="shared" si="43"/>
        <v>0</v>
      </c>
      <c r="CX94" s="5">
        <f t="shared" si="54"/>
        <v>0</v>
      </c>
      <c r="CY94" s="5">
        <f t="shared" si="55"/>
        <v>0</v>
      </c>
      <c r="CZ94" s="5">
        <f t="shared" si="56"/>
        <v>0</v>
      </c>
      <c r="DA94" s="5">
        <f t="shared" si="57"/>
        <v>0</v>
      </c>
      <c r="DB94" s="5">
        <f t="shared" si="58"/>
        <v>0</v>
      </c>
    </row>
    <row r="95" spans="2:106" x14ac:dyDescent="0.15">
      <c r="B95" s="5">
        <v>29</v>
      </c>
      <c r="C95" s="5">
        <f>SUM(C$6:C34)</f>
        <v>0</v>
      </c>
      <c r="D95" s="5">
        <f>SUM(D$6:D34)</f>
        <v>30580800</v>
      </c>
      <c r="E95" s="5">
        <f>SUM(E$6:E34)</f>
        <v>3480</v>
      </c>
      <c r="F95" s="5">
        <f>SUM(F$6:F34)</f>
        <v>1183200</v>
      </c>
      <c r="G95" s="5">
        <f>SUM(G$6:G34)</f>
        <v>0</v>
      </c>
      <c r="H95" s="5">
        <f>SUM(H$6:H34)</f>
        <v>693600</v>
      </c>
      <c r="I95" s="5">
        <f>SUM(I$6:I34)</f>
        <v>13284000</v>
      </c>
      <c r="J95" s="5">
        <f>SUM(J$6:J34)</f>
        <v>1896000</v>
      </c>
      <c r="K95" s="5">
        <f>SUM(K$6:K34)</f>
        <v>2552</v>
      </c>
      <c r="L95" s="5">
        <f>SUM(L$6:L34)</f>
        <v>0</v>
      </c>
      <c r="M95" s="5">
        <f>SUM(M$6:M34)</f>
        <v>58</v>
      </c>
      <c r="N95" s="5">
        <f>SUM(N$6:N34)</f>
        <v>0</v>
      </c>
      <c r="O95" s="5">
        <f>SUM(O$6:O34)</f>
        <v>0</v>
      </c>
      <c r="P95" s="5">
        <f>SUM(P$6:P34)</f>
        <v>0</v>
      </c>
      <c r="Q95" s="5">
        <f>SUM(Q$6:Q34)</f>
        <v>0</v>
      </c>
      <c r="S95" s="5">
        <v>29</v>
      </c>
      <c r="T95" s="5">
        <f>T34+1</f>
        <v>88</v>
      </c>
      <c r="U95" s="5">
        <f>U34+1</f>
        <v>84.62936923344175</v>
      </c>
      <c r="V95" s="5">
        <f>V34+1</f>
        <v>82.343219854278885</v>
      </c>
      <c r="W95" s="5">
        <f>W34+1</f>
        <v>78.074958005884056</v>
      </c>
      <c r="X95" s="5">
        <f>X34+1</f>
        <v>76.587238423516851</v>
      </c>
      <c r="AA95" s="5">
        <v>91</v>
      </c>
      <c r="AB95" s="5">
        <f>求节点(T$6:T$44,$C$67:$C$105,$AA95)</f>
        <v>0</v>
      </c>
      <c r="AC95" s="5">
        <f>求节点(U$6:U$44,$C$67:$C$105,$AA95)</f>
        <v>0</v>
      </c>
      <c r="AD95" s="5">
        <f>求节点(V$6:V$44,$C$67:$C$105,$AA95)</f>
        <v>0</v>
      </c>
      <c r="AE95" s="5">
        <f>求节点(W$6:W$44,$C$67:$C$105,$AA95)</f>
        <v>0</v>
      </c>
      <c r="AF95" s="5">
        <f>求节点(X$6:X$44,$C$67:$C$105,$AA95)</f>
        <v>0</v>
      </c>
      <c r="AG95" s="5">
        <f>求节点(T$6:T$44,$D$67:$D$105,$AA95)+求节点(T$67:T$105,$Q$67:$Q$105,$AA95)</f>
        <v>37503200</v>
      </c>
      <c r="AH95" s="5">
        <f>求节点(U$6:U$44,$D$67:$D$105,$AA95)+求节点(U$67:U$105,$Q$67:$Q$105,$AA95)</f>
        <v>44883677.583769806</v>
      </c>
      <c r="AI95" s="5">
        <f>求节点(V$6:V$44,$D$67:$D$105,$AA95)+求节点(V$67:V$105,$Q$67:$Q$105,$AA95)</f>
        <v>50622655.814307995</v>
      </c>
      <c r="AJ95" s="5">
        <f>求节点(W$6:W$44,$D$67:$D$105,$AA95)+求节点(W$67:W$105,$Q$67:$Q$105,$AA95)</f>
        <v>62143229.879348375</v>
      </c>
      <c r="AK95" s="5">
        <f>求节点(X$6:X$44,$D$67:$D$105,$AA95)+求节点(X$67:X$105,$Q$67:$Q$105,$AA95)</f>
        <v>66984736.622587517</v>
      </c>
      <c r="AL95" s="5">
        <f>求节点(T$6:T$44,$F$67:$F$105,$AA95)+求节点(T$67:T$105,$P$67:$P$105,$AA95)</f>
        <v>1266400</v>
      </c>
      <c r="AM95" s="5">
        <f>求节点(U$6:U$44,$F$67:$F$105,$AA95)+求节点(U$67:U$105,$P$67:$P$105,$AA95)</f>
        <v>1355105.6129333249</v>
      </c>
      <c r="AN95" s="5">
        <f>求节点(V$6:V$44,$F$67:$F$105,$AA95)+求节点(V$67:V$105,$P$67:$P$105,$AA95)</f>
        <v>1424082.1223492466</v>
      </c>
      <c r="AO95" s="5">
        <f>求节点(W$6:W$44,$F$67:$F$105,$AA95)+求节点(W$67:W$105,$P$67:$P$105,$AA95)</f>
        <v>1533201.29931858</v>
      </c>
      <c r="AP95" s="5">
        <f>求节点(X$6:X$44,$F$67:$F$105,$AA95)+求节点(X$67:X$105,$P$67:$P$105,$AA95)</f>
        <v>1572848.6686323523</v>
      </c>
      <c r="AQ95" s="5">
        <f>求节点(T$6:T$44,$H$67:$H$105,$AA95)</f>
        <v>729600</v>
      </c>
      <c r="AR95" s="5">
        <f>求节点(U$6:U$44,$H$67:$H$105,$AA95)</f>
        <v>767982.23636538093</v>
      </c>
      <c r="AS95" s="5">
        <f>求节点(V$6:V$44,$H$67:$H$105,$AA95)</f>
        <v>797827.84140111634</v>
      </c>
      <c r="AT95" s="5">
        <f>求节点(W$6:W$44,$H$67:$H$105,$AA95)</f>
        <v>843341.8833563457</v>
      </c>
      <c r="AU95" s="5">
        <f>求节点(X$6:X$44,$H$67:$H$105,$AA95)</f>
        <v>858669.40752928692</v>
      </c>
      <c r="AV95" s="5">
        <f>求节点(T$6:T$44,$I$67:$I$105,$AA95)</f>
        <v>14782666.666666666</v>
      </c>
      <c r="AW95" s="5">
        <f>求节点(U$6:U$44,$I$67:$I$105,$AA95)</f>
        <v>16411151.880209245</v>
      </c>
      <c r="AX95" s="5">
        <f>求节点(V$6:V$44,$I$67:$I$105,$AA95)</f>
        <v>17702260.374892902</v>
      </c>
      <c r="AY95" s="5">
        <f>求节点(W$6:W$44,$I$67:$I$105,$AA95)</f>
        <v>19715562.781276502</v>
      </c>
      <c r="AZ95" s="5">
        <f>求节点(X$6:X$44,$I$67:$I$105,$AA95)</f>
        <v>20403601.201702379</v>
      </c>
      <c r="BA95" s="5">
        <f>求节点(T$6:T$44,$E$67:$E$105,$AA95)+求节点(T$6:T$44,$K$67:$K$105,$AA95)+求节点(T$67:T$105,$O$67:$O$105,$AA95)</f>
        <v>6309.3333333333339</v>
      </c>
      <c r="BB95" s="5">
        <f>求节点(U$6:U$44,$E$67:$E$105,$AA95)+求节点(U$6:U$44,$K$67:$K$105,$AA95)+求节点(U$67:U$105,$O$67:$O$105,$AA95)</f>
        <v>6605.0187097777489</v>
      </c>
      <c r="BC95" s="5">
        <f>求节点(V$6:V$44,$E$67:$E$105,$AA95)+求节点(V$6:V$44,$K$67:$K$105,$AA95)+求节点(V$67:V$105,$O$67:$O$105,$AA95)</f>
        <v>6834.9404078308216</v>
      </c>
      <c r="BD95" s="5">
        <f>求节点(W$6:W$44,$E$67:$E$105,$AA95)+求节点(W$6:W$44,$K$67:$K$105,$AA95)+求节点(W$67:W$105,$O$67:$O$105,$AA95)</f>
        <v>7185.5671014118479</v>
      </c>
      <c r="BE95" s="5">
        <f>求节点(X$6:X$44,$E$67:$E$105,$AA95)+求节点(X$6:X$44,$K$67:$K$105,$AA95)+求节点(X$67:X$105,$O$67:$O$105,$AA95)</f>
        <v>7303.6458061515432</v>
      </c>
      <c r="BF95" s="5">
        <f>求节点(T$6:T$44,$G$67:$G$105,$AA95)</f>
        <v>0</v>
      </c>
      <c r="BG95" s="5">
        <f>求节点(U$6:U$44,$G$67:$G$105,$AA95)</f>
        <v>0</v>
      </c>
      <c r="BH95" s="5">
        <f>求节点(V$6:V$44,$G$67:$G$105,$AA95)</f>
        <v>0</v>
      </c>
      <c r="BI95" s="5">
        <f>求节点(W$6:W$44,$G$67:$G$105,$AA95)</f>
        <v>0</v>
      </c>
      <c r="BJ95" s="5">
        <f>求节点(X$6:X$44,$G$67:$G$105,$AA95)</f>
        <v>0</v>
      </c>
      <c r="BK95" s="5">
        <f>求节点(T$6:T$44,$M$67:$M$105,$AA95)</f>
        <v>60.666666666666664</v>
      </c>
      <c r="BL95" s="5">
        <f>求节点(U$6:U$44,$M$67:$M$105,$AA95)</f>
        <v>63.509795286324511</v>
      </c>
      <c r="BM95" s="5">
        <f>求节点(V$6:V$44,$M$67:$M$105,$AA95)</f>
        <v>65.720580844527134</v>
      </c>
      <c r="BN95" s="5">
        <f>求节点(W$6:W$44,$M$67:$M$105,$AA95)</f>
        <v>69.091991359729306</v>
      </c>
      <c r="BO95" s="5">
        <f>求节点(X$6:X$44,$M$67:$M$105,$AA95)</f>
        <v>70.227363520687916</v>
      </c>
      <c r="BP95" s="5">
        <f>求节点(T$67:T$105,$L$67:$L$105,$AA95)</f>
        <v>0</v>
      </c>
      <c r="BQ95" s="5">
        <f>求节点(U$67:U$105,$L$67:$L$105,$AA95)</f>
        <v>0</v>
      </c>
      <c r="BR95" s="5">
        <f>求节点(V$67:V$105,$L$67:$L$105,$AA95)</f>
        <v>0</v>
      </c>
      <c r="BS95" s="5">
        <f>求节点(W$67:W$105,$L$67:$L$105,$AA95)</f>
        <v>0</v>
      </c>
      <c r="BT95" s="5">
        <f>求节点(X$67:X$105,$L$67:$L$105,$AA95)</f>
        <v>0</v>
      </c>
      <c r="BZ95" s="5">
        <v>91</v>
      </c>
      <c r="CA95" s="5">
        <f t="shared" si="44"/>
        <v>6309.3333333333339</v>
      </c>
      <c r="CB95" s="5">
        <f t="shared" si="45"/>
        <v>6605.0187097777489</v>
      </c>
      <c r="CC95" s="5">
        <f t="shared" si="46"/>
        <v>6834.9404078308216</v>
      </c>
      <c r="CD95" s="5">
        <f t="shared" si="47"/>
        <v>7185.5671014118479</v>
      </c>
      <c r="CE95" s="5">
        <f t="shared" si="48"/>
        <v>7303.6458061515432</v>
      </c>
      <c r="CF95" s="5">
        <f>(CA95-CA94)/节奏总纲!W94</f>
        <v>1.8867233359153148</v>
      </c>
      <c r="CI95" s="5">
        <v>91</v>
      </c>
      <c r="CJ95" s="5">
        <f t="shared" si="49"/>
        <v>14560</v>
      </c>
      <c r="CK95" s="5">
        <f t="shared" si="50"/>
        <v>15242.350868717882</v>
      </c>
      <c r="CL95" s="5">
        <f t="shared" si="51"/>
        <v>15772.939402686512</v>
      </c>
      <c r="CM95" s="5">
        <f t="shared" si="52"/>
        <v>16582.077926335034</v>
      </c>
      <c r="CN95" s="5">
        <f t="shared" si="53"/>
        <v>16854.567244965099</v>
      </c>
      <c r="CO95" s="5">
        <f>(CJ95-CJ94)/节奏总纲!W94</f>
        <v>4.3539769290353041</v>
      </c>
      <c r="CP95" s="5">
        <f t="shared" si="38"/>
        <v>6.2407002649506191</v>
      </c>
      <c r="CR95" s="5">
        <v>91</v>
      </c>
      <c r="CS95" s="5">
        <f t="shared" si="39"/>
        <v>0</v>
      </c>
      <c r="CT95" s="5">
        <f t="shared" si="40"/>
        <v>0</v>
      </c>
      <c r="CU95" s="5">
        <f t="shared" si="41"/>
        <v>0</v>
      </c>
      <c r="CV95" s="5">
        <f t="shared" si="42"/>
        <v>0</v>
      </c>
      <c r="CW95" s="5">
        <f t="shared" si="43"/>
        <v>0</v>
      </c>
      <c r="CX95" s="5">
        <f t="shared" si="54"/>
        <v>0</v>
      </c>
      <c r="CY95" s="5">
        <f t="shared" si="55"/>
        <v>0</v>
      </c>
      <c r="CZ95" s="5">
        <f t="shared" si="56"/>
        <v>0</v>
      </c>
      <c r="DA95" s="5">
        <f t="shared" si="57"/>
        <v>0</v>
      </c>
      <c r="DB95" s="5">
        <f t="shared" si="58"/>
        <v>0</v>
      </c>
    </row>
    <row r="96" spans="2:106" x14ac:dyDescent="0.15">
      <c r="B96" s="5">
        <v>30</v>
      </c>
      <c r="C96" s="5">
        <f>SUM(C$6:C35)</f>
        <v>0</v>
      </c>
      <c r="D96" s="5">
        <f>SUM(D$6:D35)</f>
        <v>35772600</v>
      </c>
      <c r="E96" s="5">
        <f>SUM(E$6:E35)</f>
        <v>3600</v>
      </c>
      <c r="F96" s="5">
        <f>SUM(F$6:F35)</f>
        <v>1245600</v>
      </c>
      <c r="G96" s="5">
        <f>SUM(G$6:G35)</f>
        <v>0</v>
      </c>
      <c r="H96" s="5">
        <f>SUM(H$6:H35)</f>
        <v>720600</v>
      </c>
      <c r="I96" s="5">
        <f>SUM(I$6:I35)</f>
        <v>14404000</v>
      </c>
      <c r="J96" s="5">
        <f>SUM(J$6:J35)</f>
        <v>1986000</v>
      </c>
      <c r="K96" s="5">
        <f>SUM(K$6:K35)</f>
        <v>2640</v>
      </c>
      <c r="L96" s="5">
        <f>SUM(L$6:L35)</f>
        <v>0</v>
      </c>
      <c r="M96" s="5">
        <f>SUM(M$6:M35)</f>
        <v>60</v>
      </c>
      <c r="N96" s="5">
        <f>SUM(N$6:N35)</f>
        <v>0</v>
      </c>
      <c r="O96" s="5">
        <f>SUM(O$6:O35)</f>
        <v>0</v>
      </c>
      <c r="P96" s="5">
        <f>SUM(P$6:P35)</f>
        <v>0</v>
      </c>
      <c r="Q96" s="5">
        <f>SUM(Q$6:Q35)</f>
        <v>0</v>
      </c>
      <c r="S96" s="5">
        <v>30</v>
      </c>
      <c r="T96" s="5">
        <f>T35+1</f>
        <v>91</v>
      </c>
      <c r="U96" s="5">
        <f>U35+1</f>
        <v>87.038352960430615</v>
      </c>
      <c r="V96" s="5">
        <f>V35+1</f>
        <v>84.71979518782048</v>
      </c>
      <c r="W96" s="5">
        <f>W35+1</f>
        <v>80.141696519273708</v>
      </c>
      <c r="X96" s="5">
        <f>X35+1</f>
        <v>78.425251341180228</v>
      </c>
      <c r="AA96" s="5">
        <v>92</v>
      </c>
      <c r="AB96" s="5">
        <f>求节点(T$6:T$44,$C$67:$C$105,$AA96)</f>
        <v>0</v>
      </c>
      <c r="AC96" s="5">
        <f>求节点(U$6:U$44,$C$67:$C$105,$AA96)</f>
        <v>0</v>
      </c>
      <c r="AD96" s="5">
        <f>求节点(V$6:V$44,$C$67:$C$105,$AA96)</f>
        <v>0</v>
      </c>
      <c r="AE96" s="5">
        <f>求节点(W$6:W$44,$C$67:$C$105,$AA96)</f>
        <v>0</v>
      </c>
      <c r="AF96" s="5">
        <f>求节点(X$6:X$44,$C$67:$C$105,$AA96)</f>
        <v>0</v>
      </c>
      <c r="AG96" s="5">
        <f>求节点(T$6:T$44,$D$67:$D$105,$AA96)+求节点(T$67:T$105,$Q$67:$Q$105,$AA96)</f>
        <v>39233800</v>
      </c>
      <c r="AH96" s="5">
        <f>求节点(U$6:U$44,$D$67:$D$105,$AA96)+求节点(U$67:U$105,$Q$67:$Q$105,$AA96)</f>
        <v>46721258.806864545</v>
      </c>
      <c r="AI96" s="5">
        <f>求节点(V$6:V$44,$D$67:$D$105,$AA96)+求节点(V$67:V$105,$Q$67:$Q$105,$AA96)</f>
        <v>52830085.176244877</v>
      </c>
      <c r="AJ96" s="5">
        <f>求节点(W$6:W$44,$D$67:$D$105,$AA96)+求节点(W$67:W$105,$Q$67:$Q$105,$AA96)</f>
        <v>64599924.367526248</v>
      </c>
      <c r="AK96" s="5">
        <f>求节点(X$6:X$44,$D$67:$D$105,$AA96)+求节点(X$67:X$105,$Q$67:$Q$105,$AA96)</f>
        <v>69258662.286955118</v>
      </c>
      <c r="AL96" s="5">
        <f>求节点(T$6:T$44,$F$67:$F$105,$AA96)+求节点(T$67:T$105,$P$67:$P$105,$AA96)</f>
        <v>1287200</v>
      </c>
      <c r="AM96" s="5">
        <f>求节点(U$6:U$44,$F$67:$F$105,$AA96)+求节点(U$67:U$105,$P$67:$P$105,$AA96)</f>
        <v>1377191.4152217628</v>
      </c>
      <c r="AN96" s="5">
        <f>求节点(V$6:V$44,$F$67:$F$105,$AA96)+求节点(V$67:V$105,$P$67:$P$105,$AA96)</f>
        <v>1447644.260018632</v>
      </c>
      <c r="AO96" s="5">
        <f>求节点(W$6:W$44,$F$67:$F$105,$AA96)+求节点(W$67:W$105,$P$67:$P$105,$AA96)</f>
        <v>1553651.7162994649</v>
      </c>
      <c r="AP96" s="5">
        <f>求节点(X$6:X$44,$F$67:$F$105,$AA96)+求节点(X$67:X$105,$P$67:$P$105,$AA96)</f>
        <v>1590352.956478616</v>
      </c>
      <c r="AQ96" s="5">
        <f>求节点(T$6:T$44,$H$67:$H$105,$AA96)</f>
        <v>738600</v>
      </c>
      <c r="AR96" s="5">
        <f>求节点(U$6:U$44,$H$67:$H$105,$AA96)</f>
        <v>777538.59312480118</v>
      </c>
      <c r="AS96" s="5">
        <f>求节点(V$6:V$44,$H$67:$H$105,$AA96)</f>
        <v>808022.99712344655</v>
      </c>
      <c r="AT96" s="5">
        <f>求节点(W$6:W$44,$H$67:$H$105,$AA96)</f>
        <v>851275.23477134423</v>
      </c>
      <c r="AU96" s="5">
        <f>求节点(X$6:X$44,$H$67:$H$105,$AA96)</f>
        <v>865344.77153845527</v>
      </c>
      <c r="AV96" s="5">
        <f>求节点(T$6:T$44,$I$67:$I$105,$AA96)</f>
        <v>15161333.333333334</v>
      </c>
      <c r="AW96" s="5">
        <f>求节点(U$6:U$44,$I$67:$I$105,$AA96)</f>
        <v>16821556.708972853</v>
      </c>
      <c r="AX96" s="5">
        <f>求节点(V$6:V$44,$I$67:$I$105,$AA96)</f>
        <v>18149087.650996346</v>
      </c>
      <c r="AY96" s="5">
        <f>求节点(W$6:W$44,$I$67:$I$105,$AA96)</f>
        <v>20070506.800140139</v>
      </c>
      <c r="AZ96" s="5">
        <f>求节点(X$6:X$44,$I$67:$I$105,$AA96)</f>
        <v>20707206.646267522</v>
      </c>
      <c r="BA96" s="5">
        <f>求节点(T$6:T$44,$E$67:$E$105,$AA96)+求节点(T$6:T$44,$K$67:$K$105,$AA96)+求节点(T$67:T$105,$O$67:$O$105,$AA96)</f>
        <v>6378.6666666666661</v>
      </c>
      <c r="BB96" s="5">
        <f>求节点(U$6:U$44,$E$67:$E$105,$AA96)+求节点(U$6:U$44,$K$67:$K$105,$AA96)+求节点(U$67:U$105,$O$67:$O$105,$AA96)</f>
        <v>6678.6380507392096</v>
      </c>
      <c r="BC96" s="5">
        <f>求节点(V$6:V$44,$E$67:$E$105,$AA96)+求节点(V$6:V$44,$K$67:$K$105,$AA96)+求节点(V$67:V$105,$O$67:$O$105,$AA96)</f>
        <v>6913.4808667287734</v>
      </c>
      <c r="BD96" s="5">
        <f>求节点(W$6:W$44,$E$67:$E$105,$AA96)+求节点(W$6:W$44,$K$67:$K$105,$AA96)+求节点(W$67:W$105,$O$67:$O$105,$AA96)</f>
        <v>7246.6832900903555</v>
      </c>
      <c r="BE96" s="5">
        <f>求节点(X$6:X$44,$E$67:$E$105,$AA96)+求节点(X$6:X$44,$K$67:$K$105,$AA96)+求节点(X$67:X$105,$O$67:$O$105,$AA96)</f>
        <v>7355.0708325925443</v>
      </c>
      <c r="BF96" s="5">
        <f>求节点(T$6:T$44,$G$67:$G$105,$AA96)</f>
        <v>0</v>
      </c>
      <c r="BG96" s="5">
        <f>求节点(U$6:U$44,$G$67:$G$105,$AA96)</f>
        <v>0</v>
      </c>
      <c r="BH96" s="5">
        <f>求节点(V$6:V$44,$G$67:$G$105,$AA96)</f>
        <v>0</v>
      </c>
      <c r="BI96" s="5">
        <f>求节点(W$6:W$44,$G$67:$G$105,$AA96)</f>
        <v>0</v>
      </c>
      <c r="BJ96" s="5">
        <f>求节点(X$6:X$44,$G$67:$G$105,$AA96)</f>
        <v>0</v>
      </c>
      <c r="BK96" s="5">
        <f>求节点(T$6:T$44,$M$67:$M$105,$AA96)</f>
        <v>61.333333333333336</v>
      </c>
      <c r="BL96" s="5">
        <f>求节点(U$6:U$44,$M$67:$M$105,$AA96)</f>
        <v>64.217673564800094</v>
      </c>
      <c r="BM96" s="5">
        <f>求节点(V$6:V$44,$M$67:$M$105,$AA96)</f>
        <v>66.47577756469974</v>
      </c>
      <c r="BN96" s="5">
        <f>求节点(W$6:W$44,$M$67:$M$105,$AA96)</f>
        <v>69.679647020099566</v>
      </c>
      <c r="BO96" s="5">
        <f>求节点(X$6:X$44,$M$67:$M$105,$AA96)</f>
        <v>70.72183492877447</v>
      </c>
      <c r="BP96" s="5">
        <f>求节点(T$67:T$105,$L$67:$L$105,$AA96)</f>
        <v>0</v>
      </c>
      <c r="BQ96" s="5">
        <f>求节点(U$67:U$105,$L$67:$L$105,$AA96)</f>
        <v>0</v>
      </c>
      <c r="BR96" s="5">
        <f>求节点(V$67:V$105,$L$67:$L$105,$AA96)</f>
        <v>0</v>
      </c>
      <c r="BS96" s="5">
        <f>求节点(W$67:W$105,$L$67:$L$105,$AA96)</f>
        <v>0</v>
      </c>
      <c r="BT96" s="5">
        <f>求节点(X$67:X$105,$L$67:$L$105,$AA96)</f>
        <v>0</v>
      </c>
      <c r="BZ96" s="5">
        <v>92</v>
      </c>
      <c r="CA96" s="5">
        <f t="shared" si="44"/>
        <v>6378.6666666666661</v>
      </c>
      <c r="CB96" s="5">
        <f t="shared" si="45"/>
        <v>6678.6380507392096</v>
      </c>
      <c r="CC96" s="5">
        <f t="shared" si="46"/>
        <v>6913.4808667287734</v>
      </c>
      <c r="CD96" s="5">
        <f t="shared" si="47"/>
        <v>7246.6832900903555</v>
      </c>
      <c r="CE96" s="5">
        <f t="shared" si="48"/>
        <v>7355.0708325925443</v>
      </c>
      <c r="CF96" s="5">
        <f>(CA96-CA95)/节奏总纲!W95</f>
        <v>1.7603751183113465</v>
      </c>
      <c r="CI96" s="5">
        <v>92</v>
      </c>
      <c r="CJ96" s="5">
        <f t="shared" si="49"/>
        <v>14720</v>
      </c>
      <c r="CK96" s="5">
        <f t="shared" si="50"/>
        <v>15412.241655552023</v>
      </c>
      <c r="CL96" s="5">
        <f t="shared" si="51"/>
        <v>15954.186615527939</v>
      </c>
      <c r="CM96" s="5">
        <f t="shared" si="52"/>
        <v>16723.115284823896</v>
      </c>
      <c r="CN96" s="5">
        <f t="shared" si="53"/>
        <v>16973.240382905871</v>
      </c>
      <c r="CO96" s="5">
        <f>(CJ96-CJ95)/节奏总纲!W95</f>
        <v>4.0624041191801012</v>
      </c>
      <c r="CP96" s="5">
        <f t="shared" si="38"/>
        <v>5.8227792374914475</v>
      </c>
      <c r="CR96" s="5">
        <v>92</v>
      </c>
      <c r="CS96" s="5">
        <f t="shared" si="39"/>
        <v>0</v>
      </c>
      <c r="CT96" s="5">
        <f t="shared" si="40"/>
        <v>0</v>
      </c>
      <c r="CU96" s="5">
        <f t="shared" si="41"/>
        <v>0</v>
      </c>
      <c r="CV96" s="5">
        <f t="shared" si="42"/>
        <v>0</v>
      </c>
      <c r="CW96" s="5">
        <f t="shared" si="43"/>
        <v>0</v>
      </c>
      <c r="CX96" s="5">
        <f t="shared" si="54"/>
        <v>0</v>
      </c>
      <c r="CY96" s="5">
        <f t="shared" si="55"/>
        <v>0</v>
      </c>
      <c r="CZ96" s="5">
        <f t="shared" si="56"/>
        <v>0</v>
      </c>
      <c r="DA96" s="5">
        <f t="shared" si="57"/>
        <v>0</v>
      </c>
      <c r="DB96" s="5">
        <f t="shared" si="58"/>
        <v>0</v>
      </c>
    </row>
    <row r="97" spans="2:106" x14ac:dyDescent="0.15">
      <c r="B97" s="5">
        <v>31</v>
      </c>
      <c r="C97" s="5">
        <f>SUM(C$6:C36)</f>
        <v>0</v>
      </c>
      <c r="D97" s="5">
        <f>SUM(D$6:D36)</f>
        <v>40964400</v>
      </c>
      <c r="E97" s="5">
        <f>SUM(E$6:E36)</f>
        <v>3720</v>
      </c>
      <c r="F97" s="5">
        <f>SUM(F$6:F36)</f>
        <v>1308000</v>
      </c>
      <c r="G97" s="5">
        <f>SUM(G$6:G36)</f>
        <v>0</v>
      </c>
      <c r="H97" s="5">
        <f>SUM(H$6:H36)</f>
        <v>747600</v>
      </c>
      <c r="I97" s="5">
        <f>SUM(I$6:I36)</f>
        <v>15540000</v>
      </c>
      <c r="J97" s="5">
        <f>SUM(J$6:J36)</f>
        <v>2078000</v>
      </c>
      <c r="K97" s="5">
        <f>SUM(K$6:K36)</f>
        <v>2728</v>
      </c>
      <c r="L97" s="5">
        <f>SUM(L$6:L36)</f>
        <v>0</v>
      </c>
      <c r="M97" s="5">
        <f>SUM(M$6:M36)</f>
        <v>62</v>
      </c>
      <c r="N97" s="5">
        <f>SUM(N$6:N36)</f>
        <v>0</v>
      </c>
      <c r="O97" s="5">
        <f>SUM(O$6:O36)</f>
        <v>0</v>
      </c>
      <c r="P97" s="5">
        <f>SUM(P$6:P36)</f>
        <v>0</v>
      </c>
      <c r="Q97" s="5">
        <f>SUM(Q$6:Q36)</f>
        <v>0</v>
      </c>
      <c r="S97" s="5">
        <v>31</v>
      </c>
      <c r="T97" s="5">
        <f>T36+1</f>
        <v>94</v>
      </c>
      <c r="U97" s="5">
        <f>U36+1</f>
        <v>89.927784790417363</v>
      </c>
      <c r="V97" s="5">
        <f>V36+1</f>
        <v>87.275765726124874</v>
      </c>
      <c r="W97" s="5">
        <f>W36+1</f>
        <v>82.245922578251111</v>
      </c>
      <c r="X97" s="5">
        <f>X36+1</f>
        <v>80.590620276283289</v>
      </c>
      <c r="AA97" s="5">
        <v>93</v>
      </c>
      <c r="AB97" s="5">
        <f>求节点(T$6:T$44,$C$67:$C$105,$AA97)</f>
        <v>0</v>
      </c>
      <c r="AC97" s="5">
        <f>求节点(U$6:U$44,$C$67:$C$105,$AA97)</f>
        <v>0</v>
      </c>
      <c r="AD97" s="5">
        <f>求节点(V$6:V$44,$C$67:$C$105,$AA97)</f>
        <v>0</v>
      </c>
      <c r="AE97" s="5">
        <f>求节点(W$6:W$44,$C$67:$C$105,$AA97)</f>
        <v>0</v>
      </c>
      <c r="AF97" s="5">
        <f>求节点(X$6:X$44,$C$67:$C$105,$AA97)</f>
        <v>0</v>
      </c>
      <c r="AG97" s="5">
        <f>求节点(T$6:T$44,$D$67:$D$105,$AA97)+求节点(T$67:T$105,$Q$67:$Q$105,$AA97)</f>
        <v>40964400</v>
      </c>
      <c r="AH97" s="5">
        <f>求节点(U$6:U$44,$D$67:$D$105,$AA97)+求节点(U$67:U$105,$Q$67:$Q$105,$AA97)</f>
        <v>48448278.954132348</v>
      </c>
      <c r="AI97" s="5">
        <f>求节点(V$6:V$44,$D$67:$D$105,$AA97)+求节点(V$67:V$105,$Q$67:$Q$105,$AA97)</f>
        <v>55193054.995007135</v>
      </c>
      <c r="AJ97" s="5">
        <f>求节点(W$6:W$44,$D$67:$D$105,$AA97)+求节点(W$67:W$105,$Q$67:$Q$105,$AA97)</f>
        <v>67083497.609161995</v>
      </c>
      <c r="AK97" s="5">
        <f>求节点(X$6:X$44,$D$67:$D$105,$AA97)+求节点(X$67:X$105,$Q$67:$Q$105,$AA97)</f>
        <v>71532587.951322734</v>
      </c>
      <c r="AL97" s="5">
        <f>求节点(T$6:T$44,$F$67:$F$105,$AA97)+求节点(T$67:T$105,$P$67:$P$105,$AA97)</f>
        <v>1308000</v>
      </c>
      <c r="AM97" s="5">
        <f>求节点(U$6:U$44,$F$67:$F$105,$AA97)+求节点(U$67:U$105,$P$67:$P$105,$AA97)</f>
        <v>1397948.3891401554</v>
      </c>
      <c r="AN97" s="5">
        <f>求节点(V$6:V$44,$F$67:$F$105,$AA97)+求节点(V$67:V$105,$P$67:$P$105,$AA97)</f>
        <v>1471311.2792750821</v>
      </c>
      <c r="AO97" s="5">
        <f>求节点(W$6:W$44,$F$67:$F$105,$AA97)+求节点(W$67:W$105,$P$67:$P$105,$AA97)</f>
        <v>1573608.9136852447</v>
      </c>
      <c r="AP97" s="5">
        <f>求节点(X$6:X$44,$F$67:$F$105,$AA97)+求节点(X$67:X$105,$P$67:$P$105,$AA97)</f>
        <v>1607857.2443248797</v>
      </c>
      <c r="AQ97" s="5">
        <f>求节点(T$6:T$44,$H$67:$H$105,$AA97)</f>
        <v>747600</v>
      </c>
      <c r="AR97" s="5">
        <f>求节点(U$6:U$44,$H$67:$H$105,$AA97)</f>
        <v>786519.97607025946</v>
      </c>
      <c r="AS97" s="5">
        <f>求节点(V$6:V$44,$H$67:$H$105,$AA97)</f>
        <v>818263.53430171823</v>
      </c>
      <c r="AT97" s="5">
        <f>求节点(W$6:W$44,$H$67:$H$105,$AA97)</f>
        <v>858959.33149013564</v>
      </c>
      <c r="AU97" s="5">
        <f>求节点(X$6:X$44,$H$67:$H$105,$AA97)</f>
        <v>872020.13554762362</v>
      </c>
      <c r="AV97" s="5">
        <f>求节点(T$6:T$44,$I$67:$I$105,$AA97)</f>
        <v>15540000</v>
      </c>
      <c r="AW97" s="5">
        <f>求节点(U$6:U$44,$I$67:$I$105,$AA97)</f>
        <v>17211415.2575683</v>
      </c>
      <c r="AX97" s="5">
        <f>求节点(V$6:V$44,$I$67:$I$105,$AA97)</f>
        <v>18600429.8451498</v>
      </c>
      <c r="AY97" s="5">
        <f>求节点(W$6:W$44,$I$67:$I$105,$AA97)</f>
        <v>20416787.372958764</v>
      </c>
      <c r="AZ97" s="5">
        <f>求节点(X$6:X$44,$I$67:$I$105,$AA97)</f>
        <v>21010812.090832662</v>
      </c>
      <c r="BA97" s="5">
        <f>求节点(T$6:T$44,$E$67:$E$105,$AA97)+求节点(T$6:T$44,$K$67:$K$105,$AA97)+求节点(T$67:T$105,$O$67:$O$105,$AA97)</f>
        <v>6448</v>
      </c>
      <c r="BB97" s="5">
        <f>求节点(U$6:U$44,$E$67:$E$105,$AA97)+求节点(U$6:U$44,$K$67:$K$105,$AA97)+求节点(U$67:U$105,$O$67:$O$105,$AA97)</f>
        <v>6747.8279638005179</v>
      </c>
      <c r="BC97" s="5">
        <f>求节点(V$6:V$44,$E$67:$E$105,$AA97)+求节点(V$6:V$44,$K$67:$K$105,$AA97)+求节点(V$67:V$105,$O$67:$O$105,$AA97)</f>
        <v>6992.3709309169399</v>
      </c>
      <c r="BD97" s="5">
        <f>求节点(W$6:W$44,$E$67:$E$105,$AA97)+求节点(W$6:W$44,$K$67:$K$105,$AA97)+求节点(W$67:W$105,$O$67:$O$105,$AA97)</f>
        <v>7305.8792944425277</v>
      </c>
      <c r="BE97" s="5">
        <f>求节点(X$6:X$44,$E$67:$E$105,$AA97)+求节点(X$6:X$44,$K$67:$K$105,$AA97)+求节点(X$67:X$105,$O$67:$O$105,$AA97)</f>
        <v>7406.4958590335455</v>
      </c>
      <c r="BF97" s="5">
        <f>求节点(T$6:T$44,$G$67:$G$105,$AA97)</f>
        <v>0</v>
      </c>
      <c r="BG97" s="5">
        <f>求节点(U$6:U$44,$G$67:$G$105,$AA97)</f>
        <v>0</v>
      </c>
      <c r="BH97" s="5">
        <f>求节点(V$6:V$44,$G$67:$G$105,$AA97)</f>
        <v>0</v>
      </c>
      <c r="BI97" s="5">
        <f>求节点(W$6:W$44,$G$67:$G$105,$AA97)</f>
        <v>0</v>
      </c>
      <c r="BJ97" s="5">
        <f>求节点(X$6:X$44,$G$67:$G$105,$AA97)</f>
        <v>0</v>
      </c>
      <c r="BK97" s="5">
        <f>求节点(T$6:T$44,$M$67:$M$105,$AA97)</f>
        <v>62</v>
      </c>
      <c r="BL97" s="5">
        <f>求节点(U$6:U$44,$M$67:$M$105,$AA97)</f>
        <v>64.882961190389594</v>
      </c>
      <c r="BM97" s="5">
        <f>求节点(V$6:V$44,$M$67:$M$105,$AA97)</f>
        <v>67.234335874201349</v>
      </c>
      <c r="BN97" s="5">
        <f>求节点(W$6:W$44,$M$67:$M$105,$AA97)</f>
        <v>70.248839369639683</v>
      </c>
      <c r="BO97" s="5">
        <f>求节点(X$6:X$44,$M$67:$M$105,$AA97)</f>
        <v>71.21630633686101</v>
      </c>
      <c r="BP97" s="5">
        <f>求节点(T$67:T$105,$L$67:$L$105,$AA97)</f>
        <v>0</v>
      </c>
      <c r="BQ97" s="5">
        <f>求节点(U$67:U$105,$L$67:$L$105,$AA97)</f>
        <v>0</v>
      </c>
      <c r="BR97" s="5">
        <f>求节点(V$67:V$105,$L$67:$L$105,$AA97)</f>
        <v>0</v>
      </c>
      <c r="BS97" s="5">
        <f>求节点(W$67:W$105,$L$67:$L$105,$AA97)</f>
        <v>0</v>
      </c>
      <c r="BT97" s="5">
        <f>求节点(X$67:X$105,$L$67:$L$105,$AA97)</f>
        <v>0</v>
      </c>
      <c r="BZ97" s="5">
        <v>93</v>
      </c>
      <c r="CA97" s="5">
        <f t="shared" si="44"/>
        <v>6448</v>
      </c>
      <c r="CB97" s="5">
        <f t="shared" si="45"/>
        <v>6747.8279638005179</v>
      </c>
      <c r="CC97" s="5">
        <f t="shared" si="46"/>
        <v>6992.3709309169399</v>
      </c>
      <c r="CD97" s="5">
        <f t="shared" si="47"/>
        <v>7305.8792944425277</v>
      </c>
      <c r="CE97" s="5">
        <f t="shared" si="48"/>
        <v>7406.4958590335455</v>
      </c>
      <c r="CF97" s="5">
        <f>(CA97-CA96)/节奏总纲!W96</f>
        <v>1.6424880628650027</v>
      </c>
      <c r="CI97" s="5">
        <v>93</v>
      </c>
      <c r="CJ97" s="5">
        <f t="shared" si="49"/>
        <v>14880</v>
      </c>
      <c r="CK97" s="5">
        <f t="shared" si="50"/>
        <v>15571.910685693503</v>
      </c>
      <c r="CL97" s="5">
        <f t="shared" si="51"/>
        <v>16136.240609808323</v>
      </c>
      <c r="CM97" s="5">
        <f t="shared" si="52"/>
        <v>16859.721448713524</v>
      </c>
      <c r="CN97" s="5">
        <f t="shared" si="53"/>
        <v>17091.913520846643</v>
      </c>
      <c r="CO97" s="5">
        <f>(CJ97-CJ96)/节奏总纲!W96</f>
        <v>3.790357068149973</v>
      </c>
      <c r="CP97" s="5">
        <f t="shared" si="38"/>
        <v>5.4328451310149752</v>
      </c>
      <c r="CR97" s="5">
        <v>93</v>
      </c>
      <c r="CS97" s="5">
        <f t="shared" si="39"/>
        <v>0</v>
      </c>
      <c r="CT97" s="5">
        <f t="shared" si="40"/>
        <v>0</v>
      </c>
      <c r="CU97" s="5">
        <f t="shared" si="41"/>
        <v>0</v>
      </c>
      <c r="CV97" s="5">
        <f t="shared" si="42"/>
        <v>0</v>
      </c>
      <c r="CW97" s="5">
        <f t="shared" si="43"/>
        <v>0</v>
      </c>
      <c r="CX97" s="5">
        <f t="shared" si="54"/>
        <v>0</v>
      </c>
      <c r="CY97" s="5">
        <f t="shared" si="55"/>
        <v>0</v>
      </c>
      <c r="CZ97" s="5">
        <f t="shared" si="56"/>
        <v>0</v>
      </c>
      <c r="DA97" s="5">
        <f t="shared" si="57"/>
        <v>0</v>
      </c>
      <c r="DB97" s="5">
        <f t="shared" si="58"/>
        <v>0</v>
      </c>
    </row>
    <row r="98" spans="2:106" x14ac:dyDescent="0.15">
      <c r="B98" s="5">
        <v>32</v>
      </c>
      <c r="C98" s="5">
        <f>SUM(C$6:C37)</f>
        <v>0</v>
      </c>
      <c r="D98" s="5">
        <f>SUM(D$6:D37)</f>
        <v>46156200</v>
      </c>
      <c r="E98" s="5">
        <f>SUM(E$6:E37)</f>
        <v>3840</v>
      </c>
      <c r="F98" s="5">
        <f>SUM(F$6:F37)</f>
        <v>1370400</v>
      </c>
      <c r="G98" s="5">
        <f>SUM(G$6:G37)</f>
        <v>0</v>
      </c>
      <c r="H98" s="5">
        <f>SUM(H$6:H37)</f>
        <v>774600</v>
      </c>
      <c r="I98" s="5">
        <f>SUM(I$6:I37)</f>
        <v>16694000</v>
      </c>
      <c r="J98" s="5">
        <f>SUM(J$6:J37)</f>
        <v>2170000</v>
      </c>
      <c r="K98" s="5">
        <f>SUM(K$6:K37)</f>
        <v>2816</v>
      </c>
      <c r="L98" s="5">
        <f>SUM(L$6:L37)</f>
        <v>0</v>
      </c>
      <c r="M98" s="5">
        <f>SUM(M$6:M37)</f>
        <v>64</v>
      </c>
      <c r="N98" s="5">
        <f>SUM(N$6:N37)</f>
        <v>0</v>
      </c>
      <c r="O98" s="5">
        <f>SUM(O$6:O37)</f>
        <v>0</v>
      </c>
      <c r="P98" s="5">
        <f>SUM(P$6:P37)</f>
        <v>0</v>
      </c>
      <c r="Q98" s="5">
        <f>SUM(Q$6:Q37)</f>
        <v>0</v>
      </c>
      <c r="S98" s="5">
        <v>32</v>
      </c>
      <c r="T98" s="5">
        <f>T37+1</f>
        <v>97</v>
      </c>
      <c r="U98" s="5">
        <f>U37+1</f>
        <v>92.672812846011965</v>
      </c>
      <c r="V98" s="5">
        <f>V37+1</f>
        <v>89.70448692011675</v>
      </c>
      <c r="W98" s="5">
        <f>W37+1</f>
        <v>84.342406179560157</v>
      </c>
      <c r="X98" s="5">
        <f>X37+1</f>
        <v>82.54008445601815</v>
      </c>
      <c r="AA98" s="5">
        <v>94</v>
      </c>
      <c r="AB98" s="5">
        <f>求节点(T$6:T$44,$C$67:$C$105,$AA98)</f>
        <v>0</v>
      </c>
      <c r="AC98" s="5">
        <f>求节点(U$6:U$44,$C$67:$C$105,$AA98)</f>
        <v>0</v>
      </c>
      <c r="AD98" s="5">
        <f>求节点(V$6:V$44,$C$67:$C$105,$AA98)</f>
        <v>0</v>
      </c>
      <c r="AE98" s="5">
        <f>求节点(W$6:W$44,$C$67:$C$105,$AA98)</f>
        <v>0</v>
      </c>
      <c r="AF98" s="5">
        <f>求节点(X$6:X$44,$C$67:$C$105,$AA98)</f>
        <v>0</v>
      </c>
      <c r="AG98" s="5">
        <f>求节点(T$6:T$44,$D$67:$D$105,$AA98)+求节点(T$67:T$105,$Q$67:$Q$105,$AA98)</f>
        <v>42695000</v>
      </c>
      <c r="AH98" s="5">
        <f>求节点(U$6:U$44,$D$67:$D$105,$AA98)+求节点(U$67:U$105,$Q$67:$Q$105,$AA98)</f>
        <v>50175299.101400144</v>
      </c>
      <c r="AI98" s="5">
        <f>求节点(V$6:V$44,$D$67:$D$105,$AA98)+求节点(V$67:V$105,$Q$67:$Q$105,$AA98)</f>
        <v>57556024.8137694</v>
      </c>
      <c r="AJ98" s="5">
        <f>求节点(W$6:W$44,$D$67:$D$105,$AA98)+求节点(W$67:W$105,$Q$67:$Q$105,$AA98)</f>
        <v>69599284.103396282</v>
      </c>
      <c r="AK98" s="5">
        <f>求节点(X$6:X$44,$D$67:$D$105,$AA98)+求节点(X$67:X$105,$Q$67:$Q$105,$AA98)</f>
        <v>73806513.615690336</v>
      </c>
      <c r="AL98" s="5">
        <f>求节点(T$6:T$44,$F$67:$F$105,$AA98)+求节点(T$67:T$105,$P$67:$P$105,$AA98)</f>
        <v>1328800</v>
      </c>
      <c r="AM98" s="5">
        <f>求节点(U$6:U$44,$F$67:$F$105,$AA98)+求节点(U$67:U$105,$P$67:$P$105,$AA98)</f>
        <v>1418705.363058548</v>
      </c>
      <c r="AN98" s="5">
        <f>求节点(V$6:V$44,$F$67:$F$105,$AA98)+求节点(V$67:V$105,$P$67:$P$105,$AA98)</f>
        <v>1494978.2985315321</v>
      </c>
      <c r="AO98" s="5">
        <f>求节点(W$6:W$44,$F$67:$F$105,$AA98)+求节点(W$67:W$105,$P$67:$P$105,$AA98)</f>
        <v>1592975.0045143689</v>
      </c>
      <c r="AP98" s="5">
        <f>求节点(X$6:X$44,$F$67:$F$105,$AA98)+求节点(X$67:X$105,$P$67:$P$105,$AA98)</f>
        <v>1625361.5321711435</v>
      </c>
      <c r="AQ98" s="5">
        <f>求节点(T$6:T$44,$H$67:$H$105,$AA98)</f>
        <v>756600</v>
      </c>
      <c r="AR98" s="5">
        <f>求节点(U$6:U$44,$H$67:$H$105,$AA98)</f>
        <v>795501.35901571787</v>
      </c>
      <c r="AS98" s="5">
        <f>求节点(V$6:V$44,$H$67:$H$105,$AA98)</f>
        <v>828504.07147998991</v>
      </c>
      <c r="AT98" s="5">
        <f>求节点(W$6:W$44,$H$67:$H$105,$AA98)</f>
        <v>866344.70511141187</v>
      </c>
      <c r="AU98" s="5">
        <f>求节点(X$6:X$44,$H$67:$H$105,$AA98)</f>
        <v>878695.49955679197</v>
      </c>
      <c r="AV98" s="5">
        <f>求节点(T$6:T$44,$I$67:$I$105,$AA98)</f>
        <v>15924666.666666666</v>
      </c>
      <c r="AW98" s="5">
        <f>求节点(U$6:U$44,$I$67:$I$105,$AA98)</f>
        <v>17601273.806163751</v>
      </c>
      <c r="AX98" s="5">
        <f>求节点(V$6:V$44,$I$67:$I$105,$AA98)</f>
        <v>19051772.039303258</v>
      </c>
      <c r="AY98" s="5">
        <f>求节点(W$6:W$44,$I$67:$I$105,$AA98)</f>
        <v>20752685.10654866</v>
      </c>
      <c r="AZ98" s="5">
        <f>求节点(X$6:X$44,$I$67:$I$105,$AA98)</f>
        <v>21314417.535397802</v>
      </c>
      <c r="BA98" s="5">
        <f>求节点(T$6:T$44,$E$67:$E$105,$AA98)+求节点(T$6:T$44,$K$67:$K$105,$AA98)+求节点(T$67:T$105,$O$67:$O$105,$AA98)</f>
        <v>6517.3333333333339</v>
      </c>
      <c r="BB98" s="5">
        <f>求节点(U$6:U$44,$E$67:$E$105,$AA98)+求节点(U$6:U$44,$K$67:$K$105,$AA98)+求节点(U$67:U$105,$O$67:$O$105,$AA98)</f>
        <v>6817.0178768618262</v>
      </c>
      <c r="BC98" s="5">
        <f>求节点(V$6:V$44,$E$67:$E$105,$AA98)+求节点(V$6:V$44,$K$67:$K$105,$AA98)+求节点(V$67:V$105,$O$67:$O$105,$AA98)</f>
        <v>7071.2609951051072</v>
      </c>
      <c r="BD98" s="5">
        <f>求节点(W$6:W$44,$E$67:$E$105,$AA98)+求节点(W$6:W$44,$K$67:$K$105,$AA98)+求节点(W$67:W$105,$O$67:$O$105,$AA98)</f>
        <v>7362.7740245619871</v>
      </c>
      <c r="BE98" s="5">
        <f>求节点(X$6:X$44,$E$67:$E$105,$AA98)+求节点(X$6:X$44,$K$67:$K$105,$AA98)+求节点(X$67:X$105,$O$67:$O$105,$AA98)</f>
        <v>7457.9208854745466</v>
      </c>
      <c r="BF98" s="5">
        <f>求节点(T$6:T$44,$G$67:$G$105,$AA98)</f>
        <v>0</v>
      </c>
      <c r="BG98" s="5">
        <f>求节点(U$6:U$44,$G$67:$G$105,$AA98)</f>
        <v>0</v>
      </c>
      <c r="BH98" s="5">
        <f>求节点(V$6:V$44,$G$67:$G$105,$AA98)</f>
        <v>0</v>
      </c>
      <c r="BI98" s="5">
        <f>求节点(W$6:W$44,$G$67:$G$105,$AA98)</f>
        <v>0</v>
      </c>
      <c r="BJ98" s="5">
        <f>求节点(X$6:X$44,$G$67:$G$105,$AA98)</f>
        <v>0</v>
      </c>
      <c r="BK98" s="5">
        <f>求节点(T$6:T$44,$M$67:$M$105,$AA98)</f>
        <v>62.666666666666664</v>
      </c>
      <c r="BL98" s="5">
        <f>求节点(U$6:U$44,$M$67:$M$105,$AA98)</f>
        <v>65.548248815979093</v>
      </c>
      <c r="BM98" s="5">
        <f>求节点(V$6:V$44,$M$67:$M$105,$AA98)</f>
        <v>67.992894183702958</v>
      </c>
      <c r="BN98" s="5">
        <f>求节点(W$6:W$44,$M$67:$M$105,$AA98)</f>
        <v>70.7959040823268</v>
      </c>
      <c r="BO98" s="5">
        <f>求节点(X$6:X$44,$M$67:$M$105,$AA98)</f>
        <v>71.710777744947563</v>
      </c>
      <c r="BP98" s="5">
        <f>求节点(T$67:T$105,$L$67:$L$105,$AA98)</f>
        <v>0</v>
      </c>
      <c r="BQ98" s="5">
        <f>求节点(U$67:U$105,$L$67:$L$105,$AA98)</f>
        <v>0</v>
      </c>
      <c r="BR98" s="5">
        <f>求节点(V$67:V$105,$L$67:$L$105,$AA98)</f>
        <v>0</v>
      </c>
      <c r="BS98" s="5">
        <f>求节点(W$67:W$105,$L$67:$L$105,$AA98)</f>
        <v>0</v>
      </c>
      <c r="BT98" s="5">
        <f>求节点(X$67:X$105,$L$67:$L$105,$AA98)</f>
        <v>0</v>
      </c>
      <c r="BZ98" s="5">
        <v>94</v>
      </c>
      <c r="CA98" s="5">
        <f t="shared" si="44"/>
        <v>6517.3333333333339</v>
      </c>
      <c r="CB98" s="5">
        <f t="shared" si="45"/>
        <v>6817.0178768618262</v>
      </c>
      <c r="CC98" s="5">
        <f t="shared" si="46"/>
        <v>7071.2609951051072</v>
      </c>
      <c r="CD98" s="5">
        <f t="shared" si="47"/>
        <v>7362.7740245619871</v>
      </c>
      <c r="CE98" s="5">
        <f t="shared" si="48"/>
        <v>7457.9208854745466</v>
      </c>
      <c r="CF98" s="5">
        <f>(CA98-CA97)/节奏总纲!W97</f>
        <v>1.5324955508584421</v>
      </c>
      <c r="CI98" s="5">
        <v>94</v>
      </c>
      <c r="CJ98" s="5">
        <f t="shared" si="49"/>
        <v>15040</v>
      </c>
      <c r="CK98" s="5">
        <f t="shared" si="50"/>
        <v>15731.579715834981</v>
      </c>
      <c r="CL98" s="5">
        <f t="shared" si="51"/>
        <v>16318.294604088711</v>
      </c>
      <c r="CM98" s="5">
        <f t="shared" si="52"/>
        <v>16991.016979758431</v>
      </c>
      <c r="CN98" s="5">
        <f t="shared" si="53"/>
        <v>17210.586658787415</v>
      </c>
      <c r="CO98" s="5">
        <f>(CJ98-CJ97)/节奏总纲!W97</f>
        <v>3.5365281942886817</v>
      </c>
      <c r="CP98" s="5">
        <f t="shared" si="38"/>
        <v>5.0690237451471241</v>
      </c>
      <c r="CR98" s="5">
        <v>94</v>
      </c>
      <c r="CS98" s="5">
        <f t="shared" si="39"/>
        <v>0</v>
      </c>
      <c r="CT98" s="5">
        <f t="shared" si="40"/>
        <v>0</v>
      </c>
      <c r="CU98" s="5">
        <f t="shared" si="41"/>
        <v>0</v>
      </c>
      <c r="CV98" s="5">
        <f t="shared" si="42"/>
        <v>0</v>
      </c>
      <c r="CW98" s="5">
        <f t="shared" si="43"/>
        <v>0</v>
      </c>
      <c r="CX98" s="5">
        <f t="shared" si="54"/>
        <v>0</v>
      </c>
      <c r="CY98" s="5">
        <f t="shared" si="55"/>
        <v>0</v>
      </c>
      <c r="CZ98" s="5">
        <f t="shared" si="56"/>
        <v>0</v>
      </c>
      <c r="DA98" s="5">
        <f t="shared" si="57"/>
        <v>0</v>
      </c>
      <c r="DB98" s="5">
        <f t="shared" si="58"/>
        <v>0</v>
      </c>
    </row>
    <row r="99" spans="2:106" x14ac:dyDescent="0.15">
      <c r="B99" s="5">
        <v>33</v>
      </c>
      <c r="C99" s="5">
        <f>SUM(C$6:C38)</f>
        <v>0</v>
      </c>
      <c r="D99" s="5">
        <f>SUM(D$6:D38)</f>
        <v>51348000</v>
      </c>
      <c r="E99" s="5">
        <f>SUM(E$6:E38)</f>
        <v>3960</v>
      </c>
      <c r="F99" s="5">
        <f>SUM(F$6:F38)</f>
        <v>1432800</v>
      </c>
      <c r="G99" s="5">
        <f>SUM(G$6:G38)</f>
        <v>0</v>
      </c>
      <c r="H99" s="5">
        <f>SUM(H$6:H38)</f>
        <v>801600</v>
      </c>
      <c r="I99" s="5">
        <f>SUM(I$6:I38)</f>
        <v>17866000</v>
      </c>
      <c r="J99" s="5">
        <f>SUM(J$6:J38)</f>
        <v>2262000</v>
      </c>
      <c r="K99" s="5">
        <f>SUM(K$6:K38)</f>
        <v>2904</v>
      </c>
      <c r="L99" s="5">
        <f>SUM(L$6:L38)</f>
        <v>0</v>
      </c>
      <c r="M99" s="5">
        <f>SUM(M$6:M38)</f>
        <v>66</v>
      </c>
      <c r="N99" s="5">
        <f>SUM(N$6:N38)</f>
        <v>0</v>
      </c>
      <c r="O99" s="5">
        <f>SUM(O$6:O38)</f>
        <v>0</v>
      </c>
      <c r="P99" s="5">
        <f>SUM(P$6:P38)</f>
        <v>0</v>
      </c>
      <c r="Q99" s="5">
        <f>SUM(Q$6:Q38)</f>
        <v>0</v>
      </c>
      <c r="S99" s="5">
        <v>33</v>
      </c>
      <c r="T99" s="5">
        <f>T38+1</f>
        <v>100</v>
      </c>
      <c r="U99" s="5">
        <f>U38+1</f>
        <v>95.679031394309504</v>
      </c>
      <c r="V99" s="5">
        <f>V38+1</f>
        <v>92.372787090009808</v>
      </c>
      <c r="W99" s="5">
        <f>W38+1</f>
        <v>87.153102206933823</v>
      </c>
      <c r="X99" s="5">
        <f>X38+1</f>
        <v>85.175263525571935</v>
      </c>
      <c r="AA99" s="5">
        <v>95</v>
      </c>
      <c r="AB99" s="5">
        <f>求节点(T$6:T$44,$C$67:$C$105,$AA99)</f>
        <v>0</v>
      </c>
      <c r="AC99" s="5">
        <f>求节点(U$6:U$44,$C$67:$C$105,$AA99)</f>
        <v>0</v>
      </c>
      <c r="AD99" s="5">
        <f>求节点(V$6:V$44,$C$67:$C$105,$AA99)</f>
        <v>0</v>
      </c>
      <c r="AE99" s="5">
        <f>求节点(W$6:W$44,$C$67:$C$105,$AA99)</f>
        <v>0</v>
      </c>
      <c r="AF99" s="5">
        <f>求节点(X$6:X$44,$C$67:$C$105,$AA99)</f>
        <v>0</v>
      </c>
      <c r="AG99" s="5">
        <f>求节点(T$6:T$44,$D$67:$D$105,$AA99)+求节点(T$67:T$105,$Q$67:$Q$105,$AA99)</f>
        <v>44425600</v>
      </c>
      <c r="AH99" s="5">
        <f>求节点(U$6:U$44,$D$67:$D$105,$AA99)+求节点(U$67:U$105,$Q$67:$Q$105,$AA99)</f>
        <v>52065547.451818407</v>
      </c>
      <c r="AI99" s="5">
        <f>求节点(V$6:V$44,$D$67:$D$105,$AA99)+求节点(V$67:V$105,$Q$67:$Q$105,$AA99)</f>
        <v>60612944.457391106</v>
      </c>
      <c r="AJ99" s="5">
        <f>求节点(W$6:W$44,$D$67:$D$105,$AA99)+求节点(W$67:W$105,$Q$67:$Q$105,$AA99)</f>
        <v>72115070.59763056</v>
      </c>
      <c r="AK99" s="5">
        <f>求节点(X$6:X$44,$D$67:$D$105,$AA99)+求节点(X$67:X$105,$Q$67:$Q$105,$AA99)</f>
        <v>75967263.584944203</v>
      </c>
      <c r="AL99" s="5">
        <f>求节点(T$6:T$44,$F$67:$F$105,$AA99)+求节点(T$67:T$105,$P$67:$P$105,$AA99)</f>
        <v>1349600</v>
      </c>
      <c r="AM99" s="5">
        <f>求节点(U$6:U$44,$F$67:$F$105,$AA99)+求节点(U$67:U$105,$P$67:$P$105,$AA99)</f>
        <v>1439986.8075608762</v>
      </c>
      <c r="AN99" s="5">
        <f>求节点(V$6:V$44,$F$67:$F$105,$AA99)+求节点(V$67:V$105,$P$67:$P$105,$AA99)</f>
        <v>1520462.647797443</v>
      </c>
      <c r="AO99" s="5">
        <f>求节点(W$6:W$44,$F$67:$F$105,$AA99)+求节点(W$67:W$105,$P$67:$P$105,$AA99)</f>
        <v>1612341.0953434932</v>
      </c>
      <c r="AP99" s="5">
        <f>求节点(X$6:X$44,$F$67:$F$105,$AA99)+求节点(X$67:X$105,$P$67:$P$105,$AA99)</f>
        <v>1641994.6130225987</v>
      </c>
      <c r="AQ99" s="5">
        <f>求节点(T$6:T$44,$H$67:$H$105,$AA99)</f>
        <v>765600</v>
      </c>
      <c r="AR99" s="5">
        <f>求节点(U$6:U$44,$H$67:$H$105,$AA99)</f>
        <v>804709.67634845607</v>
      </c>
      <c r="AS99" s="5">
        <f>求节点(V$6:V$44,$H$67:$H$105,$AA99)</f>
        <v>838400.16509383568</v>
      </c>
      <c r="AT99" s="5">
        <f>求节点(W$6:W$44,$H$67:$H$105,$AA99)</f>
        <v>873730.07873268798</v>
      </c>
      <c r="AU99" s="5">
        <f>求节点(X$6:X$44,$H$67:$H$105,$AA99)</f>
        <v>885038.62361031305</v>
      </c>
      <c r="AV99" s="5">
        <f>求节点(T$6:T$44,$I$67:$I$105,$AA99)</f>
        <v>16309333.333333334</v>
      </c>
      <c r="AW99" s="5">
        <f>求节点(U$6:U$44,$I$67:$I$105,$AA99)</f>
        <v>18003056.105728246</v>
      </c>
      <c r="AX99" s="5">
        <f>求节点(V$6:V$44,$I$67:$I$105,$AA99)</f>
        <v>19494466.645679757</v>
      </c>
      <c r="AY99" s="5">
        <f>求节点(W$6:W$44,$I$67:$I$105,$AA99)</f>
        <v>21088582.840138551</v>
      </c>
      <c r="AZ99" s="5">
        <f>求节点(X$6:X$44,$I$67:$I$105,$AA99)</f>
        <v>21604537.9636463</v>
      </c>
      <c r="BA99" s="5">
        <f>求节点(T$6:T$44,$E$67:$E$105,$AA99)+求节点(T$6:T$44,$K$67:$K$105,$AA99)+求节点(T$67:T$105,$O$67:$O$105,$AA99)</f>
        <v>6586.6666666666661</v>
      </c>
      <c r="BB99" s="5">
        <f>求节点(U$6:U$44,$E$67:$E$105,$AA99)+求节点(U$6:U$44,$K$67:$K$105,$AA99)+求节点(U$67:U$105,$O$67:$O$105,$AA99)</f>
        <v>6887.9560252029205</v>
      </c>
      <c r="BC99" s="5">
        <f>求节点(V$6:V$44,$E$67:$E$105,$AA99)+求节点(V$6:V$44,$K$67:$K$105,$AA99)+求节点(V$67:V$105,$O$67:$O$105,$AA99)</f>
        <v>7147.4975681302894</v>
      </c>
      <c r="BD99" s="5">
        <f>求节点(W$6:W$44,$E$67:$E$105,$AA99)+求节点(W$6:W$44,$K$67:$K$105,$AA99)+求节点(W$67:W$105,$O$67:$O$105,$AA99)</f>
        <v>7419.6687546814483</v>
      </c>
      <c r="BE99" s="5">
        <f>求节点(X$6:X$44,$E$67:$E$105,$AA99)+求节点(X$6:X$44,$K$67:$K$105,$AA99)+求节点(X$67:X$105,$O$67:$O$105,$AA99)</f>
        <v>7506.7864337387091</v>
      </c>
      <c r="BF99" s="5">
        <f>求节点(T$6:T$44,$G$67:$G$105,$AA99)</f>
        <v>0</v>
      </c>
      <c r="BG99" s="5">
        <f>求节点(U$6:U$44,$G$67:$G$105,$AA99)</f>
        <v>0</v>
      </c>
      <c r="BH99" s="5">
        <f>求节点(V$6:V$44,$G$67:$G$105,$AA99)</f>
        <v>0</v>
      </c>
      <c r="BI99" s="5">
        <f>求节点(W$6:W$44,$G$67:$G$105,$AA99)</f>
        <v>0</v>
      </c>
      <c r="BJ99" s="5">
        <f>求节点(X$6:X$44,$G$67:$G$105,$AA99)</f>
        <v>0</v>
      </c>
      <c r="BK99" s="5">
        <f>求节点(T$6:T$44,$M$67:$M$105,$AA99)</f>
        <v>63.333333333333336</v>
      </c>
      <c r="BL99" s="5">
        <f>求节点(U$6:U$44,$M$67:$M$105,$AA99)</f>
        <v>66.230346396181929</v>
      </c>
      <c r="BM99" s="5">
        <f>求节点(V$6:V$44,$M$67:$M$105,$AA99)</f>
        <v>68.725938155098945</v>
      </c>
      <c r="BN99" s="5">
        <f>求节点(W$6:W$44,$M$67:$M$105,$AA99)</f>
        <v>71.342968795013931</v>
      </c>
      <c r="BO99" s="5">
        <f>求节点(X$6:X$44,$M$67:$M$105,$AA99)</f>
        <v>72.180638785949114</v>
      </c>
      <c r="BP99" s="5">
        <f>求节点(T$67:T$105,$L$67:$L$105,$AA99)</f>
        <v>0</v>
      </c>
      <c r="BQ99" s="5">
        <f>求节点(U$67:U$105,$L$67:$L$105,$AA99)</f>
        <v>0</v>
      </c>
      <c r="BR99" s="5">
        <f>求节点(V$67:V$105,$L$67:$L$105,$AA99)</f>
        <v>0</v>
      </c>
      <c r="BS99" s="5">
        <f>求节点(W$67:W$105,$L$67:$L$105,$AA99)</f>
        <v>0</v>
      </c>
      <c r="BT99" s="5">
        <f>求节点(X$67:X$105,$L$67:$L$105,$AA99)</f>
        <v>0</v>
      </c>
      <c r="BZ99" s="5">
        <v>95</v>
      </c>
      <c r="CA99" s="5">
        <f t="shared" si="44"/>
        <v>6586.6666666666661</v>
      </c>
      <c r="CB99" s="5">
        <f t="shared" si="45"/>
        <v>6887.9560252029205</v>
      </c>
      <c r="CC99" s="5">
        <f t="shared" si="46"/>
        <v>7147.4975681302894</v>
      </c>
      <c r="CD99" s="5">
        <f t="shared" si="47"/>
        <v>7419.6687546814483</v>
      </c>
      <c r="CE99" s="5">
        <f t="shared" si="48"/>
        <v>7506.7864337387091</v>
      </c>
      <c r="CF99" s="5">
        <f>(CA99-CA98)/节奏总纲!W98</f>
        <v>1.4298689083342655</v>
      </c>
      <c r="CI99" s="5">
        <v>95</v>
      </c>
      <c r="CJ99" s="5">
        <f t="shared" si="49"/>
        <v>15200</v>
      </c>
      <c r="CK99" s="5">
        <f t="shared" si="50"/>
        <v>15895.283135083662</v>
      </c>
      <c r="CL99" s="5">
        <f t="shared" si="51"/>
        <v>16494.225157223747</v>
      </c>
      <c r="CM99" s="5">
        <f t="shared" si="52"/>
        <v>17122.312510803342</v>
      </c>
      <c r="CN99" s="5">
        <f t="shared" si="53"/>
        <v>17323.353308627786</v>
      </c>
      <c r="CO99" s="5">
        <f>(CJ99-CJ98)/节奏总纲!W98</f>
        <v>3.2996974807714397</v>
      </c>
      <c r="CP99" s="5">
        <f t="shared" si="38"/>
        <v>4.7295663891057051</v>
      </c>
      <c r="CR99" s="5">
        <v>95</v>
      </c>
      <c r="CS99" s="5">
        <f t="shared" si="39"/>
        <v>0</v>
      </c>
      <c r="CT99" s="5">
        <f t="shared" si="40"/>
        <v>0</v>
      </c>
      <c r="CU99" s="5">
        <f t="shared" si="41"/>
        <v>0</v>
      </c>
      <c r="CV99" s="5">
        <f t="shared" si="42"/>
        <v>0</v>
      </c>
      <c r="CW99" s="5">
        <f t="shared" si="43"/>
        <v>0</v>
      </c>
      <c r="CX99" s="5">
        <f t="shared" si="54"/>
        <v>0</v>
      </c>
      <c r="CY99" s="5">
        <f t="shared" si="55"/>
        <v>0</v>
      </c>
      <c r="CZ99" s="5">
        <f t="shared" si="56"/>
        <v>0</v>
      </c>
      <c r="DA99" s="5">
        <f t="shared" si="57"/>
        <v>0</v>
      </c>
      <c r="DB99" s="5">
        <f t="shared" si="58"/>
        <v>0</v>
      </c>
    </row>
    <row r="100" spans="2:106" x14ac:dyDescent="0.15">
      <c r="B100" s="5">
        <v>34</v>
      </c>
      <c r="C100" s="5">
        <f>SUM(C$6:C39)</f>
        <v>0</v>
      </c>
      <c r="D100" s="5">
        <f>SUM(D$6:D39)</f>
        <v>57578160</v>
      </c>
      <c r="E100" s="5">
        <f>SUM(E$6:E39)</f>
        <v>4080</v>
      </c>
      <c r="F100" s="5">
        <f>SUM(F$6:F39)</f>
        <v>1495200</v>
      </c>
      <c r="G100" s="5">
        <f>SUM(G$6:G39)</f>
        <v>0</v>
      </c>
      <c r="H100" s="5">
        <f>SUM(H$6:H39)</f>
        <v>828600</v>
      </c>
      <c r="I100" s="5">
        <f>SUM(I$6:I39)</f>
        <v>19056000</v>
      </c>
      <c r="J100" s="5">
        <f>SUM(J$6:J39)</f>
        <v>2356000</v>
      </c>
      <c r="K100" s="5">
        <f>SUM(K$6:K39)</f>
        <v>2992</v>
      </c>
      <c r="L100" s="5">
        <f>SUM(L$6:L39)</f>
        <v>0</v>
      </c>
      <c r="M100" s="5">
        <f>SUM(M$6:M39)</f>
        <v>68</v>
      </c>
      <c r="N100" s="5">
        <f>SUM(N$6:N39)</f>
        <v>0</v>
      </c>
      <c r="O100" s="5">
        <f>SUM(O$6:O39)</f>
        <v>0</v>
      </c>
      <c r="P100" s="5">
        <f>SUM(P$6:P39)</f>
        <v>0</v>
      </c>
      <c r="Q100" s="5">
        <f>SUM(Q$6:Q39)</f>
        <v>0</v>
      </c>
      <c r="S100" s="5">
        <v>34</v>
      </c>
      <c r="T100" s="5">
        <f>T39+1</f>
        <v>103</v>
      </c>
      <c r="U100" s="5">
        <f>U39+1</f>
        <v>98.465865579785472</v>
      </c>
      <c r="V100" s="5">
        <f>V39+1</f>
        <v>95.009367528122809</v>
      </c>
      <c r="W100" s="5">
        <f>W39+1</f>
        <v>90.141783644113488</v>
      </c>
      <c r="X100" s="5">
        <f>X39+1</f>
        <v>88.273195101386762</v>
      </c>
      <c r="AA100" s="5">
        <v>96</v>
      </c>
      <c r="AB100" s="5">
        <f>求节点(T$6:T$44,$C$67:$C$105,$AA100)</f>
        <v>0</v>
      </c>
      <c r="AC100" s="5">
        <f>求节点(U$6:U$44,$C$67:$C$105,$AA100)</f>
        <v>0</v>
      </c>
      <c r="AD100" s="5">
        <f>求节点(V$6:V$44,$C$67:$C$105,$AA100)</f>
        <v>0</v>
      </c>
      <c r="AE100" s="5">
        <f>求节点(W$6:W$44,$C$67:$C$105,$AA100)</f>
        <v>0</v>
      </c>
      <c r="AF100" s="5">
        <f>求节点(X$6:X$44,$C$67:$C$105,$AA100)</f>
        <v>0</v>
      </c>
      <c r="AG100" s="5">
        <f>求节点(T$6:T$44,$D$67:$D$105,$AA100)+求节点(T$67:T$105,$Q$67:$Q$105,$AA100)</f>
        <v>46156200</v>
      </c>
      <c r="AH100" s="5">
        <f>求节点(U$6:U$44,$D$67:$D$105,$AA100)+求节点(U$67:U$105,$Q$67:$Q$105,$AA100)</f>
        <v>54301116.411202312</v>
      </c>
      <c r="AI100" s="5">
        <f>求节点(V$6:V$44,$D$67:$D$105,$AA100)+求节点(V$67:V$105,$Q$67:$Q$105,$AA100)</f>
        <v>63676426.165839821</v>
      </c>
      <c r="AJ100" s="5">
        <f>求节点(W$6:W$44,$D$67:$D$105,$AA100)+求节点(W$67:W$105,$Q$67:$Q$105,$AA100)</f>
        <v>74630857.091864839</v>
      </c>
      <c r="AK100" s="5">
        <f>求节点(X$6:X$44,$D$67:$D$105,$AA100)+求节点(X$67:X$105,$Q$67:$Q$105,$AA100)</f>
        <v>77968534.553802475</v>
      </c>
      <c r="AL100" s="5">
        <f>求节点(T$6:T$44,$F$67:$F$105,$AA100)+求节点(T$67:T$105,$P$67:$P$105,$AA100)</f>
        <v>1370400</v>
      </c>
      <c r="AM100" s="5">
        <f>求节点(U$6:U$44,$F$67:$F$105,$AA100)+求节点(U$67:U$105,$P$67:$P$105,$AA100)</f>
        <v>1462377.8060369275</v>
      </c>
      <c r="AN100" s="5">
        <f>求节点(V$6:V$44,$F$67:$F$105,$AA100)+求节点(V$67:V$105,$P$67:$P$105,$AA100)</f>
        <v>1545964.1819330764</v>
      </c>
      <c r="AO100" s="5">
        <f>求节点(W$6:W$44,$F$67:$F$105,$AA100)+求节点(W$67:W$105,$P$67:$P$105,$AA100)</f>
        <v>1631707.1861726174</v>
      </c>
      <c r="AP100" s="5">
        <f>求节点(X$6:X$44,$F$67:$F$105,$AA100)+求节点(X$67:X$105,$P$67:$P$105,$AA100)</f>
        <v>1657400.0520157018</v>
      </c>
      <c r="AQ100" s="5">
        <f>求节点(T$6:T$44,$H$67:$H$105,$AA100)</f>
        <v>774600</v>
      </c>
      <c r="AR100" s="5">
        <f>求节点(U$6:U$44,$H$67:$H$105,$AA100)</f>
        <v>814398.08915059362</v>
      </c>
      <c r="AS100" s="5">
        <f>求节点(V$6:V$44,$H$67:$H$105,$AA100)</f>
        <v>848293.00161196932</v>
      </c>
      <c r="AT100" s="5">
        <f>求节点(W$6:W$44,$H$67:$H$105,$AA100)</f>
        <v>881115.45235396421</v>
      </c>
      <c r="AU100" s="5">
        <f>求节点(X$6:X$44,$H$67:$H$105,$AA100)</f>
        <v>890913.57915853034</v>
      </c>
      <c r="AV100" s="5">
        <f>求节点(T$6:T$44,$I$67:$I$105,$AA100)</f>
        <v>16694000</v>
      </c>
      <c r="AW100" s="5">
        <f>求节点(U$6:U$44,$I$67:$I$105,$AA100)</f>
        <v>18430063.929229867</v>
      </c>
      <c r="AX100" s="5">
        <f>求节点(V$6:V$44,$I$67:$I$105,$AA100)</f>
        <v>19937079.479528107</v>
      </c>
      <c r="AY100" s="5">
        <f>求节点(W$6:W$44,$I$67:$I$105,$AA100)</f>
        <v>21424480.573728446</v>
      </c>
      <c r="AZ100" s="5">
        <f>求节点(X$6:X$44,$I$67:$I$105,$AA100)</f>
        <v>21875656.282649212</v>
      </c>
      <c r="BA100" s="5">
        <f>求节点(T$6:T$44,$E$67:$E$105,$AA100)+求节点(T$6:T$44,$K$67:$K$105,$AA100)+求节点(T$67:T$105,$O$67:$O$105,$AA100)</f>
        <v>6656</v>
      </c>
      <c r="BB100" s="5">
        <f>求节点(U$6:U$44,$E$67:$E$105,$AA100)+求节点(U$6:U$44,$K$67:$K$105,$AA100)+求节点(U$67:U$105,$O$67:$O$105,$AA100)</f>
        <v>6962.5926867897579</v>
      </c>
      <c r="BC100" s="5">
        <f>求节点(V$6:V$44,$E$67:$E$105,$AA100)+求节点(V$6:V$44,$K$67:$K$105,$AA100)+求节点(V$67:V$105,$O$67:$O$105,$AA100)</f>
        <v>7223.7090494551703</v>
      </c>
      <c r="BD100" s="5">
        <f>求节点(W$6:W$44,$E$67:$E$105,$AA100)+求节点(W$6:W$44,$K$67:$K$105,$AA100)+求节点(W$67:W$105,$O$67:$O$105,$AA100)</f>
        <v>7476.5634848009095</v>
      </c>
      <c r="BE100" s="5">
        <f>求节点(X$6:X$44,$E$67:$E$105,$AA100)+求节点(X$6:X$44,$K$67:$K$105,$AA100)+求节点(X$67:X$105,$O$67:$O$105,$AA100)</f>
        <v>7552.0453505546038</v>
      </c>
      <c r="BF100" s="5">
        <f>求节点(T$6:T$44,$G$67:$G$105,$AA100)</f>
        <v>0</v>
      </c>
      <c r="BG100" s="5">
        <f>求节点(U$6:U$44,$G$67:$G$105,$AA100)</f>
        <v>0</v>
      </c>
      <c r="BH100" s="5">
        <f>求节点(V$6:V$44,$G$67:$G$105,$AA100)</f>
        <v>0</v>
      </c>
      <c r="BI100" s="5">
        <f>求节点(W$6:W$44,$G$67:$G$105,$AA100)</f>
        <v>0</v>
      </c>
      <c r="BJ100" s="5">
        <f>求节点(X$6:X$44,$G$67:$G$105,$AA100)</f>
        <v>0</v>
      </c>
      <c r="BK100" s="5">
        <f>求节点(T$6:T$44,$M$67:$M$105,$AA100)</f>
        <v>64</v>
      </c>
      <c r="BL100" s="5">
        <f>求节点(U$6:U$44,$M$67:$M$105,$AA100)</f>
        <v>66.948006603747672</v>
      </c>
      <c r="BM100" s="5">
        <f>求节点(V$6:V$44,$M$67:$M$105,$AA100)</f>
        <v>69.458740860145866</v>
      </c>
      <c r="BN100" s="5">
        <f>求节点(W$6:W$44,$M$67:$M$105,$AA100)</f>
        <v>71.890033507701048</v>
      </c>
      <c r="BO100" s="5">
        <f>求节点(X$6:X$44,$M$67:$M$105,$AA100)</f>
        <v>72.615820678409648</v>
      </c>
      <c r="BP100" s="5">
        <f>求节点(T$67:T$105,$L$67:$L$105,$AA100)</f>
        <v>0</v>
      </c>
      <c r="BQ100" s="5">
        <f>求节点(U$67:U$105,$L$67:$L$105,$AA100)</f>
        <v>0</v>
      </c>
      <c r="BR100" s="5">
        <f>求节点(V$67:V$105,$L$67:$L$105,$AA100)</f>
        <v>0</v>
      </c>
      <c r="BS100" s="5">
        <f>求节点(W$67:W$105,$L$67:$L$105,$AA100)</f>
        <v>0</v>
      </c>
      <c r="BT100" s="5">
        <f>求节点(X$67:X$105,$L$67:$L$105,$AA100)</f>
        <v>0</v>
      </c>
      <c r="BZ100" s="5">
        <v>96</v>
      </c>
      <c r="CA100" s="5">
        <f t="shared" si="44"/>
        <v>6656</v>
      </c>
      <c r="CB100" s="5">
        <f t="shared" si="45"/>
        <v>6962.5926867897579</v>
      </c>
      <c r="CC100" s="5">
        <f t="shared" si="46"/>
        <v>7223.7090494551703</v>
      </c>
      <c r="CD100" s="5">
        <f t="shared" si="47"/>
        <v>7476.5634848009095</v>
      </c>
      <c r="CE100" s="5">
        <f t="shared" si="48"/>
        <v>7552.0453505546038</v>
      </c>
      <c r="CF100" s="5">
        <f>(CA100-CA99)/节奏总纲!W99</f>
        <v>1.3341148650486225</v>
      </c>
      <c r="CI100" s="5">
        <v>96</v>
      </c>
      <c r="CJ100" s="5">
        <f t="shared" si="49"/>
        <v>15360</v>
      </c>
      <c r="CK100" s="5">
        <f t="shared" si="50"/>
        <v>16067.521584899441</v>
      </c>
      <c r="CL100" s="5">
        <f t="shared" si="51"/>
        <v>16670.097806435009</v>
      </c>
      <c r="CM100" s="5">
        <f t="shared" si="52"/>
        <v>17253.608041848252</v>
      </c>
      <c r="CN100" s="5">
        <f t="shared" si="53"/>
        <v>17427.796962818316</v>
      </c>
      <c r="CO100" s="5">
        <f>(CJ100-CJ99)/节奏总纲!W99</f>
        <v>3.0787266116506404</v>
      </c>
      <c r="CP100" s="5">
        <f t="shared" si="38"/>
        <v>4.4128414766992634</v>
      </c>
      <c r="CR100" s="5">
        <v>96</v>
      </c>
      <c r="CS100" s="5">
        <f t="shared" si="39"/>
        <v>0</v>
      </c>
      <c r="CT100" s="5">
        <f t="shared" si="40"/>
        <v>0</v>
      </c>
      <c r="CU100" s="5">
        <f t="shared" si="41"/>
        <v>0</v>
      </c>
      <c r="CV100" s="5">
        <f t="shared" si="42"/>
        <v>0</v>
      </c>
      <c r="CW100" s="5">
        <f t="shared" si="43"/>
        <v>0</v>
      </c>
      <c r="CX100" s="5">
        <f t="shared" si="54"/>
        <v>0</v>
      </c>
      <c r="CY100" s="5">
        <f t="shared" si="55"/>
        <v>0</v>
      </c>
      <c r="CZ100" s="5">
        <f t="shared" si="56"/>
        <v>0</v>
      </c>
      <c r="DA100" s="5">
        <f t="shared" si="57"/>
        <v>0</v>
      </c>
      <c r="DB100" s="5">
        <f t="shared" si="58"/>
        <v>0</v>
      </c>
    </row>
    <row r="101" spans="2:106" x14ac:dyDescent="0.15">
      <c r="B101" s="5">
        <v>35</v>
      </c>
      <c r="C101" s="5">
        <f>SUM(C$6:C40)</f>
        <v>0</v>
      </c>
      <c r="D101" s="5">
        <f>SUM(D$6:D40)</f>
        <v>65939160</v>
      </c>
      <c r="E101" s="5">
        <f>SUM(E$6:E40)</f>
        <v>4200</v>
      </c>
      <c r="F101" s="5">
        <f>SUM(F$6:F40)</f>
        <v>1564800</v>
      </c>
      <c r="G101" s="5">
        <f>SUM(G$6:G40)</f>
        <v>0</v>
      </c>
      <c r="H101" s="5">
        <f>SUM(H$6:H40)</f>
        <v>855600</v>
      </c>
      <c r="I101" s="5">
        <f>SUM(I$6:I40)</f>
        <v>20264000</v>
      </c>
      <c r="J101" s="5">
        <f>SUM(J$6:J40)</f>
        <v>2450000</v>
      </c>
      <c r="K101" s="5">
        <f>SUM(K$6:K40)</f>
        <v>3080</v>
      </c>
      <c r="L101" s="5">
        <f>SUM(L$6:L40)</f>
        <v>0</v>
      </c>
      <c r="M101" s="5">
        <f>SUM(M$6:M40)</f>
        <v>70</v>
      </c>
      <c r="N101" s="5">
        <f>SUM(N$6:N40)</f>
        <v>0</v>
      </c>
      <c r="O101" s="5">
        <f>SUM(O$6:O40)</f>
        <v>0</v>
      </c>
      <c r="P101" s="5">
        <f>SUM(P$6:P40)</f>
        <v>0</v>
      </c>
      <c r="Q101" s="5">
        <f>SUM(Q$6:Q40)</f>
        <v>0</v>
      </c>
      <c r="S101" s="5">
        <v>35</v>
      </c>
      <c r="T101" s="5">
        <f>T40+1</f>
        <v>106</v>
      </c>
      <c r="U101" s="5">
        <f>U40+1</f>
        <v>101.91893418037404</v>
      </c>
      <c r="V101" s="5">
        <f>V40+1</f>
        <v>97.738615095340649</v>
      </c>
      <c r="W101" s="5">
        <f>W40+1</f>
        <v>93.54513723172272</v>
      </c>
      <c r="X101" s="5">
        <f>X40+1</f>
        <v>91.54018874100781</v>
      </c>
      <c r="AA101" s="5">
        <v>97</v>
      </c>
      <c r="AB101" s="5">
        <f>求节点(T$6:T$44,$C$67:$C$105,$AA101)</f>
        <v>0</v>
      </c>
      <c r="AC101" s="5">
        <f>求节点(U$6:U$44,$C$67:$C$105,$AA101)</f>
        <v>0</v>
      </c>
      <c r="AD101" s="5">
        <f>求节点(V$6:V$44,$C$67:$C$105,$AA101)</f>
        <v>0</v>
      </c>
      <c r="AE101" s="5">
        <f>求节点(W$6:W$44,$C$67:$C$105,$AA101)</f>
        <v>0</v>
      </c>
      <c r="AF101" s="5">
        <f>求节点(X$6:X$44,$C$67:$C$105,$AA101)</f>
        <v>0</v>
      </c>
      <c r="AG101" s="5">
        <f>求节点(T$6:T$44,$D$67:$D$105,$AA101)+求节点(T$67:T$105,$Q$67:$Q$105,$AA101)</f>
        <v>47886800</v>
      </c>
      <c r="AH101" s="5">
        <f>求节点(U$6:U$44,$D$67:$D$105,$AA101)+求节点(U$67:U$105,$Q$67:$Q$105,$AA101)</f>
        <v>56536685.370586216</v>
      </c>
      <c r="AI101" s="5">
        <f>求节点(V$6:V$44,$D$67:$D$105,$AA101)+求节点(V$67:V$105,$Q$67:$Q$105,$AA101)</f>
        <v>66785584.140341133</v>
      </c>
      <c r="AJ101" s="5">
        <f>求节点(W$6:W$44,$D$67:$D$105,$AA101)+求节点(W$67:W$105,$Q$67:$Q$105,$AA101)</f>
        <v>77002255.976017833</v>
      </c>
      <c r="AK101" s="5">
        <f>求节点(X$6:X$44,$D$67:$D$105,$AA101)+求节点(X$67:X$105,$Q$67:$Q$105,$AA101)</f>
        <v>79969805.522660732</v>
      </c>
      <c r="AL101" s="5">
        <f>求节点(T$6:T$44,$F$67:$F$105,$AA101)+求节点(T$67:T$105,$P$67:$P$105,$AA101)</f>
        <v>1391200</v>
      </c>
      <c r="AM101" s="5">
        <f>求节点(U$6:U$44,$F$67:$F$105,$AA101)+求节点(U$67:U$105,$P$67:$P$105,$AA101)</f>
        <v>1484768.8045129788</v>
      </c>
      <c r="AN101" s="5">
        <f>求节点(V$6:V$44,$F$67:$F$105,$AA101)+求节点(V$67:V$105,$P$67:$P$105,$AA101)</f>
        <v>1571315.6271485586</v>
      </c>
      <c r="AO101" s="5">
        <f>求节点(W$6:W$44,$F$67:$F$105,$AA101)+求节点(W$67:W$105,$P$67:$P$105,$AA101)</f>
        <v>1649961.8060649817</v>
      </c>
      <c r="AP101" s="5">
        <f>求节点(X$6:X$44,$F$67:$F$105,$AA101)+求节点(X$67:X$105,$P$67:$P$105,$AA101)</f>
        <v>1672805.4910088046</v>
      </c>
      <c r="AQ101" s="5">
        <f>求节点(T$6:T$44,$H$67:$H$105,$AA101)</f>
        <v>783600</v>
      </c>
      <c r="AR101" s="5">
        <f>求节点(U$6:U$44,$H$67:$H$105,$AA101)</f>
        <v>824086.50195273117</v>
      </c>
      <c r="AS101" s="5">
        <f>求节点(V$6:V$44,$H$67:$H$105,$AA101)</f>
        <v>858084.77306512825</v>
      </c>
      <c r="AT101" s="5">
        <f>求节点(W$6:W$44,$H$67:$H$105,$AA101)</f>
        <v>888076.95994003536</v>
      </c>
      <c r="AU101" s="5">
        <f>求节点(X$6:X$44,$H$67:$H$105,$AA101)</f>
        <v>896788.53470674751</v>
      </c>
      <c r="AV101" s="5">
        <f>求节点(T$6:T$44,$I$67:$I$105,$AA101)</f>
        <v>17084666.666666668</v>
      </c>
      <c r="AW101" s="5">
        <f>求节点(U$6:U$44,$I$67:$I$105,$AA101)</f>
        <v>18857071.752731487</v>
      </c>
      <c r="AX101" s="5">
        <f>求节点(V$6:V$44,$I$67:$I$105,$AA101)</f>
        <v>20377011.160147317</v>
      </c>
      <c r="AY101" s="5">
        <f>求节点(W$6:W$44,$I$67:$I$105,$AA101)</f>
        <v>21744751.558714226</v>
      </c>
      <c r="AZ101" s="5">
        <f>求节点(X$6:X$44,$I$67:$I$105,$AA101)</f>
        <v>22146774.601652127</v>
      </c>
      <c r="BA101" s="5">
        <f>求节点(T$6:T$44,$E$67:$E$105,$AA101)+求节点(T$6:T$44,$K$67:$K$105,$AA101)+求节点(T$67:T$105,$O$67:$O$105,$AA101)</f>
        <v>6725.3333333333339</v>
      </c>
      <c r="BB101" s="5">
        <f>求节点(U$6:U$44,$E$67:$E$105,$AA101)+求节点(U$6:U$44,$K$67:$K$105,$AA101)+求节点(U$67:U$105,$O$67:$O$105,$AA101)</f>
        <v>7037.2293483765961</v>
      </c>
      <c r="BC101" s="5">
        <f>求节点(V$6:V$44,$E$67:$E$105,$AA101)+求节点(V$6:V$44,$K$67:$K$105,$AA101)+求节点(V$67:V$105,$O$67:$O$105,$AA101)</f>
        <v>7299.1419554646927</v>
      </c>
      <c r="BD101" s="5">
        <f>求节点(W$6:W$44,$E$67:$E$105,$AA101)+求节点(W$6:W$44,$K$67:$K$105,$AA101)+求节点(W$67:W$105,$O$67:$O$105,$AA101)</f>
        <v>7530.1928765750872</v>
      </c>
      <c r="BE101" s="5">
        <f>求节点(X$6:X$44,$E$67:$E$105,$AA101)+求节点(X$6:X$44,$K$67:$K$105,$AA101)+求节点(X$67:X$105,$O$67:$O$105,$AA101)</f>
        <v>7597.3042673705004</v>
      </c>
      <c r="BF101" s="5">
        <f>求节点(T$6:T$44,$G$67:$G$105,$AA101)</f>
        <v>0</v>
      </c>
      <c r="BG101" s="5">
        <f>求节点(U$6:U$44,$G$67:$G$105,$AA101)</f>
        <v>0</v>
      </c>
      <c r="BH101" s="5">
        <f>求节点(V$6:V$44,$G$67:$G$105,$AA101)</f>
        <v>0</v>
      </c>
      <c r="BI101" s="5">
        <f>求节点(W$6:W$44,$G$67:$G$105,$AA101)</f>
        <v>0</v>
      </c>
      <c r="BJ101" s="5">
        <f>求节点(X$6:X$44,$G$67:$G$105,$AA101)</f>
        <v>0</v>
      </c>
      <c r="BK101" s="5">
        <f>求节点(T$6:T$44,$M$67:$M$105,$AA101)</f>
        <v>64.666666666666671</v>
      </c>
      <c r="BL101" s="5">
        <f>求节点(U$6:U$44,$M$67:$M$105,$AA101)</f>
        <v>67.665666811313415</v>
      </c>
      <c r="BM101" s="5">
        <f>求节点(V$6:V$44,$M$67:$M$105,$AA101)</f>
        <v>70.184057264083577</v>
      </c>
      <c r="BN101" s="5">
        <f>求节点(W$6:W$44,$M$67:$M$105,$AA101)</f>
        <v>72.405700736298925</v>
      </c>
      <c r="BO101" s="5">
        <f>求节点(X$6:X$44,$M$67:$M$105,$AA101)</f>
        <v>73.051002570870196</v>
      </c>
      <c r="BP101" s="5">
        <f>求节点(T$67:T$105,$L$67:$L$105,$AA101)</f>
        <v>0</v>
      </c>
      <c r="BQ101" s="5">
        <f>求节点(U$67:U$105,$L$67:$L$105,$AA101)</f>
        <v>0</v>
      </c>
      <c r="BR101" s="5">
        <f>求节点(V$67:V$105,$L$67:$L$105,$AA101)</f>
        <v>0</v>
      </c>
      <c r="BS101" s="5">
        <f>求节点(W$67:W$105,$L$67:$L$105,$AA101)</f>
        <v>0</v>
      </c>
      <c r="BT101" s="5">
        <f>求节点(X$67:X$105,$L$67:$L$105,$AA101)</f>
        <v>0</v>
      </c>
      <c r="BZ101" s="5">
        <v>97</v>
      </c>
      <c r="CA101" s="5">
        <f t="shared" si="44"/>
        <v>6725.3333333333339</v>
      </c>
      <c r="CB101" s="5">
        <f t="shared" si="45"/>
        <v>7037.2293483765961</v>
      </c>
      <c r="CC101" s="5">
        <f t="shared" si="46"/>
        <v>7299.1419554646927</v>
      </c>
      <c r="CD101" s="5">
        <f t="shared" si="47"/>
        <v>7530.1928765750872</v>
      </c>
      <c r="CE101" s="5">
        <f t="shared" si="48"/>
        <v>7597.3042673705004</v>
      </c>
      <c r="CF101" s="5">
        <f>(CA101-CA100)/节奏总纲!W100</f>
        <v>1.2447731835900562</v>
      </c>
      <c r="CI101" s="5">
        <v>97</v>
      </c>
      <c r="CJ101" s="5">
        <f t="shared" si="49"/>
        <v>15520.000000000002</v>
      </c>
      <c r="CK101" s="5">
        <f t="shared" si="50"/>
        <v>16239.76003471522</v>
      </c>
      <c r="CL101" s="5">
        <f t="shared" si="51"/>
        <v>16844.173743380059</v>
      </c>
      <c r="CM101" s="5">
        <f t="shared" si="52"/>
        <v>17377.368176711741</v>
      </c>
      <c r="CN101" s="5">
        <f t="shared" si="53"/>
        <v>17532.240617008847</v>
      </c>
      <c r="CO101" s="5">
        <f>(CJ101-CJ100)/节奏总纲!W100</f>
        <v>2.8725535005924447</v>
      </c>
      <c r="CP101" s="5">
        <f t="shared" ref="CP101:CP104" si="59">CO101+CF101</f>
        <v>4.1173266841825011</v>
      </c>
      <c r="CR101" s="5">
        <v>97</v>
      </c>
      <c r="CS101" s="5">
        <f t="shared" si="39"/>
        <v>0</v>
      </c>
      <c r="CT101" s="5">
        <f t="shared" si="40"/>
        <v>0</v>
      </c>
      <c r="CU101" s="5">
        <f t="shared" si="41"/>
        <v>0</v>
      </c>
      <c r="CV101" s="5">
        <f t="shared" si="42"/>
        <v>0</v>
      </c>
      <c r="CW101" s="5">
        <f t="shared" si="43"/>
        <v>0</v>
      </c>
      <c r="CX101" s="5">
        <f t="shared" si="54"/>
        <v>0</v>
      </c>
      <c r="CY101" s="5">
        <f t="shared" si="55"/>
        <v>0</v>
      </c>
      <c r="CZ101" s="5">
        <f t="shared" si="56"/>
        <v>0</v>
      </c>
      <c r="DA101" s="5">
        <f t="shared" si="57"/>
        <v>0</v>
      </c>
      <c r="DB101" s="5">
        <f t="shared" si="58"/>
        <v>0</v>
      </c>
    </row>
    <row r="102" spans="2:106" x14ac:dyDescent="0.15">
      <c r="B102" s="5">
        <v>36</v>
      </c>
      <c r="C102" s="5">
        <f>SUM(C$6:C41)</f>
        <v>0</v>
      </c>
      <c r="D102" s="5">
        <f>SUM(D$6:D41)</f>
        <v>75136560</v>
      </c>
      <c r="E102" s="5">
        <f>SUM(E$6:E41)</f>
        <v>4320</v>
      </c>
      <c r="F102" s="5">
        <f>SUM(F$6:F41)</f>
        <v>1635600</v>
      </c>
      <c r="G102" s="5">
        <f>SUM(G$6:G41)</f>
        <v>0</v>
      </c>
      <c r="H102" s="5">
        <f>SUM(H$6:H41)</f>
        <v>882600</v>
      </c>
      <c r="I102" s="5">
        <f>SUM(I$6:I41)</f>
        <v>21492000</v>
      </c>
      <c r="J102" s="5">
        <f>SUM(J$6:J41)</f>
        <v>2546000</v>
      </c>
      <c r="K102" s="5">
        <f>SUM(K$6:K41)</f>
        <v>3168</v>
      </c>
      <c r="L102" s="5">
        <f>SUM(L$6:L41)</f>
        <v>0</v>
      </c>
      <c r="M102" s="5">
        <f>SUM(M$6:M41)</f>
        <v>72</v>
      </c>
      <c r="N102" s="5">
        <f>SUM(N$6:N41)</f>
        <v>0</v>
      </c>
      <c r="O102" s="5">
        <f>SUM(O$6:O41)</f>
        <v>0</v>
      </c>
      <c r="P102" s="5">
        <f>SUM(P$6:P41)</f>
        <v>0</v>
      </c>
      <c r="Q102" s="5">
        <f>SUM(Q$6:Q41)</f>
        <v>0</v>
      </c>
      <c r="S102" s="5">
        <v>36</v>
      </c>
      <c r="T102" s="5">
        <f>T41+1</f>
        <v>109</v>
      </c>
      <c r="U102" s="5">
        <f>U41+1</f>
        <v>104.89217009964835</v>
      </c>
      <c r="V102" s="5">
        <f>V41+1</f>
        <v>100.57887142492147</v>
      </c>
      <c r="W102" s="5">
        <f>W41+1</f>
        <v>97.201011854262731</v>
      </c>
      <c r="X102" s="5">
        <f>X41+1</f>
        <v>95.584911989495296</v>
      </c>
      <c r="AA102" s="5">
        <v>98</v>
      </c>
      <c r="AB102" s="5">
        <f>求节点(T$6:T$44,$C$67:$C$105,$AA102)</f>
        <v>0</v>
      </c>
      <c r="AC102" s="5">
        <f>求节点(U$6:U$44,$C$67:$C$105,$AA102)</f>
        <v>0</v>
      </c>
      <c r="AD102" s="5">
        <f>求节点(V$6:V$44,$C$67:$C$105,$AA102)</f>
        <v>0</v>
      </c>
      <c r="AE102" s="5">
        <f>求节点(W$6:W$44,$C$67:$C$105,$AA102)</f>
        <v>0</v>
      </c>
      <c r="AF102" s="5">
        <f>求节点(X$6:X$44,$C$67:$C$105,$AA102)</f>
        <v>0</v>
      </c>
      <c r="AG102" s="5">
        <f>求节点(T$6:T$44,$D$67:$D$105,$AA102)+求节点(T$67:T$105,$Q$67:$Q$105,$AA102)</f>
        <v>49617400</v>
      </c>
      <c r="AH102" s="5">
        <f>求节点(U$6:U$44,$D$67:$D$105,$AA102)+求节点(U$67:U$105,$Q$67:$Q$105,$AA102)</f>
        <v>58871472.819401406</v>
      </c>
      <c r="AI102" s="5">
        <f>求节点(V$6:V$44,$D$67:$D$105,$AA102)+求节点(V$67:V$105,$Q$67:$Q$105,$AA102)</f>
        <v>70023812.994621128</v>
      </c>
      <c r="AJ102" s="5">
        <f>求节点(W$6:W$44,$D$67:$D$105,$AA102)+求节点(W$67:W$105,$Q$67:$Q$105,$AA102)</f>
        <v>79337329.388522923</v>
      </c>
      <c r="AK102" s="5">
        <f>求节点(X$6:X$44,$D$67:$D$105,$AA102)+求节点(X$67:X$105,$Q$67:$Q$105,$AA102)</f>
        <v>81971076.491519004</v>
      </c>
      <c r="AL102" s="5">
        <f>求节点(T$6:T$44,$F$67:$F$105,$AA102)+求节点(T$67:T$105,$P$67:$P$105,$AA102)</f>
        <v>1412000</v>
      </c>
      <c r="AM102" s="5">
        <f>求节点(U$6:U$44,$F$67:$F$105,$AA102)+求节点(U$67:U$105,$P$67:$P$105,$AA102)</f>
        <v>1505966.0055292833</v>
      </c>
      <c r="AN102" s="5">
        <f>求节点(V$6:V$44,$F$67:$F$105,$AA102)+求节点(V$67:V$105,$P$67:$P$105,$AA102)</f>
        <v>1596242.9547501658</v>
      </c>
      <c r="AO102" s="5">
        <f>求节点(W$6:W$44,$F$67:$F$105,$AA102)+求节点(W$67:W$105,$P$67:$P$105,$AA102)</f>
        <v>1667936.7987374065</v>
      </c>
      <c r="AP102" s="5">
        <f>求节点(X$6:X$44,$F$67:$F$105,$AA102)+求节点(X$67:X$105,$P$67:$P$105,$AA102)</f>
        <v>1688210.9300019077</v>
      </c>
      <c r="AQ102" s="5">
        <f>求节点(T$6:T$44,$H$67:$H$105,$AA102)</f>
        <v>792600</v>
      </c>
      <c r="AR102" s="5">
        <f>求节点(U$6:U$44,$H$67:$H$105,$AA102)</f>
        <v>832776.46766222198</v>
      </c>
      <c r="AS102" s="5">
        <f>求节点(V$6:V$44,$H$67:$H$105,$AA102)</f>
        <v>867590.95731997851</v>
      </c>
      <c r="AT102" s="5">
        <f>求节点(W$6:W$44,$H$67:$H$105,$AA102)</f>
        <v>894931.83002697711</v>
      </c>
      <c r="AU102" s="5">
        <f>求节点(X$6:X$44,$H$67:$H$105,$AA102)</f>
        <v>902663.4902549648</v>
      </c>
      <c r="AV102" s="5">
        <f>求节点(T$6:T$44,$I$67:$I$105,$AA102)</f>
        <v>17475333.333333332</v>
      </c>
      <c r="AW102" s="5">
        <f>求节点(U$6:U$44,$I$67:$I$105,$AA102)</f>
        <v>19242858.256887563</v>
      </c>
      <c r="AX102" s="5">
        <f>求节点(V$6:V$44,$I$67:$I$105,$AA102)</f>
        <v>20809366.503293838</v>
      </c>
      <c r="AY102" s="5">
        <f>求节点(W$6:W$44,$I$67:$I$105,$AA102)</f>
        <v>22061091.11902272</v>
      </c>
      <c r="AZ102" s="5">
        <f>求节点(X$6:X$44,$I$67:$I$105,$AA102)</f>
        <v>22417892.920655042</v>
      </c>
      <c r="BA102" s="5">
        <f>求节点(T$6:T$44,$E$67:$E$105,$AA102)+求节点(T$6:T$44,$K$67:$K$105,$AA102)+求节点(T$67:T$105,$O$67:$O$105,$AA102)</f>
        <v>6794.6666666666661</v>
      </c>
      <c r="BB102" s="5">
        <f>求节点(U$6:U$44,$E$67:$E$105,$AA102)+求节点(U$6:U$44,$K$67:$K$105,$AA102)+求节点(U$67:U$105,$O$67:$O$105,$AA102)</f>
        <v>7104.1742693978576</v>
      </c>
      <c r="BC102" s="5">
        <f>求节点(V$6:V$44,$E$67:$E$105,$AA102)+求节点(V$6:V$44,$K$67:$K$105,$AA102)+求节点(V$67:V$105,$O$67:$O$105,$AA102)</f>
        <v>7372.3747823168706</v>
      </c>
      <c r="BD102" s="5">
        <f>求节点(W$6:W$44,$E$67:$E$105,$AA102)+求节点(W$6:W$44,$K$67:$K$105,$AA102)+求节点(W$67:W$105,$O$67:$O$105,$AA102)</f>
        <v>7583.0007646522681</v>
      </c>
      <c r="BE102" s="5">
        <f>求节点(X$6:X$44,$E$67:$E$105,$AA102)+求节点(X$6:X$44,$K$67:$K$105,$AA102)+求节点(X$67:X$105,$O$67:$O$105,$AA102)</f>
        <v>7642.563184186396</v>
      </c>
      <c r="BF102" s="5">
        <f>求节点(T$6:T$44,$G$67:$G$105,$AA102)</f>
        <v>0</v>
      </c>
      <c r="BG102" s="5">
        <f>求节点(U$6:U$44,$G$67:$G$105,$AA102)</f>
        <v>0</v>
      </c>
      <c r="BH102" s="5">
        <f>求节点(V$6:V$44,$G$67:$G$105,$AA102)</f>
        <v>0</v>
      </c>
      <c r="BI102" s="5">
        <f>求节点(W$6:W$44,$G$67:$G$105,$AA102)</f>
        <v>0</v>
      </c>
      <c r="BJ102" s="5">
        <f>求节点(X$6:X$44,$G$67:$G$105,$AA102)</f>
        <v>0</v>
      </c>
      <c r="BK102" s="5">
        <f>求节点(T$6:T$44,$M$67:$M$105,$AA102)</f>
        <v>65.333333333333329</v>
      </c>
      <c r="BL102" s="5">
        <f>求节点(U$6:U$44,$M$67:$M$105,$AA102)</f>
        <v>68.309367974979409</v>
      </c>
      <c r="BM102" s="5">
        <f>求节点(V$6:V$44,$M$67:$M$105,$AA102)</f>
        <v>70.888219060739146</v>
      </c>
      <c r="BN102" s="5">
        <f>求节点(W$6:W$44,$M$67:$M$105,$AA102)</f>
        <v>72.913468890887188</v>
      </c>
      <c r="BO102" s="5">
        <f>求节点(X$6:X$44,$M$67:$M$105,$AA102)</f>
        <v>73.48618446333073</v>
      </c>
      <c r="BP102" s="5">
        <f>求节点(T$67:T$105,$L$67:$L$105,$AA102)</f>
        <v>0</v>
      </c>
      <c r="BQ102" s="5">
        <f>求节点(U$67:U$105,$L$67:$L$105,$AA102)</f>
        <v>0</v>
      </c>
      <c r="BR102" s="5">
        <f>求节点(V$67:V$105,$L$67:$L$105,$AA102)</f>
        <v>0</v>
      </c>
      <c r="BS102" s="5">
        <f>求节点(W$67:W$105,$L$67:$L$105,$AA102)</f>
        <v>0</v>
      </c>
      <c r="BT102" s="5">
        <f>求节点(X$67:X$105,$L$67:$L$105,$AA102)</f>
        <v>0</v>
      </c>
      <c r="BZ102" s="5">
        <v>98</v>
      </c>
      <c r="CA102" s="5">
        <f t="shared" si="44"/>
        <v>6794.6666666666661</v>
      </c>
      <c r="CB102" s="5">
        <f t="shared" si="45"/>
        <v>7104.1742693978576</v>
      </c>
      <c r="CC102" s="5">
        <f t="shared" si="46"/>
        <v>7372.3747823168706</v>
      </c>
      <c r="CD102" s="5">
        <f t="shared" si="47"/>
        <v>7583.0007646522681</v>
      </c>
      <c r="CE102" s="5">
        <f t="shared" si="48"/>
        <v>7642.563184186396</v>
      </c>
      <c r="CF102" s="5">
        <f>(CA102-CA101)/节奏总纲!W101</f>
        <v>1.1614144472697669</v>
      </c>
      <c r="CI102" s="5">
        <v>98</v>
      </c>
      <c r="CJ102" s="5">
        <f t="shared" si="49"/>
        <v>15679.999999999998</v>
      </c>
      <c r="CK102" s="5">
        <f t="shared" si="50"/>
        <v>16394.248313995056</v>
      </c>
      <c r="CL102" s="5">
        <f t="shared" si="51"/>
        <v>17013.172574577395</v>
      </c>
      <c r="CM102" s="5">
        <f t="shared" si="52"/>
        <v>17499.232533812927</v>
      </c>
      <c r="CN102" s="5">
        <f t="shared" si="53"/>
        <v>17636.684271199374</v>
      </c>
      <c r="CO102" s="5">
        <f>(CJ102-CJ101)/节奏总纲!W101</f>
        <v>2.6801871860071405</v>
      </c>
      <c r="CP102" s="5">
        <f t="shared" si="59"/>
        <v>3.8416016332769072</v>
      </c>
      <c r="CR102" s="5">
        <v>98</v>
      </c>
      <c r="CS102" s="5">
        <f t="shared" si="39"/>
        <v>0</v>
      </c>
      <c r="CT102" s="5">
        <f t="shared" si="40"/>
        <v>0</v>
      </c>
      <c r="CU102" s="5">
        <f t="shared" si="41"/>
        <v>0</v>
      </c>
      <c r="CV102" s="5">
        <f t="shared" si="42"/>
        <v>0</v>
      </c>
      <c r="CW102" s="5">
        <f t="shared" si="43"/>
        <v>0</v>
      </c>
      <c r="CX102" s="5">
        <f t="shared" si="54"/>
        <v>0</v>
      </c>
      <c r="CY102" s="5">
        <f t="shared" si="55"/>
        <v>0</v>
      </c>
      <c r="CZ102" s="5">
        <f t="shared" si="56"/>
        <v>0</v>
      </c>
      <c r="DA102" s="5">
        <f t="shared" si="57"/>
        <v>0</v>
      </c>
      <c r="DB102" s="5">
        <f t="shared" si="58"/>
        <v>0</v>
      </c>
    </row>
    <row r="103" spans="2:106" x14ac:dyDescent="0.15">
      <c r="B103" s="5">
        <v>37</v>
      </c>
      <c r="C103" s="5">
        <f>SUM(C$6:C42)</f>
        <v>0</v>
      </c>
      <c r="D103" s="5">
        <f>SUM(D$6:D42)</f>
        <v>84333960</v>
      </c>
      <c r="E103" s="5">
        <f>SUM(E$6:E42)</f>
        <v>4440</v>
      </c>
      <c r="F103" s="5">
        <f>SUM(F$6:F42)</f>
        <v>1706400</v>
      </c>
      <c r="G103" s="5">
        <f>SUM(G$6:G42)</f>
        <v>0</v>
      </c>
      <c r="H103" s="5">
        <f>SUM(H$6:H42)</f>
        <v>909600</v>
      </c>
      <c r="I103" s="5">
        <f>SUM(I$6:I42)</f>
        <v>22738000</v>
      </c>
      <c r="J103" s="5">
        <f>SUM(J$6:J42)</f>
        <v>2642000</v>
      </c>
      <c r="K103" s="5">
        <f>SUM(K$6:K42)</f>
        <v>3256</v>
      </c>
      <c r="L103" s="5">
        <f>SUM(L$6:L42)</f>
        <v>0</v>
      </c>
      <c r="M103" s="5">
        <f>SUM(M$6:M42)</f>
        <v>74</v>
      </c>
      <c r="N103" s="5">
        <f>SUM(N$6:N42)</f>
        <v>0</v>
      </c>
      <c r="O103" s="5">
        <f>SUM(O$6:O42)</f>
        <v>0</v>
      </c>
      <c r="P103" s="5">
        <f>SUM(P$6:P42)</f>
        <v>0</v>
      </c>
      <c r="Q103" s="5">
        <f>SUM(Q$6:Q42)</f>
        <v>0</v>
      </c>
      <c r="S103" s="5">
        <v>37</v>
      </c>
      <c r="T103" s="5">
        <f>T42+1</f>
        <v>112</v>
      </c>
      <c r="U103" s="5">
        <f>U42+1</f>
        <v>107.9541386301392</v>
      </c>
      <c r="V103" s="5">
        <f>V42+1</f>
        <v>104.39268509715636</v>
      </c>
      <c r="W103" s="5">
        <f>W42+1</f>
        <v>101.13981735422898</v>
      </c>
      <c r="X103" s="5">
        <f>X42+1</f>
        <v>100.18069144321272</v>
      </c>
      <c r="AA103" s="5">
        <v>99</v>
      </c>
      <c r="AB103" s="5">
        <f>求节点(T$6:T$44,$C$67:$C$105,$AA103)</f>
        <v>0</v>
      </c>
      <c r="AC103" s="5">
        <f>求节点(U$6:U$44,$C$67:$C$105,$AA103)</f>
        <v>0</v>
      </c>
      <c r="AD103" s="5">
        <f>求节点(V$6:V$44,$C$67:$C$105,$AA103)</f>
        <v>0</v>
      </c>
      <c r="AE103" s="5">
        <f>求节点(W$6:W$44,$C$67:$C$105,$AA103)</f>
        <v>0</v>
      </c>
      <c r="AF103" s="5">
        <f>求节点(X$6:X$44,$C$67:$C$105,$AA103)</f>
        <v>0</v>
      </c>
      <c r="AG103" s="5">
        <f>求节点(T$6:T$44,$D$67:$D$105,$AA103)+求节点(T$67:T$105,$Q$67:$Q$105,$AA103)</f>
        <v>51348000</v>
      </c>
      <c r="AH103" s="5">
        <f>求节点(U$6:U$44,$D$67:$D$105,$AA103)+求节点(U$67:U$105,$Q$67:$Q$105,$AA103)</f>
        <v>61292797.434433639</v>
      </c>
      <c r="AI103" s="5">
        <f>求节点(V$6:V$44,$D$67:$D$105,$AA103)+求节点(V$67:V$105,$Q$67:$Q$105,$AA103)</f>
        <v>73262041.848901108</v>
      </c>
      <c r="AJ103" s="5">
        <f>求节点(W$6:W$44,$D$67:$D$105,$AA103)+求节点(W$67:W$105,$Q$67:$Q$105,$AA103)</f>
        <v>81672402.801028013</v>
      </c>
      <c r="AK103" s="5">
        <f>求节点(X$6:X$44,$D$67:$D$105,$AA103)+求节点(X$67:X$105,$Q$67:$Q$105,$AA103)</f>
        <v>83972347.460377276</v>
      </c>
      <c r="AL103" s="5">
        <f>求节点(T$6:T$44,$F$67:$F$105,$AA103)+求节点(T$67:T$105,$P$67:$P$105,$AA103)</f>
        <v>1432800</v>
      </c>
      <c r="AM103" s="5">
        <f>求节点(U$6:U$44,$F$67:$F$105,$AA103)+求节点(U$67:U$105,$P$67:$P$105,$AA103)</f>
        <v>1526121.9908427917</v>
      </c>
      <c r="AN103" s="5">
        <f>求节点(V$6:V$44,$F$67:$F$105,$AA103)+求节点(V$67:V$105,$P$67:$P$105,$AA103)</f>
        <v>1621170.2823517732</v>
      </c>
      <c r="AO103" s="5">
        <f>求节点(W$6:W$44,$F$67:$F$105,$AA103)+求节点(W$67:W$105,$P$67:$P$105,$AA103)</f>
        <v>1685911.7914098315</v>
      </c>
      <c r="AP103" s="5">
        <f>求节点(X$6:X$44,$F$67:$F$105,$AA103)+求节点(X$67:X$105,$P$67:$P$105,$AA103)</f>
        <v>1703616.3689950106</v>
      </c>
      <c r="AQ103" s="5">
        <f>求节点(T$6:T$44,$H$67:$H$105,$AA103)</f>
        <v>801600</v>
      </c>
      <c r="AR103" s="5">
        <f>求节点(U$6:U$44,$H$67:$H$105,$AA103)</f>
        <v>840595.59989591059</v>
      </c>
      <c r="AS103" s="5">
        <f>求节点(V$6:V$44,$H$67:$H$105,$AA103)</f>
        <v>877097.14157482877</v>
      </c>
      <c r="AT103" s="5">
        <f>求节点(W$6:W$44,$H$67:$H$105,$AA103)</f>
        <v>901786.70011391875</v>
      </c>
      <c r="AU103" s="5">
        <f>求节点(X$6:X$44,$H$67:$H$105,$AA103)</f>
        <v>908538.44580318208</v>
      </c>
      <c r="AV103" s="5">
        <f>求节点(T$6:T$44,$I$67:$I$105,$AA103)</f>
        <v>17866000</v>
      </c>
      <c r="AW103" s="5">
        <f>求节点(U$6:U$44,$I$67:$I$105,$AA103)</f>
        <v>19592692.024972592</v>
      </c>
      <c r="AX103" s="5">
        <f>求节点(V$6:V$44,$I$67:$I$105,$AA103)</f>
        <v>21241721.84644036</v>
      </c>
      <c r="AY103" s="5">
        <f>求节点(W$6:W$44,$I$67:$I$105,$AA103)</f>
        <v>22377430.679331213</v>
      </c>
      <c r="AZ103" s="5">
        <f>求节点(X$6:X$44,$I$67:$I$105,$AA103)</f>
        <v>22689011.239657957</v>
      </c>
      <c r="BA103" s="5">
        <f>求节点(T$6:T$44,$E$67:$E$105,$AA103)+求节点(T$6:T$44,$K$67:$K$105,$AA103)+求节点(T$67:T$105,$O$67:$O$105,$AA103)</f>
        <v>6864</v>
      </c>
      <c r="BB103" s="5">
        <f>求节点(U$6:U$44,$E$67:$E$105,$AA103)+求节点(U$6:U$44,$K$67:$K$105,$AA103)+求节点(U$67:U$105,$O$67:$O$105,$AA103)</f>
        <v>7164.4105473462741</v>
      </c>
      <c r="BC103" s="5">
        <f>求节点(V$6:V$44,$E$67:$E$105,$AA103)+求节点(V$6:V$44,$K$67:$K$105,$AA103)+求节点(V$67:V$105,$O$67:$O$105,$AA103)</f>
        <v>7445.6076091690511</v>
      </c>
      <c r="BD103" s="5">
        <f>求节点(W$6:W$44,$E$67:$E$105,$AA103)+求节点(W$6:W$44,$K$67:$K$105,$AA103)+求节点(W$67:W$105,$O$67:$O$105,$AA103)</f>
        <v>7635.808652729449</v>
      </c>
      <c r="BE103" s="5">
        <f>求节点(X$6:X$44,$E$67:$E$105,$AA103)+求节点(X$6:X$44,$K$67:$K$105,$AA103)+求节点(X$67:X$105,$O$67:$O$105,$AA103)</f>
        <v>7687.8221010022908</v>
      </c>
      <c r="BF103" s="5">
        <f>求节点(T$6:T$44,$G$67:$G$105,$AA103)</f>
        <v>0</v>
      </c>
      <c r="BG103" s="5">
        <f>求节点(U$6:U$44,$G$67:$G$105,$AA103)</f>
        <v>0</v>
      </c>
      <c r="BH103" s="5">
        <f>求节点(V$6:V$44,$G$67:$G$105,$AA103)</f>
        <v>0</v>
      </c>
      <c r="BI103" s="5">
        <f>求节点(W$6:W$44,$G$67:$G$105,$AA103)</f>
        <v>0</v>
      </c>
      <c r="BJ103" s="5">
        <f>求节点(X$6:X$44,$G$67:$G$105,$AA103)</f>
        <v>0</v>
      </c>
      <c r="BK103" s="5">
        <f>求节点(T$6:T$44,$M$67:$M$105,$AA103)</f>
        <v>66</v>
      </c>
      <c r="BL103" s="5">
        <f>求节点(U$6:U$44,$M$67:$M$105,$AA103)</f>
        <v>68.888562955252638</v>
      </c>
      <c r="BM103" s="5">
        <f>求节点(V$6:V$44,$M$67:$M$105,$AA103)</f>
        <v>71.59238085739473</v>
      </c>
      <c r="BN103" s="5">
        <f>求节点(W$6:W$44,$M$67:$M$105,$AA103)</f>
        <v>73.421237045475465</v>
      </c>
      <c r="BO103" s="5">
        <f>求节点(X$6:X$44,$M$67:$M$105,$AA103)</f>
        <v>73.921366355791264</v>
      </c>
      <c r="BP103" s="5">
        <f>求节点(T$67:T$105,$L$67:$L$105,$AA103)</f>
        <v>0</v>
      </c>
      <c r="BQ103" s="5">
        <f>求节点(U$67:U$105,$L$67:$L$105,$AA103)</f>
        <v>0</v>
      </c>
      <c r="BR103" s="5">
        <f>求节点(V$67:V$105,$L$67:$L$105,$AA103)</f>
        <v>0</v>
      </c>
      <c r="BS103" s="5">
        <f>求节点(W$67:W$105,$L$67:$L$105,$AA103)</f>
        <v>0</v>
      </c>
      <c r="BT103" s="5">
        <f>求节点(X$67:X$105,$L$67:$L$105,$AA103)</f>
        <v>0</v>
      </c>
      <c r="BZ103" s="5">
        <v>99</v>
      </c>
      <c r="CA103" s="5">
        <f t="shared" si="44"/>
        <v>6864</v>
      </c>
      <c r="CB103" s="5">
        <f t="shared" si="45"/>
        <v>7164.4105473462741</v>
      </c>
      <c r="CC103" s="5">
        <f t="shared" si="46"/>
        <v>7445.6076091690511</v>
      </c>
      <c r="CD103" s="5">
        <f t="shared" si="47"/>
        <v>7635.808652729449</v>
      </c>
      <c r="CE103" s="5">
        <f t="shared" si="48"/>
        <v>7687.8221010022908</v>
      </c>
      <c r="CF103" s="5">
        <f>(CA103-CA102)/节奏总纲!W102</f>
        <v>1.0836379961502196</v>
      </c>
      <c r="CI103" s="5">
        <v>99</v>
      </c>
      <c r="CJ103" s="5">
        <f t="shared" si="49"/>
        <v>15840</v>
      </c>
      <c r="CK103" s="5">
        <f t="shared" si="50"/>
        <v>16533.255109260634</v>
      </c>
      <c r="CL103" s="5">
        <f t="shared" si="51"/>
        <v>17182.171405774734</v>
      </c>
      <c r="CM103" s="5">
        <f t="shared" si="52"/>
        <v>17621.096890914112</v>
      </c>
      <c r="CN103" s="5">
        <f t="shared" si="53"/>
        <v>17741.127925389905</v>
      </c>
      <c r="CO103" s="5">
        <f>(CJ103-CJ102)/节奏总纲!W102</f>
        <v>2.500703068038975</v>
      </c>
      <c r="CP103" s="5">
        <f t="shared" si="59"/>
        <v>3.5843410641891946</v>
      </c>
      <c r="CR103" s="5">
        <v>99</v>
      </c>
      <c r="CS103" s="5">
        <f t="shared" si="39"/>
        <v>0</v>
      </c>
      <c r="CT103" s="5">
        <f t="shared" si="40"/>
        <v>0</v>
      </c>
      <c r="CU103" s="5">
        <f t="shared" si="41"/>
        <v>0</v>
      </c>
      <c r="CV103" s="5">
        <f t="shared" si="42"/>
        <v>0</v>
      </c>
      <c r="CW103" s="5">
        <f t="shared" si="43"/>
        <v>0</v>
      </c>
      <c r="CX103" s="5">
        <f t="shared" si="54"/>
        <v>0</v>
      </c>
      <c r="CY103" s="5">
        <f t="shared" si="55"/>
        <v>0</v>
      </c>
      <c r="CZ103" s="5">
        <f t="shared" si="56"/>
        <v>0</v>
      </c>
      <c r="DA103" s="5">
        <f t="shared" si="57"/>
        <v>0</v>
      </c>
      <c r="DB103" s="5">
        <f t="shared" si="58"/>
        <v>0</v>
      </c>
    </row>
    <row r="104" spans="2:106" x14ac:dyDescent="0.15">
      <c r="B104" s="5">
        <v>38</v>
      </c>
      <c r="C104" s="5">
        <f>SUM(C$6:C43)</f>
        <v>0</v>
      </c>
      <c r="D104" s="5">
        <f>SUM(D$6:D43)</f>
        <v>93531360</v>
      </c>
      <c r="E104" s="5">
        <f>SUM(E$6:E43)</f>
        <v>4560</v>
      </c>
      <c r="F104" s="5">
        <f>SUM(F$6:F43)</f>
        <v>1777200</v>
      </c>
      <c r="G104" s="5">
        <f>SUM(G$6:G43)</f>
        <v>0</v>
      </c>
      <c r="H104" s="5">
        <f>SUM(H$6:H43)</f>
        <v>936600</v>
      </c>
      <c r="I104" s="5">
        <f>SUM(I$6:I43)</f>
        <v>24014000</v>
      </c>
      <c r="J104" s="5">
        <f>SUM(J$6:J43)</f>
        <v>2738000</v>
      </c>
      <c r="K104" s="5">
        <f>SUM(K$6:K43)</f>
        <v>3344</v>
      </c>
      <c r="L104" s="5">
        <f>SUM(L$6:L43)</f>
        <v>0</v>
      </c>
      <c r="M104" s="5">
        <f>SUM(M$6:M43)</f>
        <v>76</v>
      </c>
      <c r="N104" s="5">
        <f>SUM(N$6:N43)</f>
        <v>0</v>
      </c>
      <c r="O104" s="5">
        <f>SUM(O$6:O43)</f>
        <v>0</v>
      </c>
      <c r="P104" s="5">
        <f>SUM(P$6:P43)</f>
        <v>0</v>
      </c>
      <c r="Q104" s="5">
        <f>SUM(Q$6:Q43)</f>
        <v>0</v>
      </c>
      <c r="S104" s="5">
        <v>38</v>
      </c>
      <c r="T104" s="5">
        <f>T43+1</f>
        <v>115</v>
      </c>
      <c r="U104" s="5">
        <f>U43+1</f>
        <v>110.61651685535122</v>
      </c>
      <c r="V104" s="5">
        <f>V43+1</f>
        <v>107.67518132743962</v>
      </c>
      <c r="W104" s="5">
        <f>W43+1</f>
        <v>105.22958749795568</v>
      </c>
      <c r="X104" s="5">
        <f>X43+1</f>
        <v>104.16266814161757</v>
      </c>
      <c r="AA104" s="5">
        <v>100</v>
      </c>
      <c r="AB104" s="5">
        <f>求节点(T$6:T$44,$C$67:$C$105,$AA104)</f>
        <v>0</v>
      </c>
      <c r="AC104" s="5">
        <f>求节点(U$6:U$44,$C$67:$C$105,$AA104)</f>
        <v>0</v>
      </c>
      <c r="AD104" s="5">
        <f>求节点(V$6:V$44,$C$67:$C$105,$AA104)</f>
        <v>0</v>
      </c>
      <c r="AE104" s="5">
        <f>求节点(W$6:W$44,$C$67:$C$105,$AA104)</f>
        <v>0</v>
      </c>
      <c r="AF104" s="5">
        <f>求节点(X$6:X$44,$C$67:$C$105,$AA104)</f>
        <v>0</v>
      </c>
      <c r="AG104" s="5">
        <f>求节点(T$6:T$44,$D$67:$D$105,$AA104)+求节点(T$67:T$105,$Q$67:$Q$105,$AA104)</f>
        <v>53424720</v>
      </c>
      <c r="AH104" s="5">
        <f>求节点(U$6:U$44,$D$67:$D$105,$AA104)+求节点(U$67:U$105,$Q$67:$Q$105,$AA104)</f>
        <v>63714122.049465872</v>
      </c>
      <c r="AI104" s="5">
        <f>求节点(V$6:V$44,$D$67:$D$105,$AA104)+求节点(V$67:V$105,$Q$67:$Q$105,$AA104)</f>
        <v>76152154.43887502</v>
      </c>
      <c r="AJ104" s="5">
        <f>求节点(W$6:W$44,$D$67:$D$105,$AA104)+求节点(W$67:W$105,$Q$67:$Q$105,$AA104)</f>
        <v>84007476.213533103</v>
      </c>
      <c r="AK104" s="5">
        <f>求节点(X$6:X$44,$D$67:$D$105,$AA104)+求节点(X$67:X$105,$Q$67:$Q$105,$AA104)</f>
        <v>86226363.97193031</v>
      </c>
      <c r="AL104" s="5">
        <f>求节点(T$6:T$44,$F$67:$F$105,$AA104)+求节点(T$67:T$105,$P$67:$P$105,$AA104)</f>
        <v>1453600</v>
      </c>
      <c r="AM104" s="5">
        <f>求节点(U$6:U$44,$F$67:$F$105,$AA104)+求节点(U$67:U$105,$P$67:$P$105,$AA104)</f>
        <v>1546277.9761562999</v>
      </c>
      <c r="AN104" s="5">
        <f>求节点(V$6:V$44,$F$67:$F$105,$AA104)+求节点(V$67:V$105,$P$67:$P$105,$AA104)</f>
        <v>1643417.8709496544</v>
      </c>
      <c r="AO104" s="5">
        <f>求节点(W$6:W$44,$F$67:$F$105,$AA104)+求节点(W$67:W$105,$P$67:$P$105,$AA104)</f>
        <v>1703886.7840822563</v>
      </c>
      <c r="AP104" s="5">
        <f>求节点(X$6:X$44,$F$67:$F$105,$AA104)+求节点(X$67:X$105,$P$67:$P$105,$AA104)</f>
        <v>1720967.3996143113</v>
      </c>
      <c r="AQ104" s="5">
        <f>求节点(T$6:T$44,$H$67:$H$105,$AA104)</f>
        <v>810600</v>
      </c>
      <c r="AR104" s="5">
        <f>求节点(U$6:U$44,$H$67:$H$105,$AA104)</f>
        <v>848414.7321295992</v>
      </c>
      <c r="AS104" s="5">
        <f>求节点(V$6:V$44,$H$67:$H$105,$AA104)</f>
        <v>885581.39146385121</v>
      </c>
      <c r="AT104" s="5">
        <f>求节点(W$6:W$44,$H$67:$H$105,$AA104)</f>
        <v>908641.57020086038</v>
      </c>
      <c r="AU104" s="5">
        <f>求节点(X$6:X$44,$H$67:$H$105,$AA104)</f>
        <v>915155.36425969494</v>
      </c>
      <c r="AV104" s="5">
        <f>求节点(T$6:T$44,$I$67:$I$105,$AA104)</f>
        <v>18262666.666666668</v>
      </c>
      <c r="AW104" s="5">
        <f>求节点(U$6:U$44,$I$67:$I$105,$AA104)</f>
        <v>19942525.793057621</v>
      </c>
      <c r="AX104" s="5">
        <f>求节点(V$6:V$44,$I$67:$I$105,$AA104)</f>
        <v>21629585.694961432</v>
      </c>
      <c r="AY104" s="5">
        <f>求节点(W$6:W$44,$I$67:$I$105,$AA104)</f>
        <v>22693770.239639707</v>
      </c>
      <c r="AZ104" s="5">
        <f>求节点(X$6:X$44,$I$67:$I$105,$AA104)</f>
        <v>23000542.399828546</v>
      </c>
      <c r="BA104" s="5">
        <f>求节点(T$6:T$44,$E$67:$E$105,$AA104)+求节点(T$6:T$44,$K$67:$K$105,$AA104)+求节点(T$67:T$105,$O$67:$O$105,$AA104)</f>
        <v>6933.3333333333339</v>
      </c>
      <c r="BB104" s="5">
        <f>求节点(U$6:U$44,$E$67:$E$105,$AA104)+求节点(U$6:U$44,$K$67:$K$105,$AA104)+求节点(U$67:U$105,$O$67:$O$105,$AA104)</f>
        <v>7224.6468252946897</v>
      </c>
      <c r="BC104" s="5">
        <f>求节点(V$6:V$44,$E$67:$E$105,$AA104)+求节点(V$6:V$44,$K$67:$K$105,$AA104)+求节点(V$67:V$105,$O$67:$O$105,$AA104)</f>
        <v>7510.9677564622616</v>
      </c>
      <c r="BD104" s="5">
        <f>求节点(W$6:W$44,$E$67:$E$105,$AA104)+求节点(W$6:W$44,$K$67:$K$105,$AA104)+求节点(W$67:W$105,$O$67:$O$105,$AA104)</f>
        <v>7688.6165408066281</v>
      </c>
      <c r="BE104" s="5">
        <f>求节点(X$6:X$44,$E$67:$E$105,$AA104)+求节点(X$6:X$44,$K$67:$K$105,$AA104)+求节点(X$67:X$105,$O$67:$O$105,$AA104)</f>
        <v>7738.7968802228352</v>
      </c>
      <c r="BF104" s="5">
        <f>求节点(T$6:T$44,$G$67:$G$105,$AA104)</f>
        <v>0</v>
      </c>
      <c r="BG104" s="5">
        <f>求节点(U$6:U$44,$G$67:$G$105,$AA104)</f>
        <v>0</v>
      </c>
      <c r="BH104" s="5">
        <f>求节点(V$6:V$44,$G$67:$G$105,$AA104)</f>
        <v>0</v>
      </c>
      <c r="BI104" s="5">
        <f>求节点(W$6:W$44,$G$67:$G$105,$AA104)</f>
        <v>0</v>
      </c>
      <c r="BJ104" s="5">
        <f>求节点(X$6:X$44,$G$67:$G$105,$AA104)</f>
        <v>0</v>
      </c>
      <c r="BK104" s="5">
        <f>求节点(T$6:T$44,$M$67:$M$105,$AA104)</f>
        <v>66.666666666666671</v>
      </c>
      <c r="BL104" s="5">
        <f>求节点(U$6:U$44,$M$67:$M$105,$AA104)</f>
        <v>69.467757935525867</v>
      </c>
      <c r="BM104" s="5">
        <f>求节点(V$6:V$44,$M$67:$M$105,$AA104)</f>
        <v>72.220843812137133</v>
      </c>
      <c r="BN104" s="5">
        <f>求节点(W$6:W$44,$M$67:$M$105,$AA104)</f>
        <v>73.929005200063742</v>
      </c>
      <c r="BO104" s="5">
        <f>求节点(X$6:X$44,$M$67:$M$105,$AA104)</f>
        <v>74.411508463681102</v>
      </c>
      <c r="BP104" s="5">
        <f>求节点(T$67:T$105,$L$67:$L$105,$AA104)</f>
        <v>0</v>
      </c>
      <c r="BQ104" s="5">
        <f>求节点(U$67:U$105,$L$67:$L$105,$AA104)</f>
        <v>0</v>
      </c>
      <c r="BR104" s="5">
        <f>求节点(V$67:V$105,$L$67:$L$105,$AA104)</f>
        <v>0</v>
      </c>
      <c r="BS104" s="5">
        <f>求节点(W$67:W$105,$L$67:$L$105,$AA104)</f>
        <v>0</v>
      </c>
      <c r="BT104" s="5">
        <f>求节点(X$67:X$105,$L$67:$L$105,$AA104)</f>
        <v>0</v>
      </c>
      <c r="BZ104" s="5">
        <v>100</v>
      </c>
      <c r="CA104" s="5">
        <f t="shared" si="44"/>
        <v>6933.3333333333339</v>
      </c>
      <c r="CB104" s="5">
        <f t="shared" si="45"/>
        <v>7224.6468252946897</v>
      </c>
      <c r="CC104" s="5">
        <f t="shared" si="46"/>
        <v>7510.9677564622616</v>
      </c>
      <c r="CD104" s="5">
        <f t="shared" si="47"/>
        <v>7688.6165408066281</v>
      </c>
      <c r="CE104" s="5">
        <f t="shared" si="48"/>
        <v>7738.7968802228352</v>
      </c>
      <c r="CF104" s="5">
        <f>(CA104-CA103)/节奏总纲!W103</f>
        <v>1.0110700012909908</v>
      </c>
      <c r="CI104" s="5">
        <v>100</v>
      </c>
      <c r="CJ104" s="5">
        <f t="shared" si="49"/>
        <v>16000.000000000002</v>
      </c>
      <c r="CK104" s="5">
        <f t="shared" si="50"/>
        <v>16672.261904526207</v>
      </c>
      <c r="CL104" s="5">
        <f t="shared" si="51"/>
        <v>17333.002514912911</v>
      </c>
      <c r="CM104" s="5">
        <f t="shared" si="52"/>
        <v>17742.961248015297</v>
      </c>
      <c r="CN104" s="5">
        <f t="shared" si="53"/>
        <v>17858.762031283466</v>
      </c>
      <c r="CO104" s="5">
        <f>(CJ104-CJ103)/节奏总纲!W103</f>
        <v>2.3332384645176774</v>
      </c>
      <c r="CP104" s="5">
        <f t="shared" si="59"/>
        <v>3.3443084658086679</v>
      </c>
      <c r="CR104" s="5">
        <v>100</v>
      </c>
      <c r="CS104" s="5">
        <f t="shared" si="39"/>
        <v>0</v>
      </c>
      <c r="CT104" s="5">
        <f t="shared" si="40"/>
        <v>0</v>
      </c>
      <c r="CU104" s="5">
        <f t="shared" si="41"/>
        <v>0</v>
      </c>
      <c r="CV104" s="5">
        <f t="shared" si="42"/>
        <v>0</v>
      </c>
      <c r="CW104" s="5">
        <f t="shared" si="43"/>
        <v>0</v>
      </c>
      <c r="CX104" s="5">
        <f t="shared" si="54"/>
        <v>0</v>
      </c>
      <c r="CY104" s="5">
        <f t="shared" si="55"/>
        <v>0</v>
      </c>
      <c r="CZ104" s="5">
        <f t="shared" si="56"/>
        <v>0</v>
      </c>
      <c r="DA104" s="5">
        <f t="shared" si="57"/>
        <v>0</v>
      </c>
      <c r="DB104" s="5">
        <f t="shared" si="58"/>
        <v>0</v>
      </c>
    </row>
    <row r="105" spans="2:106" x14ac:dyDescent="0.15">
      <c r="B105" s="5">
        <v>39</v>
      </c>
      <c r="C105" s="5">
        <f>SUM(C$6:C44)</f>
        <v>0</v>
      </c>
      <c r="D105" s="5">
        <f>SUM(D$6:D44)</f>
        <v>102728760</v>
      </c>
      <c r="E105" s="5">
        <f>SUM(E$6:E44)</f>
        <v>4680</v>
      </c>
      <c r="F105" s="5">
        <f>SUM(F$6:F44)</f>
        <v>1848000</v>
      </c>
      <c r="G105" s="5">
        <f>SUM(G$6:G44)</f>
        <v>0</v>
      </c>
      <c r="H105" s="5">
        <f>SUM(H$6:H44)</f>
        <v>963600</v>
      </c>
      <c r="I105" s="5">
        <f>SUM(I$6:I44)</f>
        <v>25320000</v>
      </c>
      <c r="J105" s="5">
        <f>SUM(J$6:J44)</f>
        <v>2836000</v>
      </c>
      <c r="K105" s="5">
        <f>SUM(K$6:K44)</f>
        <v>3432</v>
      </c>
      <c r="L105" s="5">
        <f>SUM(L$6:L44)</f>
        <v>0</v>
      </c>
      <c r="M105" s="5">
        <f>SUM(M$6:M44)</f>
        <v>78</v>
      </c>
      <c r="N105" s="5">
        <f>SUM(N$6:N44)</f>
        <v>0</v>
      </c>
      <c r="O105" s="5">
        <f>SUM(O$6:O44)</f>
        <v>0</v>
      </c>
      <c r="P105" s="5">
        <f>SUM(P$6:P44)</f>
        <v>0</v>
      </c>
      <c r="Q105" s="5">
        <f>SUM(Q$6:Q44)</f>
        <v>0</v>
      </c>
      <c r="S105" s="5">
        <v>39</v>
      </c>
      <c r="T105" s="5">
        <f>T44+1</f>
        <v>118</v>
      </c>
      <c r="U105" s="5">
        <f>U44+1</f>
        <v>114.18176914047146</v>
      </c>
      <c r="V105" s="5">
        <f>V44+1</f>
        <v>111.30108908332825</v>
      </c>
      <c r="W105" s="5">
        <f>W44+1</f>
        <v>109.33808148656112</v>
      </c>
      <c r="X105" s="5">
        <f>X44+1</f>
        <v>107.95764458293246</v>
      </c>
      <c r="AA105" s="5">
        <v>101</v>
      </c>
      <c r="AB105" s="5">
        <f>求节点(T$6:T$44,$C$67:$C$105,$AA105)</f>
        <v>0</v>
      </c>
      <c r="AC105" s="5">
        <f>求节点(U$6:U$44,$C$67:$C$105,$AA105)</f>
        <v>0</v>
      </c>
      <c r="AD105" s="5">
        <f>求节点(V$6:V$44,$C$67:$C$105,$AA105)</f>
        <v>0</v>
      </c>
      <c r="AE105" s="5">
        <f>求节点(W$6:W$44,$C$67:$C$105,$AA105)</f>
        <v>0</v>
      </c>
      <c r="AF105" s="5">
        <f>求节点(X$6:X$44,$C$67:$C$105,$AA105)</f>
        <v>0</v>
      </c>
      <c r="AG105" s="5">
        <f>求节点(T$6:T$44,$D$67:$D$105,$AA105)+求节点(T$67:T$105,$Q$67:$Q$105,$AA105)</f>
        <v>55501440</v>
      </c>
      <c r="AH105" s="5">
        <f>求节点(U$6:U$44,$D$67:$D$105,$AA105)+求节点(U$67:U$105,$Q$67:$Q$105,$AA105)</f>
        <v>66189928.788508989</v>
      </c>
      <c r="AI105" s="5">
        <f>求节点(V$6:V$44,$D$67:$D$105,$AA105)+求节点(V$67:V$105,$Q$67:$Q$105,$AA105)</f>
        <v>78563756.260683566</v>
      </c>
      <c r="AJ105" s="5">
        <f>求节点(W$6:W$44,$D$67:$D$105,$AA105)+求节点(W$67:W$105,$Q$67:$Q$105,$AA105)</f>
        <v>86268407.068706229</v>
      </c>
      <c r="AK105" s="5">
        <f>求节点(X$6:X$44,$D$67:$D$105,$AA105)+求节点(X$67:X$105,$Q$67:$Q$105,$AA105)</f>
        <v>88536121.335323334</v>
      </c>
      <c r="AL105" s="5">
        <f>求节点(T$6:T$44,$F$67:$F$105,$AA105)+求节点(T$67:T$105,$P$67:$P$105,$AA105)</f>
        <v>1474400</v>
      </c>
      <c r="AM105" s="5">
        <f>求节点(U$6:U$44,$F$67:$F$105,$AA105)+求节点(U$67:U$105,$P$67:$P$105,$AA105)</f>
        <v>1566730.3749131751</v>
      </c>
      <c r="AN105" s="5">
        <f>求节点(V$6:V$44,$F$67:$F$105,$AA105)+求节点(V$67:V$105,$P$67:$P$105,$AA105)</f>
        <v>1661981.9661269919</v>
      </c>
      <c r="AO105" s="5">
        <f>求节点(W$6:W$44,$F$67:$F$105,$AA105)+求节点(W$67:W$105,$P$67:$P$105,$AA105)</f>
        <v>1721291.0401270359</v>
      </c>
      <c r="AP105" s="5">
        <f>求节点(X$6:X$44,$F$67:$F$105,$AA105)+求节点(X$67:X$105,$P$67:$P$105,$AA105)</f>
        <v>1738747.5137039698</v>
      </c>
      <c r="AQ105" s="5">
        <f>求节点(T$6:T$44,$H$67:$H$105,$AA105)</f>
        <v>819600</v>
      </c>
      <c r="AR105" s="5">
        <f>求节点(U$6:U$44,$H$67:$H$105,$AA105)</f>
        <v>856336.15992451587</v>
      </c>
      <c r="AS105" s="5">
        <f>求节点(V$6:V$44,$H$67:$H$105,$AA105)</f>
        <v>892660.9192857173</v>
      </c>
      <c r="AT105" s="5">
        <f>求节点(W$6:W$44,$H$67:$H$105,$AA105)</f>
        <v>915278.78648912394</v>
      </c>
      <c r="AU105" s="5">
        <f>求节点(X$6:X$44,$H$67:$H$105,$AA105)</f>
        <v>921935.9162430393</v>
      </c>
      <c r="AV105" s="5">
        <f>求节点(T$6:T$44,$I$67:$I$105,$AA105)</f>
        <v>18659333.333333332</v>
      </c>
      <c r="AW105" s="5">
        <f>求节点(U$6:U$44,$I$67:$I$105,$AA105)</f>
        <v>20297481.643974278</v>
      </c>
      <c r="AX105" s="5">
        <f>求节点(V$6:V$44,$I$67:$I$105,$AA105)</f>
        <v>21956292.793703843</v>
      </c>
      <c r="AY105" s="5">
        <f>求节点(W$6:W$44,$I$67:$I$105,$AA105)</f>
        <v>23006375.242967486</v>
      </c>
      <c r="AZ105" s="5">
        <f>求节点(X$6:X$44,$I$67:$I$105,$AA105)</f>
        <v>23320986.263930302</v>
      </c>
      <c r="BA105" s="5">
        <f>求节点(T$6:T$44,$E$67:$E$105,$AA105)+求节点(T$6:T$44,$K$67:$K$105,$AA105)+求节点(T$67:T$105,$O$67:$O$105,$AA105)</f>
        <v>7002.6666666666661</v>
      </c>
      <c r="BB105" s="5">
        <f>求节点(U$6:U$44,$E$67:$E$105,$AA105)+求节点(U$6:U$44,$K$67:$K$105,$AA105)+求节点(U$67:U$105,$O$67:$O$105,$AA105)</f>
        <v>7285.6711579370112</v>
      </c>
      <c r="BC105" s="5">
        <f>求节点(V$6:V$44,$E$67:$E$105,$AA105)+求节点(V$6:V$44,$K$67:$K$105,$AA105)+求节点(V$67:V$105,$O$67:$O$105,$AA105)</f>
        <v>7565.506341164044</v>
      </c>
      <c r="BD105" s="5">
        <f>求节点(W$6:W$44,$E$67:$E$105,$AA105)+求节点(W$6:W$44,$K$67:$K$105,$AA105)+求节点(W$67:W$105,$O$67:$O$105,$AA105)</f>
        <v>7739.7476885088063</v>
      </c>
      <c r="BE105" s="5">
        <f>求节点(X$6:X$44,$E$67:$E$105,$AA105)+求节点(X$6:X$44,$K$67:$K$105,$AA105)+求节点(X$67:X$105,$O$67:$O$105,$AA105)</f>
        <v>7791.032243650081</v>
      </c>
      <c r="BF105" s="5">
        <f>求节点(T$6:T$44,$G$67:$G$105,$AA105)</f>
        <v>0</v>
      </c>
      <c r="BG105" s="5">
        <f>求节点(U$6:U$44,$G$67:$G$105,$AA105)</f>
        <v>0</v>
      </c>
      <c r="BH105" s="5">
        <f>求节点(V$6:V$44,$G$67:$G$105,$AA105)</f>
        <v>0</v>
      </c>
      <c r="BI105" s="5">
        <f>求节点(W$6:W$44,$G$67:$G$105,$AA105)</f>
        <v>0</v>
      </c>
      <c r="BJ105" s="5">
        <f>求节点(X$6:X$44,$G$67:$G$105,$AA105)</f>
        <v>0</v>
      </c>
      <c r="BK105" s="5">
        <f>求节点(T$6:T$44,$M$67:$M$105,$AA105)</f>
        <v>67.333333333333329</v>
      </c>
      <c r="BL105" s="5">
        <f>求节点(U$6:U$44,$M$67:$M$105,$AA105)</f>
        <v>70.054530364778955</v>
      </c>
      <c r="BM105" s="5">
        <f>求节点(V$6:V$44,$M$67:$M$105,$AA105)</f>
        <v>72.745253280423498</v>
      </c>
      <c r="BN105" s="5">
        <f>求节点(W$6:W$44,$M$67:$M$105,$AA105)</f>
        <v>74.420650851046219</v>
      </c>
      <c r="BO105" s="5">
        <f>求节点(X$6:X$44,$M$67:$M$105,$AA105)</f>
        <v>74.913771573558464</v>
      </c>
      <c r="BP105" s="5">
        <f>求节点(T$67:T$105,$L$67:$L$105,$AA105)</f>
        <v>0</v>
      </c>
      <c r="BQ105" s="5">
        <f>求节点(U$67:U$105,$L$67:$L$105,$AA105)</f>
        <v>0</v>
      </c>
      <c r="BR105" s="5">
        <f>求节点(V$67:V$105,$L$67:$L$105,$AA105)</f>
        <v>0</v>
      </c>
      <c r="BS105" s="5">
        <f>求节点(W$67:W$105,$L$67:$L$105,$AA105)</f>
        <v>0</v>
      </c>
      <c r="BT105" s="5">
        <f>求节点(X$67:X$105,$L$67:$L$105,$AA105)</f>
        <v>0</v>
      </c>
      <c r="BZ105" s="5">
        <v>101</v>
      </c>
      <c r="CA105" s="5">
        <f t="shared" ref="CA105:CA144" si="60">BA105</f>
        <v>7002.6666666666661</v>
      </c>
      <c r="CB105" s="5">
        <f t="shared" ref="CB105:CB144" si="61">BB105</f>
        <v>7285.6711579370112</v>
      </c>
      <c r="CC105" s="5">
        <f t="shared" ref="CC105:CC144" si="62">BC105</f>
        <v>7565.506341164044</v>
      </c>
      <c r="CD105" s="5">
        <f t="shared" ref="CD105:CD144" si="63">BD105</f>
        <v>7739.7476885088063</v>
      </c>
      <c r="CE105" s="5">
        <f t="shared" ref="CE105:CE144" si="64">BE105</f>
        <v>7791.032243650081</v>
      </c>
      <c r="CF105" s="5">
        <f>(CA105-CA104)/节奏总纲!W104</f>
        <v>0.94336166795764431</v>
      </c>
      <c r="CI105" s="5">
        <v>101</v>
      </c>
      <c r="CJ105" s="5">
        <f t="shared" ref="CJ105:CJ144" si="65">BK105*240</f>
        <v>16159.999999999998</v>
      </c>
      <c r="CK105" s="5">
        <f t="shared" ref="CK105:CK144" si="66">BL105*240</f>
        <v>16813.08728754695</v>
      </c>
      <c r="CL105" s="5">
        <f t="shared" ref="CL105:CL144" si="67">BM105*240</f>
        <v>17458.860787301641</v>
      </c>
      <c r="CM105" s="5">
        <f t="shared" ref="CM105:CM144" si="68">BN105*240</f>
        <v>17860.956204251092</v>
      </c>
      <c r="CN105" s="5">
        <f t="shared" ref="CN105:CN144" si="69">BO105*240</f>
        <v>17979.305177654031</v>
      </c>
      <c r="CO105" s="5">
        <f>(CJ105-CJ104)/节奏总纲!W104</f>
        <v>2.1769884645176294</v>
      </c>
      <c r="CP105" s="5">
        <f t="shared" ref="CP105:CP144" si="70">CO105+CF105</f>
        <v>3.1203501324752736</v>
      </c>
      <c r="CR105" s="5">
        <v>101</v>
      </c>
      <c r="CS105" s="5">
        <f t="shared" ref="CS105:CS144" si="71">BP105</f>
        <v>0</v>
      </c>
      <c r="CT105" s="5">
        <f t="shared" ref="CT105:CT144" si="72">BQ105</f>
        <v>0</v>
      </c>
      <c r="CU105" s="5">
        <f t="shared" ref="CU105:CU144" si="73">BR105</f>
        <v>0</v>
      </c>
      <c r="CV105" s="5">
        <f t="shared" ref="CV105:CV144" si="74">BS105</f>
        <v>0</v>
      </c>
      <c r="CW105" s="5">
        <f t="shared" ref="CW105:CW144" si="75">BT105</f>
        <v>0</v>
      </c>
      <c r="CX105" s="5">
        <f t="shared" ref="CX105:CX144" si="76">CS105-CS104</f>
        <v>0</v>
      </c>
      <c r="CY105" s="5">
        <f t="shared" ref="CY105:CY144" si="77">CT105-CT104</f>
        <v>0</v>
      </c>
      <c r="CZ105" s="5">
        <f t="shared" ref="CZ105:CZ144" si="78">CU105-CU104</f>
        <v>0</v>
      </c>
      <c r="DA105" s="5">
        <f t="shared" ref="DA105:DA144" si="79">CV105-CV104</f>
        <v>0</v>
      </c>
      <c r="DB105" s="5">
        <f t="shared" ref="DB105:DB144" si="80">CW105-CW104</f>
        <v>0</v>
      </c>
    </row>
    <row r="106" spans="2:106" x14ac:dyDescent="0.15">
      <c r="AA106" s="5">
        <v>102</v>
      </c>
      <c r="AB106" s="5">
        <f>求节点(T$6:T$44,$C$67:$C$105,$AA106)</f>
        <v>0</v>
      </c>
      <c r="AC106" s="5">
        <f>求节点(U$6:U$44,$C$67:$C$105,$AA106)</f>
        <v>0</v>
      </c>
      <c r="AD106" s="5">
        <f>求节点(V$6:V$44,$C$67:$C$105,$AA106)</f>
        <v>0</v>
      </c>
      <c r="AE106" s="5">
        <f>求节点(W$6:W$44,$C$67:$C$105,$AA106)</f>
        <v>0</v>
      </c>
      <c r="AF106" s="5">
        <f>求节点(X$6:X$44,$C$67:$C$105,$AA106)</f>
        <v>0</v>
      </c>
      <c r="AG106" s="5">
        <f>求节点(T$6:T$44,$D$67:$D$105,$AA106)+求节点(T$67:T$105,$Q$67:$Q$105,$AA106)</f>
        <v>57578160</v>
      </c>
      <c r="AH106" s="5">
        <f>求节点(U$6:U$44,$D$67:$D$105,$AA106)+求节点(U$67:U$105,$Q$67:$Q$105,$AA106)</f>
        <v>69283326.100298777</v>
      </c>
      <c r="AI106" s="5">
        <f>求节点(V$6:V$44,$D$67:$D$105,$AA106)+求节点(V$67:V$105,$Q$67:$Q$105,$AA106)</f>
        <v>80975358.082492113</v>
      </c>
      <c r="AJ106" s="5">
        <f>求节点(W$6:W$44,$D$67:$D$105,$AA106)+求节点(W$67:W$105,$Q$67:$Q$105,$AA106)</f>
        <v>88517286.51101619</v>
      </c>
      <c r="AK106" s="5">
        <f>求节点(X$6:X$44,$D$67:$D$105,$AA106)+求节点(X$67:X$105,$Q$67:$Q$105,$AA106)</f>
        <v>90845878.698716342</v>
      </c>
      <c r="AL106" s="5">
        <f>求节点(T$6:T$44,$F$67:$F$105,$AA106)+求节点(T$67:T$105,$P$67:$P$105,$AA106)</f>
        <v>1495200</v>
      </c>
      <c r="AM106" s="5">
        <f>求节点(U$6:U$44,$F$67:$F$105,$AA106)+求节点(U$67:U$105,$P$67:$P$105,$AA106)</f>
        <v>1590542.8142628518</v>
      </c>
      <c r="AN106" s="5">
        <f>求节点(V$6:V$44,$F$67:$F$105,$AA106)+求节点(V$67:V$105,$P$67:$P$105,$AA106)</f>
        <v>1680546.0613043297</v>
      </c>
      <c r="AO106" s="5">
        <f>求节点(W$6:W$44,$F$67:$F$105,$AA106)+求节点(W$67:W$105,$P$67:$P$105,$AA106)</f>
        <v>1738602.5264726928</v>
      </c>
      <c r="AP106" s="5">
        <f>求节点(X$6:X$44,$F$67:$F$105,$AA106)+求节点(X$67:X$105,$P$67:$P$105,$AA106)</f>
        <v>1756527.6277936283</v>
      </c>
      <c r="AQ106" s="5">
        <f>求节点(T$6:T$44,$H$67:$H$105,$AA106)</f>
        <v>828600</v>
      </c>
      <c r="AR106" s="5">
        <f>求节点(U$6:U$44,$H$67:$H$105,$AA106)</f>
        <v>865417.17493074853</v>
      </c>
      <c r="AS106" s="5">
        <f>求节点(V$6:V$44,$H$67:$H$105,$AA106)</f>
        <v>899740.44710758328</v>
      </c>
      <c r="AT106" s="5">
        <f>求节点(W$6:W$44,$H$67:$H$105,$AA106)</f>
        <v>921880.62450229819</v>
      </c>
      <c r="AU106" s="5">
        <f>求节点(X$6:X$44,$H$67:$H$105,$AA106)</f>
        <v>928716.46822638367</v>
      </c>
      <c r="AV106" s="5">
        <f>求节点(T$6:T$44,$I$67:$I$105,$AA106)</f>
        <v>19056000</v>
      </c>
      <c r="AW106" s="5">
        <f>求节点(U$6:U$44,$I$67:$I$105,$AA106)</f>
        <v>20710499.659813304</v>
      </c>
      <c r="AX106" s="5">
        <f>求节点(V$6:V$44,$I$67:$I$105,$AA106)</f>
        <v>22282999.892446253</v>
      </c>
      <c r="AY106" s="5">
        <f>求节点(W$6:W$44,$I$67:$I$105,$AA106)</f>
        <v>23318373.217219722</v>
      </c>
      <c r="AZ106" s="5">
        <f>求节点(X$6:X$44,$I$67:$I$105,$AA106)</f>
        <v>23641430.128032058</v>
      </c>
      <c r="BA106" s="5">
        <f>求节点(T$6:T$44,$E$67:$E$105,$AA106)+求节点(T$6:T$44,$K$67:$K$105,$AA106)+求节点(T$67:T$105,$O$67:$O$105,$AA106)</f>
        <v>7072</v>
      </c>
      <c r="BB106" s="5">
        <f>求节点(U$6:U$44,$E$67:$E$105,$AA106)+求节点(U$6:U$44,$K$67:$K$105,$AA106)+求节点(U$67:U$105,$O$67:$O$105,$AA106)</f>
        <v>7355.6286068739155</v>
      </c>
      <c r="BC106" s="5">
        <f>求节点(V$6:V$44,$E$67:$E$105,$AA106)+求节点(V$6:V$44,$K$67:$K$105,$AA106)+求节点(V$67:V$105,$O$67:$O$105,$AA106)</f>
        <v>7620.0449258658273</v>
      </c>
      <c r="BD106" s="5">
        <f>求节点(W$6:W$44,$E$67:$E$105,$AA106)+求节点(W$6:W$44,$K$67:$K$105,$AA106)+求节点(W$67:W$105,$O$67:$O$105,$AA106)</f>
        <v>7790.6062924621492</v>
      </c>
      <c r="BE106" s="5">
        <f>求节点(X$6:X$44,$E$67:$E$105,$AA106)+求节点(X$6:X$44,$K$67:$K$105,$AA106)+求节点(X$67:X$105,$O$67:$O$105,$AA106)</f>
        <v>7843.2676070773259</v>
      </c>
      <c r="BF106" s="5">
        <f>求节点(T$6:T$44,$G$67:$G$105,$AA106)</f>
        <v>0</v>
      </c>
      <c r="BG106" s="5">
        <f>求节点(U$6:U$44,$G$67:$G$105,$AA106)</f>
        <v>0</v>
      </c>
      <c r="BH106" s="5">
        <f>求节点(V$6:V$44,$G$67:$G$105,$AA106)</f>
        <v>0</v>
      </c>
      <c r="BI106" s="5">
        <f>求节点(W$6:W$44,$G$67:$G$105,$AA106)</f>
        <v>0</v>
      </c>
      <c r="BJ106" s="5">
        <f>求节点(X$6:X$44,$G$67:$G$105,$AA106)</f>
        <v>0</v>
      </c>
      <c r="BK106" s="5">
        <f>求节点(T$6:T$44,$M$67:$M$105,$AA106)</f>
        <v>68</v>
      </c>
      <c r="BL106" s="5">
        <f>求节点(U$6:U$44,$M$67:$M$105,$AA106)</f>
        <v>70.727198143018413</v>
      </c>
      <c r="BM106" s="5">
        <f>求节点(V$6:V$44,$M$67:$M$105,$AA106)</f>
        <v>73.269662748709877</v>
      </c>
      <c r="BN106" s="5">
        <f>求节点(W$6:W$44,$M$67:$M$105,$AA106)</f>
        <v>74.909675889059116</v>
      </c>
      <c r="BO106" s="5">
        <f>求节点(X$6:X$44,$M$67:$M$105,$AA106)</f>
        <v>75.416034683435825</v>
      </c>
      <c r="BP106" s="5">
        <f>求节点(T$67:T$105,$L$67:$L$105,$AA106)</f>
        <v>0</v>
      </c>
      <c r="BQ106" s="5">
        <f>求节点(U$67:U$105,$L$67:$L$105,$AA106)</f>
        <v>0</v>
      </c>
      <c r="BR106" s="5">
        <f>求节点(V$67:V$105,$L$67:$L$105,$AA106)</f>
        <v>0</v>
      </c>
      <c r="BS106" s="5">
        <f>求节点(W$67:W$105,$L$67:$L$105,$AA106)</f>
        <v>0</v>
      </c>
      <c r="BT106" s="5">
        <f>求节点(X$67:X$105,$L$67:$L$105,$AA106)</f>
        <v>0</v>
      </c>
      <c r="BZ106" s="5">
        <v>102</v>
      </c>
      <c r="CA106" s="5">
        <f t="shared" si="60"/>
        <v>7072</v>
      </c>
      <c r="CB106" s="5">
        <f t="shared" si="61"/>
        <v>7355.6286068739155</v>
      </c>
      <c r="CC106" s="5">
        <f t="shared" si="62"/>
        <v>7620.0449258658273</v>
      </c>
      <c r="CD106" s="5">
        <f t="shared" si="63"/>
        <v>7790.6062924621492</v>
      </c>
      <c r="CE106" s="5">
        <f t="shared" si="64"/>
        <v>7843.2676070773259</v>
      </c>
      <c r="CF106" s="5">
        <f>(CA106-CA105)/节奏总纲!W105</f>
        <v>0.88018755915568625</v>
      </c>
      <c r="CI106" s="5">
        <v>102</v>
      </c>
      <c r="CJ106" s="5">
        <f t="shared" si="65"/>
        <v>16320</v>
      </c>
      <c r="CK106" s="5">
        <f t="shared" si="66"/>
        <v>16974.527554324421</v>
      </c>
      <c r="CL106" s="5">
        <f t="shared" si="67"/>
        <v>17584.719059690371</v>
      </c>
      <c r="CM106" s="5">
        <f t="shared" si="68"/>
        <v>17978.322213374187</v>
      </c>
      <c r="CN106" s="5">
        <f t="shared" si="69"/>
        <v>18099.848324024599</v>
      </c>
      <c r="CO106" s="5">
        <f>(CJ106-CJ105)/节奏总纲!W105</f>
        <v>2.0312020595900506</v>
      </c>
      <c r="CP106" s="5">
        <f t="shared" si="70"/>
        <v>2.9113896187457371</v>
      </c>
      <c r="CR106" s="5">
        <v>102</v>
      </c>
      <c r="CS106" s="5">
        <f t="shared" si="71"/>
        <v>0</v>
      </c>
      <c r="CT106" s="5">
        <f t="shared" si="72"/>
        <v>0</v>
      </c>
      <c r="CU106" s="5">
        <f t="shared" si="73"/>
        <v>0</v>
      </c>
      <c r="CV106" s="5">
        <f t="shared" si="74"/>
        <v>0</v>
      </c>
      <c r="CW106" s="5">
        <f t="shared" si="75"/>
        <v>0</v>
      </c>
      <c r="CX106" s="5">
        <f t="shared" si="76"/>
        <v>0</v>
      </c>
      <c r="CY106" s="5">
        <f t="shared" si="77"/>
        <v>0</v>
      </c>
      <c r="CZ106" s="5">
        <f t="shared" si="78"/>
        <v>0</v>
      </c>
      <c r="DA106" s="5">
        <f t="shared" si="79"/>
        <v>0</v>
      </c>
      <c r="DB106" s="5">
        <f t="shared" si="80"/>
        <v>0</v>
      </c>
    </row>
    <row r="107" spans="2:106" x14ac:dyDescent="0.15">
      <c r="AA107" s="5">
        <v>103</v>
      </c>
      <c r="AB107" s="5">
        <f>求节点(T$6:T$44,$C$67:$C$105,$AA107)</f>
        <v>0</v>
      </c>
      <c r="AC107" s="5">
        <f>求节点(U$6:U$44,$C$67:$C$105,$AA107)</f>
        <v>0</v>
      </c>
      <c r="AD107" s="5">
        <f>求节点(V$6:V$44,$C$67:$C$105,$AA107)</f>
        <v>0</v>
      </c>
      <c r="AE107" s="5">
        <f>求节点(W$6:W$44,$C$67:$C$105,$AA107)</f>
        <v>0</v>
      </c>
      <c r="AF107" s="5">
        <f>求节点(X$6:X$44,$C$67:$C$105,$AA107)</f>
        <v>0</v>
      </c>
      <c r="AG107" s="5">
        <f>求节点(T$6:T$44,$D$67:$D$105,$AA107)+求节点(T$67:T$105,$Q$67:$Q$105,$AA107)</f>
        <v>60365160</v>
      </c>
      <c r="AH107" s="5">
        <f>求节点(U$6:U$44,$D$67:$D$105,$AA107)+求节点(U$67:U$105,$Q$67:$Q$105,$AA107)</f>
        <v>72376723.412088558</v>
      </c>
      <c r="AI107" s="5">
        <f>求节点(V$6:V$44,$D$67:$D$105,$AA107)+求节点(V$67:V$105,$Q$67:$Q$105,$AA107)</f>
        <v>83386959.90430066</v>
      </c>
      <c r="AJ107" s="5">
        <f>求节点(W$6:W$44,$D$67:$D$105,$AA107)+求节点(W$67:W$105,$Q$67:$Q$105,$AA107)</f>
        <v>90766165.953326136</v>
      </c>
      <c r="AK107" s="5">
        <f>求节点(X$6:X$44,$D$67:$D$105,$AA107)+求节点(X$67:X$105,$Q$67:$Q$105,$AA107)</f>
        <v>93155636.062109351</v>
      </c>
      <c r="AL107" s="5">
        <f>求节点(T$6:T$44,$F$67:$F$105,$AA107)+求节点(T$67:T$105,$P$67:$P$105,$AA107)</f>
        <v>1518400</v>
      </c>
      <c r="AM107" s="5">
        <f>求节点(U$6:U$44,$F$67:$F$105,$AA107)+求节点(U$67:U$105,$P$67:$P$105,$AA107)</f>
        <v>1614355.2536125286</v>
      </c>
      <c r="AN107" s="5">
        <f>求节点(V$6:V$44,$F$67:$F$105,$AA107)+求节点(V$67:V$105,$P$67:$P$105,$AA107)</f>
        <v>1699110.1564816672</v>
      </c>
      <c r="AO107" s="5">
        <f>求节点(W$6:W$44,$F$67:$F$105,$AA107)+求节点(W$67:W$105,$P$67:$P$105,$AA107)</f>
        <v>1755914.0128183498</v>
      </c>
      <c r="AP107" s="5">
        <f>求节点(X$6:X$44,$F$67:$F$105,$AA107)+求节点(X$67:X$105,$P$67:$P$105,$AA107)</f>
        <v>1774307.7418832867</v>
      </c>
      <c r="AQ107" s="5">
        <f>求节点(T$6:T$44,$H$67:$H$105,$AA107)</f>
        <v>837600</v>
      </c>
      <c r="AR107" s="5">
        <f>求节点(U$6:U$44,$H$67:$H$105,$AA107)</f>
        <v>874498.18993698119</v>
      </c>
      <c r="AS107" s="5">
        <f>求节点(V$6:V$44,$H$67:$H$105,$AA107)</f>
        <v>906819.97492944938</v>
      </c>
      <c r="AT107" s="5">
        <f>求节点(W$6:W$44,$H$67:$H$105,$AA107)</f>
        <v>928482.46251547243</v>
      </c>
      <c r="AU107" s="5">
        <f>求节点(X$6:X$44,$H$67:$H$105,$AA107)</f>
        <v>935497.02020972804</v>
      </c>
      <c r="AV107" s="5">
        <f>求节点(T$6:T$44,$I$67:$I$105,$AA107)</f>
        <v>19458666.666666668</v>
      </c>
      <c r="AW107" s="5">
        <f>求节点(U$6:U$44,$I$67:$I$105,$AA107)</f>
        <v>21123517.675652333</v>
      </c>
      <c r="AX107" s="5">
        <f>求节点(V$6:V$44,$I$67:$I$105,$AA107)</f>
        <v>22609706.991188664</v>
      </c>
      <c r="AY107" s="5">
        <f>求节点(W$6:W$44,$I$67:$I$105,$AA107)</f>
        <v>23630371.191471957</v>
      </c>
      <c r="AZ107" s="5">
        <f>求节点(X$6:X$44,$I$67:$I$105,$AA107)</f>
        <v>23961873.992133815</v>
      </c>
      <c r="BA107" s="5">
        <f>求节点(T$6:T$44,$E$67:$E$105,$AA107)+求节点(T$6:T$44,$K$67:$K$105,$AA107)+求节点(T$67:T$105,$O$67:$O$105,$AA107)</f>
        <v>7141.3333333333339</v>
      </c>
      <c r="BB107" s="5">
        <f>求节点(U$6:U$44,$E$67:$E$105,$AA107)+求节点(U$6:U$44,$K$67:$K$105,$AA107)+求节点(U$67:U$105,$O$67:$O$105,$AA107)</f>
        <v>7425.5860558108179</v>
      </c>
      <c r="BC107" s="5">
        <f>求节点(V$6:V$44,$E$67:$E$105,$AA107)+求节点(V$6:V$44,$K$67:$K$105,$AA107)+求节点(V$67:V$105,$O$67:$O$105,$AA107)</f>
        <v>7674.5835105676106</v>
      </c>
      <c r="BD107" s="5">
        <f>求节点(W$6:W$44,$E$67:$E$105,$AA107)+求节点(W$6:W$44,$K$67:$K$105,$AA107)+求节点(W$67:W$105,$O$67:$O$105,$AA107)</f>
        <v>7841.4648964154912</v>
      </c>
      <c r="BE107" s="5">
        <f>求节点(X$6:X$44,$E$67:$E$105,$AA107)+求节点(X$6:X$44,$K$67:$K$105,$AA107)+求节点(X$67:X$105,$O$67:$O$105,$AA107)</f>
        <v>7895.5029705045708</v>
      </c>
      <c r="BF107" s="5">
        <f>求节点(T$6:T$44,$G$67:$G$105,$AA107)</f>
        <v>0</v>
      </c>
      <c r="BG107" s="5">
        <f>求节点(U$6:U$44,$G$67:$G$105,$AA107)</f>
        <v>0</v>
      </c>
      <c r="BH107" s="5">
        <f>求节点(V$6:V$44,$G$67:$G$105,$AA107)</f>
        <v>0</v>
      </c>
      <c r="BI107" s="5">
        <f>求节点(W$6:W$44,$G$67:$G$105,$AA107)</f>
        <v>0</v>
      </c>
      <c r="BJ107" s="5">
        <f>求节点(X$6:X$44,$G$67:$G$105,$AA107)</f>
        <v>0</v>
      </c>
      <c r="BK107" s="5">
        <f>求节点(T$6:T$44,$M$67:$M$105,$AA107)</f>
        <v>68.666666666666671</v>
      </c>
      <c r="BL107" s="5">
        <f>求节点(U$6:U$44,$M$67:$M$105,$AA107)</f>
        <v>71.39986592125787</v>
      </c>
      <c r="BM107" s="5">
        <f>求节点(V$6:V$44,$M$67:$M$105,$AA107)</f>
        <v>73.794072216996256</v>
      </c>
      <c r="BN107" s="5">
        <f>求节点(W$6:W$44,$M$67:$M$105,$AA107)</f>
        <v>75.398700927072028</v>
      </c>
      <c r="BO107" s="5">
        <f>求节点(X$6:X$44,$M$67:$M$105,$AA107)</f>
        <v>75.918297793313187</v>
      </c>
      <c r="BP107" s="5">
        <f>求节点(T$67:T$105,$L$67:$L$105,$AA107)</f>
        <v>0</v>
      </c>
      <c r="BQ107" s="5">
        <f>求节点(U$67:U$105,$L$67:$L$105,$AA107)</f>
        <v>0</v>
      </c>
      <c r="BR107" s="5">
        <f>求节点(V$67:V$105,$L$67:$L$105,$AA107)</f>
        <v>0</v>
      </c>
      <c r="BS107" s="5">
        <f>求节点(W$67:W$105,$L$67:$L$105,$AA107)</f>
        <v>0</v>
      </c>
      <c r="BT107" s="5">
        <f>求节点(X$67:X$105,$L$67:$L$105,$AA107)</f>
        <v>0</v>
      </c>
      <c r="BZ107" s="5">
        <v>103</v>
      </c>
      <c r="CA107" s="5">
        <f t="shared" si="60"/>
        <v>7141.3333333333339</v>
      </c>
      <c r="CB107" s="5">
        <f t="shared" si="61"/>
        <v>7425.5860558108179</v>
      </c>
      <c r="CC107" s="5">
        <f t="shared" si="62"/>
        <v>7674.5835105676106</v>
      </c>
      <c r="CD107" s="5">
        <f t="shared" si="63"/>
        <v>7841.4648964154912</v>
      </c>
      <c r="CE107" s="5">
        <f t="shared" si="64"/>
        <v>7895.5029705045708</v>
      </c>
      <c r="CF107" s="5">
        <f>(CA107-CA106)/节奏总纲!W106</f>
        <v>0.82124403143249913</v>
      </c>
      <c r="CI107" s="5">
        <v>103</v>
      </c>
      <c r="CJ107" s="5">
        <f t="shared" si="65"/>
        <v>16480</v>
      </c>
      <c r="CK107" s="5">
        <f t="shared" si="66"/>
        <v>17135.967821101887</v>
      </c>
      <c r="CL107" s="5">
        <f t="shared" si="67"/>
        <v>17710.577332079101</v>
      </c>
      <c r="CM107" s="5">
        <f t="shared" si="68"/>
        <v>18095.688222497287</v>
      </c>
      <c r="CN107" s="5">
        <f t="shared" si="69"/>
        <v>18220.391470395163</v>
      </c>
      <c r="CO107" s="5">
        <f>(CJ107-CJ106)/节奏总纲!W106</f>
        <v>1.8951785340749814</v>
      </c>
      <c r="CP107" s="5">
        <f t="shared" si="70"/>
        <v>2.7164225655074805</v>
      </c>
      <c r="CR107" s="5">
        <v>103</v>
      </c>
      <c r="CS107" s="5">
        <f t="shared" si="71"/>
        <v>0</v>
      </c>
      <c r="CT107" s="5">
        <f t="shared" si="72"/>
        <v>0</v>
      </c>
      <c r="CU107" s="5">
        <f t="shared" si="73"/>
        <v>0</v>
      </c>
      <c r="CV107" s="5">
        <f t="shared" si="74"/>
        <v>0</v>
      </c>
      <c r="CW107" s="5">
        <f t="shared" si="75"/>
        <v>0</v>
      </c>
      <c r="CX107" s="5">
        <f t="shared" si="76"/>
        <v>0</v>
      </c>
      <c r="CY107" s="5">
        <f t="shared" si="77"/>
        <v>0</v>
      </c>
      <c r="CZ107" s="5">
        <f t="shared" si="78"/>
        <v>0</v>
      </c>
      <c r="DA107" s="5">
        <f t="shared" si="79"/>
        <v>0</v>
      </c>
      <c r="DB107" s="5">
        <f t="shared" si="80"/>
        <v>0</v>
      </c>
    </row>
    <row r="108" spans="2:106" x14ac:dyDescent="0.15">
      <c r="AA108" s="5">
        <v>104</v>
      </c>
      <c r="AB108" s="5">
        <f>求节点(T$6:T$44,$C$67:$C$105,$AA108)</f>
        <v>0</v>
      </c>
      <c r="AC108" s="5">
        <f>求节点(U$6:U$44,$C$67:$C$105,$AA108)</f>
        <v>0</v>
      </c>
      <c r="AD108" s="5">
        <f>求节点(V$6:V$44,$C$67:$C$105,$AA108)</f>
        <v>0</v>
      </c>
      <c r="AE108" s="5">
        <f>求节点(W$6:W$44,$C$67:$C$105,$AA108)</f>
        <v>0</v>
      </c>
      <c r="AF108" s="5">
        <f>求节点(X$6:X$44,$C$67:$C$105,$AA108)</f>
        <v>0</v>
      </c>
      <c r="AG108" s="5">
        <f>求节点(T$6:T$44,$D$67:$D$105,$AA108)+求节点(T$67:T$105,$Q$67:$Q$105,$AA108)</f>
        <v>63152160</v>
      </c>
      <c r="AH108" s="5">
        <f>求节点(U$6:U$44,$D$67:$D$105,$AA108)+求节点(U$67:U$105,$Q$67:$Q$105,$AA108)</f>
        <v>75460454.486706316</v>
      </c>
      <c r="AI108" s="5">
        <f>求节点(V$6:V$44,$D$67:$D$105,$AA108)+求节点(V$67:V$105,$Q$67:$Q$105,$AA108)</f>
        <v>86035627.784377649</v>
      </c>
      <c r="AJ108" s="5">
        <f>求节点(W$6:W$44,$D$67:$D$105,$AA108)+求节点(W$67:W$105,$Q$67:$Q$105,$AA108)</f>
        <v>93015045.395636097</v>
      </c>
      <c r="AK108" s="5">
        <f>求节点(X$6:X$44,$D$67:$D$105,$AA108)+求节点(X$67:X$105,$Q$67:$Q$105,$AA108)</f>
        <v>95560694.345911831</v>
      </c>
      <c r="AL108" s="5">
        <f>求节点(T$6:T$44,$F$67:$F$105,$AA108)+求节点(T$67:T$105,$P$67:$P$105,$AA108)</f>
        <v>1541600</v>
      </c>
      <c r="AM108" s="5">
        <f>求节点(U$6:U$44,$F$67:$F$105,$AA108)+求节点(U$67:U$105,$P$67:$P$105,$AA108)</f>
        <v>1638093.2839344605</v>
      </c>
      <c r="AN108" s="5">
        <f>求节点(V$6:V$44,$F$67:$F$105,$AA108)+求节点(V$67:V$105,$P$67:$P$105,$AA108)</f>
        <v>1719499.1453164958</v>
      </c>
      <c r="AO108" s="5">
        <f>求节点(W$6:W$44,$F$67:$F$105,$AA108)+求节点(W$67:W$105,$P$67:$P$105,$AA108)</f>
        <v>1773225.4991640067</v>
      </c>
      <c r="AP108" s="5">
        <f>求节点(X$6:X$44,$F$67:$F$105,$AA108)+求节点(X$67:X$105,$P$67:$P$105,$AA108)</f>
        <v>1792821.4660328524</v>
      </c>
      <c r="AQ108" s="5">
        <f>求节点(T$6:T$44,$H$67:$H$105,$AA108)</f>
        <v>846600</v>
      </c>
      <c r="AR108" s="5">
        <f>求节点(U$6:U$44,$H$67:$H$105,$AA108)</f>
        <v>883550.82861907396</v>
      </c>
      <c r="AS108" s="5">
        <f>求节点(V$6:V$44,$H$67:$H$105,$AA108)</f>
        <v>914595.43677323987</v>
      </c>
      <c r="AT108" s="5">
        <f>求节点(W$6:W$44,$H$67:$H$105,$AA108)</f>
        <v>935084.30052864668</v>
      </c>
      <c r="AU108" s="5">
        <f>求节点(X$6:X$44,$H$67:$H$105,$AA108)</f>
        <v>942557.33874134207</v>
      </c>
      <c r="AV108" s="5">
        <f>求节点(T$6:T$44,$I$67:$I$105,$AA108)</f>
        <v>19861333.333333332</v>
      </c>
      <c r="AW108" s="5">
        <f>求节点(U$6:U$44,$I$67:$I$105,$AA108)</f>
        <v>21535878.979976524</v>
      </c>
      <c r="AX108" s="5">
        <f>求节点(V$6:V$44,$I$67:$I$105,$AA108)</f>
        <v>22974080.641579781</v>
      </c>
      <c r="AY108" s="5">
        <f>求节点(W$6:W$44,$I$67:$I$105,$AA108)</f>
        <v>23942369.165724188</v>
      </c>
      <c r="AZ108" s="5">
        <f>求节点(X$6:X$44,$I$67:$I$105,$AA108)</f>
        <v>24302158.681340471</v>
      </c>
      <c r="BA108" s="5">
        <f>求节点(T$6:T$44,$E$67:$E$105,$AA108)+求节点(T$6:T$44,$K$67:$K$105,$AA108)+求节点(T$67:T$105,$O$67:$O$105,$AA108)</f>
        <v>7210.6666666666661</v>
      </c>
      <c r="BB108" s="5">
        <f>求节点(U$6:U$44,$E$67:$E$105,$AA108)+求节点(U$6:U$44,$K$67:$K$105,$AA108)+求节点(U$67:U$105,$O$67:$O$105,$AA108)</f>
        <v>7495.3249019543473</v>
      </c>
      <c r="BC108" s="5">
        <f>求节点(V$6:V$44,$E$67:$E$105,$AA108)+求节点(V$6:V$44,$K$67:$K$105,$AA108)+求节点(V$67:V$105,$O$67:$O$105,$AA108)</f>
        <v>7734.4833647716259</v>
      </c>
      <c r="BD108" s="5">
        <f>求节点(W$6:W$44,$E$67:$E$105,$AA108)+求节点(W$6:W$44,$K$67:$K$105,$AA108)+求节点(W$67:W$105,$O$67:$O$105,$AA108)</f>
        <v>7892.3235003688333</v>
      </c>
      <c r="BE108" s="5">
        <f>求节点(X$6:X$44,$E$67:$E$105,$AA108)+求节点(X$6:X$44,$K$67:$K$105,$AA108)+求节点(X$67:X$105,$O$67:$O$105,$AA108)</f>
        <v>7949.8935725258943</v>
      </c>
      <c r="BF108" s="5">
        <f>求节点(T$6:T$44,$G$67:$G$105,$AA108)</f>
        <v>0</v>
      </c>
      <c r="BG108" s="5">
        <f>求节点(U$6:U$44,$G$67:$G$105,$AA108)</f>
        <v>0</v>
      </c>
      <c r="BH108" s="5">
        <f>求节点(V$6:V$44,$G$67:$G$105,$AA108)</f>
        <v>0</v>
      </c>
      <c r="BI108" s="5">
        <f>求节点(W$6:W$44,$G$67:$G$105,$AA108)</f>
        <v>0</v>
      </c>
      <c r="BJ108" s="5">
        <f>求节点(X$6:X$44,$G$67:$G$105,$AA108)</f>
        <v>0</v>
      </c>
      <c r="BK108" s="5">
        <f>求节点(T$6:T$44,$M$67:$M$105,$AA108)</f>
        <v>69.333333333333329</v>
      </c>
      <c r="BL108" s="5">
        <f>求节点(U$6:U$44,$M$67:$M$105,$AA108)</f>
        <v>72.070431749561038</v>
      </c>
      <c r="BM108" s="5">
        <f>求节点(V$6:V$44,$M$67:$M$105,$AA108)</f>
        <v>74.370032353573322</v>
      </c>
      <c r="BN108" s="5">
        <f>求节点(W$6:W$44,$M$67:$M$105,$AA108)</f>
        <v>75.88772596508494</v>
      </c>
      <c r="BO108" s="5">
        <f>求节点(X$6:X$44,$M$67:$M$105,$AA108)</f>
        <v>76.441284351210527</v>
      </c>
      <c r="BP108" s="5">
        <f>求节点(T$67:T$105,$L$67:$L$105,$AA108)</f>
        <v>0</v>
      </c>
      <c r="BQ108" s="5">
        <f>求节点(U$67:U$105,$L$67:$L$105,$AA108)</f>
        <v>0</v>
      </c>
      <c r="BR108" s="5">
        <f>求节点(V$67:V$105,$L$67:$L$105,$AA108)</f>
        <v>0</v>
      </c>
      <c r="BS108" s="5">
        <f>求节点(W$67:W$105,$L$67:$L$105,$AA108)</f>
        <v>0</v>
      </c>
      <c r="BT108" s="5">
        <f>求节点(X$67:X$105,$L$67:$L$105,$AA108)</f>
        <v>0</v>
      </c>
      <c r="BZ108" s="5">
        <v>104</v>
      </c>
      <c r="CA108" s="5">
        <f t="shared" si="60"/>
        <v>7210.6666666666661</v>
      </c>
      <c r="CB108" s="5">
        <f t="shared" si="61"/>
        <v>7495.3249019543473</v>
      </c>
      <c r="CC108" s="5">
        <f t="shared" si="62"/>
        <v>7734.4833647716259</v>
      </c>
      <c r="CD108" s="5">
        <f t="shared" si="63"/>
        <v>7892.3235003688333</v>
      </c>
      <c r="CE108" s="5">
        <f t="shared" si="64"/>
        <v>7949.8935725258943</v>
      </c>
      <c r="CF108" s="5">
        <f>(CA108-CA107)/节奏总纲!W107</f>
        <v>0.76624777542920286</v>
      </c>
      <c r="CI108" s="5">
        <v>104</v>
      </c>
      <c r="CJ108" s="5">
        <f t="shared" si="65"/>
        <v>16640</v>
      </c>
      <c r="CK108" s="5">
        <f t="shared" si="66"/>
        <v>17296.903619894649</v>
      </c>
      <c r="CL108" s="5">
        <f t="shared" si="67"/>
        <v>17848.807764857596</v>
      </c>
      <c r="CM108" s="5">
        <f t="shared" si="68"/>
        <v>18213.054231620386</v>
      </c>
      <c r="CN108" s="5">
        <f t="shared" si="69"/>
        <v>18345.908244290527</v>
      </c>
      <c r="CO108" s="5">
        <f>(CJ108-CJ107)/节奏总纲!W107</f>
        <v>1.7682640971443453</v>
      </c>
      <c r="CP108" s="5">
        <f t="shared" si="70"/>
        <v>2.5345118725735483</v>
      </c>
      <c r="CR108" s="5">
        <v>104</v>
      </c>
      <c r="CS108" s="5">
        <f t="shared" si="71"/>
        <v>0</v>
      </c>
      <c r="CT108" s="5">
        <f t="shared" si="72"/>
        <v>0</v>
      </c>
      <c r="CU108" s="5">
        <f t="shared" si="73"/>
        <v>0</v>
      </c>
      <c r="CV108" s="5">
        <f t="shared" si="74"/>
        <v>0</v>
      </c>
      <c r="CW108" s="5">
        <f t="shared" si="75"/>
        <v>0</v>
      </c>
      <c r="CX108" s="5">
        <f t="shared" si="76"/>
        <v>0</v>
      </c>
      <c r="CY108" s="5">
        <f t="shared" si="77"/>
        <v>0</v>
      </c>
      <c r="CZ108" s="5">
        <f t="shared" si="78"/>
        <v>0</v>
      </c>
      <c r="DA108" s="5">
        <f t="shared" si="79"/>
        <v>0</v>
      </c>
      <c r="DB108" s="5">
        <f t="shared" si="80"/>
        <v>0</v>
      </c>
    </row>
    <row r="109" spans="2:106" x14ac:dyDescent="0.15">
      <c r="AA109" s="5">
        <v>105</v>
      </c>
      <c r="AB109" s="5">
        <f>求节点(T$6:T$44,$C$67:$C$105,$AA109)</f>
        <v>0</v>
      </c>
      <c r="AC109" s="5">
        <f>求节点(U$6:U$44,$C$67:$C$105,$AA109)</f>
        <v>0</v>
      </c>
      <c r="AD109" s="5">
        <f>求节点(V$6:V$44,$C$67:$C$105,$AA109)</f>
        <v>0</v>
      </c>
      <c r="AE109" s="5">
        <f>求节点(W$6:W$44,$C$67:$C$105,$AA109)</f>
        <v>0</v>
      </c>
      <c r="AF109" s="5">
        <f>求节点(X$6:X$44,$C$67:$C$105,$AA109)</f>
        <v>0</v>
      </c>
      <c r="AG109" s="5">
        <f>求节点(T$6:T$44,$D$67:$D$105,$AA109)+求节点(T$67:T$105,$Q$67:$Q$105,$AA109)</f>
        <v>65939160</v>
      </c>
      <c r="AH109" s="5">
        <f>求节点(U$6:U$44,$D$67:$D$105,$AA109)+求节点(U$67:U$105,$Q$67:$Q$105,$AA109)</f>
        <v>78464208.414420798</v>
      </c>
      <c r="AI109" s="5">
        <f>求节点(V$6:V$44,$D$67:$D$105,$AA109)+求节点(V$67:V$105,$Q$67:$Q$105,$AA109)</f>
        <v>88837580.735655323</v>
      </c>
      <c r="AJ109" s="5">
        <f>求节点(W$6:W$44,$D$67:$D$105,$AA109)+求节点(W$67:W$105,$Q$67:$Q$105,$AA109)</f>
        <v>95256028.933666274</v>
      </c>
      <c r="AK109" s="5">
        <f>求节点(X$6:X$44,$D$67:$D$105,$AA109)+求节点(X$67:X$105,$Q$67:$Q$105,$AA109)</f>
        <v>97984266.703270987</v>
      </c>
      <c r="AL109" s="5">
        <f>求节点(T$6:T$44,$F$67:$F$105,$AA109)+求节点(T$67:T$105,$P$67:$P$105,$AA109)</f>
        <v>1564800</v>
      </c>
      <c r="AM109" s="5">
        <f>求节点(U$6:U$44,$F$67:$F$105,$AA109)+求节点(U$67:U$105,$P$67:$P$105,$AA109)</f>
        <v>1661215.6639638369</v>
      </c>
      <c r="AN109" s="5">
        <f>求节点(V$6:V$44,$F$67:$F$105,$AA109)+求节点(V$67:V$105,$P$67:$P$105,$AA109)</f>
        <v>1741068.0962102765</v>
      </c>
      <c r="AO109" s="5">
        <f>求节点(W$6:W$44,$F$67:$F$105,$AA109)+求节点(W$67:W$105,$P$67:$P$105,$AA109)</f>
        <v>1790476.2041994012</v>
      </c>
      <c r="AP109" s="5">
        <f>求节点(X$6:X$44,$F$67:$F$105,$AA109)+求节点(X$67:X$105,$P$67:$P$105,$AA109)</f>
        <v>1811477.7083297004</v>
      </c>
      <c r="AQ109" s="5">
        <f>求节点(T$6:T$44,$H$67:$H$105,$AA109)</f>
        <v>855600</v>
      </c>
      <c r="AR109" s="5">
        <f>求节点(U$6:U$44,$H$67:$H$105,$AA109)</f>
        <v>892368.68540993775</v>
      </c>
      <c r="AS109" s="5">
        <f>求节点(V$6:V$44,$H$67:$H$105,$AA109)</f>
        <v>922820.88414798677</v>
      </c>
      <c r="AT109" s="5">
        <f>求节点(W$6:W$44,$H$67:$H$105,$AA109)</f>
        <v>941662.95922858524</v>
      </c>
      <c r="AU109" s="5">
        <f>求节点(X$6:X$44,$H$67:$H$105,$AA109)</f>
        <v>949672.00741386879</v>
      </c>
      <c r="AV109" s="5">
        <f>求节点(T$6:T$44,$I$67:$I$105,$AA109)</f>
        <v>20264000</v>
      </c>
      <c r="AW109" s="5">
        <f>求节点(U$6:U$44,$I$67:$I$105,$AA109)</f>
        <v>21942806.741510462</v>
      </c>
      <c r="AX109" s="5">
        <f>求节点(V$6:V$44,$I$67:$I$105,$AA109)</f>
        <v>23362809.191586338</v>
      </c>
      <c r="AY109" s="5">
        <f>求节点(W$6:W$44,$I$67:$I$105,$AA109)</f>
        <v>24258897.213056751</v>
      </c>
      <c r="AZ109" s="5">
        <f>求节点(X$6:X$44,$I$67:$I$105,$AA109)</f>
        <v>24646297.840093061</v>
      </c>
      <c r="BA109" s="5">
        <f>求节点(T$6:T$44,$E$67:$E$105,$AA109)+求节点(T$6:T$44,$K$67:$K$105,$AA109)+求节点(T$67:T$105,$O$67:$O$105,$AA109)</f>
        <v>7280</v>
      </c>
      <c r="BB109" s="5">
        <f>求节点(U$6:U$44,$E$67:$E$105,$AA109)+求节点(U$6:U$44,$K$67:$K$105,$AA109)+求节点(U$67:U$105,$O$67:$O$105,$AA109)</f>
        <v>7563.255057972854</v>
      </c>
      <c r="BC109" s="5">
        <f>求节点(V$6:V$44,$E$67:$E$105,$AA109)+求节点(V$6:V$44,$K$67:$K$105,$AA109)+求节点(V$67:V$105,$O$67:$O$105,$AA109)</f>
        <v>7797.8497741770825</v>
      </c>
      <c r="BD109" s="5">
        <f>求节点(W$6:W$44,$E$67:$E$105,$AA109)+求节点(W$6:W$44,$K$67:$K$105,$AA109)+求节点(W$67:W$105,$O$67:$O$105,$AA109)</f>
        <v>7943.0035377609529</v>
      </c>
      <c r="BE109" s="5">
        <f>求节点(X$6:X$44,$E$67:$E$105,$AA109)+求节点(X$6:X$44,$K$67:$K$105,$AA109)+求节点(X$67:X$105,$O$67:$O$105,$AA109)</f>
        <v>8004.7028719290629</v>
      </c>
      <c r="BF109" s="5">
        <f>求节点(T$6:T$44,$G$67:$G$105,$AA109)</f>
        <v>0</v>
      </c>
      <c r="BG109" s="5">
        <f>求节点(U$6:U$44,$G$67:$G$105,$AA109)</f>
        <v>0</v>
      </c>
      <c r="BH109" s="5">
        <f>求节点(V$6:V$44,$G$67:$G$105,$AA109)</f>
        <v>0</v>
      </c>
      <c r="BI109" s="5">
        <f>求节点(W$6:W$44,$G$67:$G$105,$AA109)</f>
        <v>0</v>
      </c>
      <c r="BJ109" s="5">
        <f>求节点(X$6:X$44,$G$67:$G$105,$AA109)</f>
        <v>0</v>
      </c>
      <c r="BK109" s="5">
        <f>求节点(T$6:T$44,$M$67:$M$105,$AA109)</f>
        <v>70</v>
      </c>
      <c r="BL109" s="5">
        <f>求节点(U$6:U$44,$M$67:$M$105,$AA109)</f>
        <v>72.72360632666205</v>
      </c>
      <c r="BM109" s="5">
        <f>求节点(V$6:V$44,$M$67:$M$105,$AA109)</f>
        <v>74.97932475170272</v>
      </c>
      <c r="BN109" s="5">
        <f>求节点(W$6:W$44,$M$67:$M$105,$AA109)</f>
        <v>76.375034016932233</v>
      </c>
      <c r="BO109" s="5">
        <f>求节点(X$6:X$44,$M$67:$M$105,$AA109)</f>
        <v>76.968296845471755</v>
      </c>
      <c r="BP109" s="5">
        <f>求节点(T$67:T$105,$L$67:$L$105,$AA109)</f>
        <v>0</v>
      </c>
      <c r="BQ109" s="5">
        <f>求节点(U$67:U$105,$L$67:$L$105,$AA109)</f>
        <v>0</v>
      </c>
      <c r="BR109" s="5">
        <f>求节点(V$67:V$105,$L$67:$L$105,$AA109)</f>
        <v>0</v>
      </c>
      <c r="BS109" s="5">
        <f>求节点(W$67:W$105,$L$67:$L$105,$AA109)</f>
        <v>0</v>
      </c>
      <c r="BT109" s="5">
        <f>求节点(X$67:X$105,$L$67:$L$105,$AA109)</f>
        <v>0</v>
      </c>
      <c r="BZ109" s="5">
        <v>105</v>
      </c>
      <c r="CA109" s="5">
        <f t="shared" si="60"/>
        <v>7280</v>
      </c>
      <c r="CB109" s="5">
        <f t="shared" si="61"/>
        <v>7563.255057972854</v>
      </c>
      <c r="CC109" s="5">
        <f t="shared" si="62"/>
        <v>7797.8497741770825</v>
      </c>
      <c r="CD109" s="5">
        <f t="shared" si="63"/>
        <v>7943.0035377609529</v>
      </c>
      <c r="CE109" s="5">
        <f t="shared" si="64"/>
        <v>8004.7028719290629</v>
      </c>
      <c r="CF109" s="5">
        <f>(CA109-CA108)/节奏总纲!W108</f>
        <v>0.71493445416714985</v>
      </c>
      <c r="CI109" s="5">
        <v>105</v>
      </c>
      <c r="CJ109" s="5">
        <f t="shared" si="65"/>
        <v>16800</v>
      </c>
      <c r="CK109" s="5">
        <f t="shared" si="66"/>
        <v>17453.665518398891</v>
      </c>
      <c r="CL109" s="5">
        <f t="shared" si="67"/>
        <v>17995.037940408653</v>
      </c>
      <c r="CM109" s="5">
        <f t="shared" si="68"/>
        <v>18330.008164063736</v>
      </c>
      <c r="CN109" s="5">
        <f t="shared" si="69"/>
        <v>18472.391242913222</v>
      </c>
      <c r="CO109" s="5">
        <f>(CJ109-CJ108)/节奏总纲!W108</f>
        <v>1.6498487403857161</v>
      </c>
      <c r="CP109" s="5">
        <f t="shared" si="70"/>
        <v>2.3647831945528659</v>
      </c>
      <c r="CR109" s="5">
        <v>105</v>
      </c>
      <c r="CS109" s="5">
        <f t="shared" si="71"/>
        <v>0</v>
      </c>
      <c r="CT109" s="5">
        <f t="shared" si="72"/>
        <v>0</v>
      </c>
      <c r="CU109" s="5">
        <f t="shared" si="73"/>
        <v>0</v>
      </c>
      <c r="CV109" s="5">
        <f t="shared" si="74"/>
        <v>0</v>
      </c>
      <c r="CW109" s="5">
        <f t="shared" si="75"/>
        <v>0</v>
      </c>
      <c r="CX109" s="5">
        <f t="shared" si="76"/>
        <v>0</v>
      </c>
      <c r="CY109" s="5">
        <f t="shared" si="77"/>
        <v>0</v>
      </c>
      <c r="CZ109" s="5">
        <f t="shared" si="78"/>
        <v>0</v>
      </c>
      <c r="DA109" s="5">
        <f t="shared" si="79"/>
        <v>0</v>
      </c>
      <c r="DB109" s="5">
        <f t="shared" si="80"/>
        <v>0</v>
      </c>
    </row>
    <row r="110" spans="2:106" x14ac:dyDescent="0.15">
      <c r="AA110" s="5">
        <v>106</v>
      </c>
      <c r="AB110" s="5">
        <f>求节点(T$6:T$44,$C$67:$C$105,$AA110)</f>
        <v>0</v>
      </c>
      <c r="AC110" s="5">
        <f>求节点(U$6:U$44,$C$67:$C$105,$AA110)</f>
        <v>0</v>
      </c>
      <c r="AD110" s="5">
        <f>求节点(V$6:V$44,$C$67:$C$105,$AA110)</f>
        <v>0</v>
      </c>
      <c r="AE110" s="5">
        <f>求节点(W$6:W$44,$C$67:$C$105,$AA110)</f>
        <v>0</v>
      </c>
      <c r="AF110" s="5">
        <f>求节点(X$6:X$44,$C$67:$C$105,$AA110)</f>
        <v>0</v>
      </c>
      <c r="AG110" s="5">
        <f>求节点(T$6:T$44,$D$67:$D$105,$AA110)+求节点(T$67:T$105,$Q$67:$Q$105,$AA110)</f>
        <v>69004960</v>
      </c>
      <c r="AH110" s="5">
        <f>求节点(U$6:U$44,$D$67:$D$105,$AA110)+求节点(U$67:U$105,$Q$67:$Q$105,$AA110)</f>
        <v>81467962.34213528</v>
      </c>
      <c r="AI110" s="5">
        <f>求节点(V$6:V$44,$D$67:$D$105,$AA110)+求节点(V$67:V$105,$Q$67:$Q$105,$AA110)</f>
        <v>91639533.686932996</v>
      </c>
      <c r="AJ110" s="5">
        <f>求节点(W$6:W$44,$D$67:$D$105,$AA110)+求节点(W$67:W$105,$Q$67:$Q$105,$AA110)</f>
        <v>97494659.445359409</v>
      </c>
      <c r="AK110" s="5">
        <f>求节点(X$6:X$44,$D$67:$D$105,$AA110)+求节点(X$67:X$105,$Q$67:$Q$105,$AA110)</f>
        <v>100407839.06063014</v>
      </c>
      <c r="AL110" s="5">
        <f>求节点(T$6:T$44,$F$67:$F$105,$AA110)+求节点(T$67:T$105,$P$67:$P$105,$AA110)</f>
        <v>1588400</v>
      </c>
      <c r="AM110" s="5">
        <f>求节点(U$6:U$44,$F$67:$F$105,$AA110)+求节点(U$67:U$105,$P$67:$P$105,$AA110)</f>
        <v>1684338.043993213</v>
      </c>
      <c r="AN110" s="5">
        <f>求节点(V$6:V$44,$F$67:$F$105,$AA110)+求节点(V$67:V$105,$P$67:$P$105,$AA110)</f>
        <v>1762637.0471040572</v>
      </c>
      <c r="AO110" s="5">
        <f>求节点(W$6:W$44,$F$67:$F$105,$AA110)+求节点(W$67:W$105,$P$67:$P$105,$AA110)</f>
        <v>1807708.7960436044</v>
      </c>
      <c r="AP110" s="5">
        <f>求节点(X$6:X$44,$F$67:$F$105,$AA110)+求节点(X$67:X$105,$P$67:$P$105,$AA110)</f>
        <v>1830133.9506265481</v>
      </c>
      <c r="AQ110" s="5">
        <f>求节点(T$6:T$44,$H$67:$H$105,$AA110)</f>
        <v>864600</v>
      </c>
      <c r="AR110" s="5">
        <f>求节点(U$6:U$44,$H$67:$H$105,$AA110)</f>
        <v>901186.54220080154</v>
      </c>
      <c r="AS110" s="5">
        <f>求节点(V$6:V$44,$H$67:$H$105,$AA110)</f>
        <v>931046.33152273367</v>
      </c>
      <c r="AT110" s="5">
        <f>求节点(W$6:W$44,$H$67:$H$105,$AA110)</f>
        <v>948234.71035561187</v>
      </c>
      <c r="AU110" s="5">
        <f>求节点(X$6:X$44,$H$67:$H$105,$AA110)</f>
        <v>956786.67608639551</v>
      </c>
      <c r="AV110" s="5">
        <f>求节点(T$6:T$44,$I$67:$I$105,$AA110)</f>
        <v>20673333.333333332</v>
      </c>
      <c r="AW110" s="5">
        <f>求节点(U$6:U$44,$I$67:$I$105,$AA110)</f>
        <v>22349734.503044397</v>
      </c>
      <c r="AX110" s="5">
        <f>求节点(V$6:V$44,$I$67:$I$105,$AA110)</f>
        <v>23751537.741592895</v>
      </c>
      <c r="AY110" s="5">
        <f>求节点(W$6:W$44,$I$67:$I$105,$AA110)</f>
        <v>24576775.249052927</v>
      </c>
      <c r="AZ110" s="5">
        <f>求节点(X$6:X$44,$I$67:$I$105,$AA110)</f>
        <v>24990436.998845648</v>
      </c>
      <c r="BA110" s="5">
        <f>求节点(T$6:T$44,$E$67:$E$105,$AA110)+求节点(T$6:T$44,$K$67:$K$105,$AA110)+求节点(T$67:T$105,$O$67:$O$105,$AA110)</f>
        <v>7349.3333333333339</v>
      </c>
      <c r="BB110" s="5">
        <f>求节点(U$6:U$44,$E$67:$E$105,$AA110)+求节点(U$6:U$44,$K$67:$K$105,$AA110)+求节点(U$67:U$105,$O$67:$O$105,$AA110)</f>
        <v>7631.1852139913599</v>
      </c>
      <c r="BC110" s="5">
        <f>求节点(V$6:V$44,$E$67:$E$105,$AA110)+求节点(V$6:V$44,$K$67:$K$105,$AA110)+求节点(V$67:V$105,$O$67:$O$105,$AA110)</f>
        <v>7861.2161835825409</v>
      </c>
      <c r="BD110" s="5">
        <f>求节点(W$6:W$44,$E$67:$E$105,$AA110)+求节点(W$6:W$44,$K$67:$K$105,$AA110)+求节点(W$67:W$105,$O$67:$O$105,$AA110)</f>
        <v>7993.6303612580468</v>
      </c>
      <c r="BE110" s="5">
        <f>求节点(X$6:X$44,$E$67:$E$105,$AA110)+求节点(X$6:X$44,$K$67:$K$105,$AA110)+求节点(X$67:X$105,$O$67:$O$105,$AA110)</f>
        <v>8059.5121713322314</v>
      </c>
      <c r="BF110" s="5">
        <f>求节点(T$6:T$44,$G$67:$G$105,$AA110)</f>
        <v>0</v>
      </c>
      <c r="BG110" s="5">
        <f>求节点(U$6:U$44,$G$67:$G$105,$AA110)</f>
        <v>0</v>
      </c>
      <c r="BH110" s="5">
        <f>求节点(V$6:V$44,$G$67:$G$105,$AA110)</f>
        <v>0</v>
      </c>
      <c r="BI110" s="5">
        <f>求节点(W$6:W$44,$G$67:$G$105,$AA110)</f>
        <v>0</v>
      </c>
      <c r="BJ110" s="5">
        <f>求节点(X$6:X$44,$G$67:$G$105,$AA110)</f>
        <v>0</v>
      </c>
      <c r="BK110" s="5">
        <f>求节点(T$6:T$44,$M$67:$M$105,$AA110)</f>
        <v>70.666666666666671</v>
      </c>
      <c r="BL110" s="5">
        <f>求节点(U$6:U$44,$M$67:$M$105,$AA110)</f>
        <v>73.376780903763077</v>
      </c>
      <c r="BM110" s="5">
        <f>求节点(V$6:V$44,$M$67:$M$105,$AA110)</f>
        <v>75.588617149832118</v>
      </c>
      <c r="BN110" s="5">
        <f>求节点(W$6:W$44,$M$67:$M$105,$AA110)</f>
        <v>76.86183039671198</v>
      </c>
      <c r="BO110" s="5">
        <f>求节点(X$6:X$44,$M$67:$M$105,$AA110)</f>
        <v>77.495309339732998</v>
      </c>
      <c r="BP110" s="5">
        <f>求节点(T$67:T$105,$L$67:$L$105,$AA110)</f>
        <v>0</v>
      </c>
      <c r="BQ110" s="5">
        <f>求节点(U$67:U$105,$L$67:$L$105,$AA110)</f>
        <v>0</v>
      </c>
      <c r="BR110" s="5">
        <f>求节点(V$67:V$105,$L$67:$L$105,$AA110)</f>
        <v>0</v>
      </c>
      <c r="BS110" s="5">
        <f>求节点(W$67:W$105,$L$67:$L$105,$AA110)</f>
        <v>0</v>
      </c>
      <c r="BT110" s="5">
        <f>求节点(X$67:X$105,$L$67:$L$105,$AA110)</f>
        <v>0</v>
      </c>
      <c r="BZ110" s="5">
        <v>106</v>
      </c>
      <c r="CA110" s="5">
        <f t="shared" si="60"/>
        <v>7349.3333333333339</v>
      </c>
      <c r="CB110" s="5">
        <f t="shared" si="61"/>
        <v>7631.1852139913599</v>
      </c>
      <c r="CC110" s="5">
        <f t="shared" si="62"/>
        <v>7861.2161835825409</v>
      </c>
      <c r="CD110" s="5">
        <f t="shared" si="63"/>
        <v>7993.6303612580468</v>
      </c>
      <c r="CE110" s="5">
        <f t="shared" si="64"/>
        <v>8059.5121713322314</v>
      </c>
      <c r="CF110" s="5">
        <f>(CA110-CA109)/节奏总纲!W109</f>
        <v>0.66705743252432004</v>
      </c>
      <c r="CI110" s="5">
        <v>106</v>
      </c>
      <c r="CJ110" s="5">
        <f t="shared" si="65"/>
        <v>16960</v>
      </c>
      <c r="CK110" s="5">
        <f t="shared" si="66"/>
        <v>17610.427416903138</v>
      </c>
      <c r="CL110" s="5">
        <f t="shared" si="67"/>
        <v>18141.268115959709</v>
      </c>
      <c r="CM110" s="5">
        <f t="shared" si="68"/>
        <v>18446.839295210877</v>
      </c>
      <c r="CN110" s="5">
        <f t="shared" si="69"/>
        <v>18598.874241535919</v>
      </c>
      <c r="CO110" s="5">
        <f>(CJ110-CJ109)/节奏总纲!W109</f>
        <v>1.5393633058253404</v>
      </c>
      <c r="CP110" s="5">
        <f t="shared" si="70"/>
        <v>2.2064207383496606</v>
      </c>
      <c r="CR110" s="5">
        <v>106</v>
      </c>
      <c r="CS110" s="5">
        <f t="shared" si="71"/>
        <v>0</v>
      </c>
      <c r="CT110" s="5">
        <f t="shared" si="72"/>
        <v>0</v>
      </c>
      <c r="CU110" s="5">
        <f t="shared" si="73"/>
        <v>0</v>
      </c>
      <c r="CV110" s="5">
        <f t="shared" si="74"/>
        <v>0</v>
      </c>
      <c r="CW110" s="5">
        <f t="shared" si="75"/>
        <v>0</v>
      </c>
      <c r="CX110" s="5">
        <f t="shared" si="76"/>
        <v>0</v>
      </c>
      <c r="CY110" s="5">
        <f t="shared" si="77"/>
        <v>0</v>
      </c>
      <c r="CZ110" s="5">
        <f t="shared" si="78"/>
        <v>0</v>
      </c>
      <c r="DA110" s="5">
        <f t="shared" si="79"/>
        <v>0</v>
      </c>
      <c r="DB110" s="5">
        <f t="shared" si="80"/>
        <v>0</v>
      </c>
    </row>
    <row r="111" spans="2:106" x14ac:dyDescent="0.15">
      <c r="AA111" s="5">
        <v>107</v>
      </c>
      <c r="AB111" s="5">
        <f>求节点(T$6:T$44,$C$67:$C$105,$AA111)</f>
        <v>0</v>
      </c>
      <c r="AC111" s="5">
        <f>求节点(U$6:U$44,$C$67:$C$105,$AA111)</f>
        <v>0</v>
      </c>
      <c r="AD111" s="5">
        <f>求节点(V$6:V$44,$C$67:$C$105,$AA111)</f>
        <v>0</v>
      </c>
      <c r="AE111" s="5">
        <f>求节点(W$6:W$44,$C$67:$C$105,$AA111)</f>
        <v>0</v>
      </c>
      <c r="AF111" s="5">
        <f>求节点(X$6:X$44,$C$67:$C$105,$AA111)</f>
        <v>0</v>
      </c>
      <c r="AG111" s="5">
        <f>求节点(T$6:T$44,$D$67:$D$105,$AA111)+求节点(T$67:T$105,$Q$67:$Q$105,$AA111)</f>
        <v>72070760</v>
      </c>
      <c r="AH111" s="5">
        <f>求节点(U$6:U$44,$D$67:$D$105,$AA111)+求节点(U$67:U$105,$Q$67:$Q$105,$AA111)</f>
        <v>84492391.795739368</v>
      </c>
      <c r="AI111" s="5">
        <f>求节点(V$6:V$44,$D$67:$D$105,$AA111)+求节点(V$67:V$105,$Q$67:$Q$105,$AA111)</f>
        <v>94355288.091980562</v>
      </c>
      <c r="AJ111" s="5">
        <f>求节点(W$6:W$44,$D$67:$D$105,$AA111)+求节点(W$67:W$105,$Q$67:$Q$105,$AA111)</f>
        <v>99733289.957052559</v>
      </c>
      <c r="AK111" s="5">
        <f>求节点(X$6:X$44,$D$67:$D$105,$AA111)+求节点(X$67:X$105,$Q$67:$Q$105,$AA111)</f>
        <v>102728760</v>
      </c>
      <c r="AL111" s="5">
        <f>求节点(T$6:T$44,$F$67:$F$105,$AA111)+求节点(T$67:T$105,$P$67:$P$105,$AA111)</f>
        <v>1612000</v>
      </c>
      <c r="AM111" s="5">
        <f>求节点(U$6:U$44,$F$67:$F$105,$AA111)+求节点(U$67:U$105,$P$67:$P$105,$AA111)</f>
        <v>1707619.5806573974</v>
      </c>
      <c r="AN111" s="5">
        <f>求节点(V$6:V$44,$F$67:$F$105,$AA111)+求节点(V$67:V$105,$P$67:$P$105,$AA111)</f>
        <v>1783542.4564455417</v>
      </c>
      <c r="AO111" s="5">
        <f>求节点(W$6:W$44,$F$67:$F$105,$AA111)+求节点(W$67:W$105,$P$67:$P$105,$AA111)</f>
        <v>1824941.3878878076</v>
      </c>
      <c r="AP111" s="5">
        <f>求节点(X$6:X$44,$F$67:$F$105,$AA111)+求节点(X$67:X$105,$P$67:$P$105,$AA111)</f>
        <v>1848000</v>
      </c>
      <c r="AQ111" s="5">
        <f>求节点(T$6:T$44,$H$67:$H$105,$AA111)</f>
        <v>873600</v>
      </c>
      <c r="AR111" s="5">
        <f>求节点(U$6:U$44,$H$67:$H$105,$AA111)</f>
        <v>910065.09431849909</v>
      </c>
      <c r="AS111" s="5">
        <f>求节点(V$6:V$44,$H$67:$H$105,$AA111)</f>
        <v>939018.73339024896</v>
      </c>
      <c r="AT111" s="5">
        <f>求节点(W$6:W$44,$H$67:$H$105,$AA111)</f>
        <v>954806.46148263849</v>
      </c>
      <c r="AU111" s="5">
        <f>求节点(X$6:X$44,$H$67:$H$105,$AA111)</f>
        <v>963600</v>
      </c>
      <c r="AV111" s="5">
        <f>求节点(T$6:T$44,$I$67:$I$105,$AA111)</f>
        <v>21082666.666666668</v>
      </c>
      <c r="AW111" s="5">
        <f>求节点(U$6:U$44,$I$67:$I$105,$AA111)</f>
        <v>22759980.012977954</v>
      </c>
      <c r="AX111" s="5">
        <f>求节点(V$6:V$44,$I$67:$I$105,$AA111)</f>
        <v>24130995.029913522</v>
      </c>
      <c r="AY111" s="5">
        <f>求节点(W$6:W$44,$I$67:$I$105,$AA111)</f>
        <v>24894653.285049103</v>
      </c>
      <c r="AZ111" s="5">
        <f>求节点(X$6:X$44,$I$67:$I$105,$AA111)</f>
        <v>25320000</v>
      </c>
      <c r="BA111" s="5">
        <f>求节点(T$6:T$44,$E$67:$E$105,$AA111)+求节点(T$6:T$44,$K$67:$K$105,$AA111)+求节点(T$67:T$105,$O$67:$O$105,$AA111)</f>
        <v>7418.6666666666661</v>
      </c>
      <c r="BB111" s="5">
        <f>求节点(U$6:U$44,$E$67:$E$105,$AA111)+求节点(U$6:U$44,$K$67:$K$105,$AA111)+求节点(U$67:U$105,$O$67:$O$105,$AA111)</f>
        <v>7699.5829488239924</v>
      </c>
      <c r="BC111" s="5">
        <f>求节点(V$6:V$44,$E$67:$E$105,$AA111)+求节点(V$6:V$44,$K$67:$K$105,$AA111)+求节点(V$67:V$105,$O$67:$O$105,$AA111)</f>
        <v>7922.6332053767328</v>
      </c>
      <c r="BD111" s="5">
        <f>求节点(W$6:W$44,$E$67:$E$105,$AA111)+求节点(W$6:W$44,$K$67:$K$105,$AA111)+求节点(W$67:W$105,$O$67:$O$105,$AA111)</f>
        <v>8044.2571847551408</v>
      </c>
      <c r="BE111" s="5">
        <f>求节点(X$6:X$44,$E$67:$E$105,$AA111)+求节点(X$6:X$44,$K$67:$K$105,$AA111)+求节点(X$67:X$105,$O$67:$O$105,$AA111)</f>
        <v>8112</v>
      </c>
      <c r="BF111" s="5">
        <f>求节点(T$6:T$44,$G$67:$G$105,$AA111)</f>
        <v>0</v>
      </c>
      <c r="BG111" s="5">
        <f>求节点(U$6:U$44,$G$67:$G$105,$AA111)</f>
        <v>0</v>
      </c>
      <c r="BH111" s="5">
        <f>求节点(V$6:V$44,$G$67:$G$105,$AA111)</f>
        <v>0</v>
      </c>
      <c r="BI111" s="5">
        <f>求节点(W$6:W$44,$G$67:$G$105,$AA111)</f>
        <v>0</v>
      </c>
      <c r="BJ111" s="5">
        <f>求节点(X$6:X$44,$G$67:$G$105,$AA111)</f>
        <v>0</v>
      </c>
      <c r="BK111" s="5">
        <f>求节点(T$6:T$44,$M$67:$M$105,$AA111)</f>
        <v>71.333333333333329</v>
      </c>
      <c r="BL111" s="5">
        <f>求节点(U$6:U$44,$M$67:$M$105,$AA111)</f>
        <v>74.034451430999923</v>
      </c>
      <c r="BM111" s="5">
        <f>求节点(V$6:V$44,$M$67:$M$105,$AA111)</f>
        <v>76.179165436314733</v>
      </c>
      <c r="BN111" s="5">
        <f>求节点(W$6:W$44,$M$67:$M$105,$AA111)</f>
        <v>77.348626776491741</v>
      </c>
      <c r="BO111" s="5">
        <f>求节点(X$6:X$44,$M$67:$M$105,$AA111)</f>
        <v>78</v>
      </c>
      <c r="BP111" s="5">
        <f>求节点(T$67:T$105,$L$67:$L$105,$AA111)</f>
        <v>0</v>
      </c>
      <c r="BQ111" s="5">
        <f>求节点(U$67:U$105,$L$67:$L$105,$AA111)</f>
        <v>0</v>
      </c>
      <c r="BR111" s="5">
        <f>求节点(V$67:V$105,$L$67:$L$105,$AA111)</f>
        <v>0</v>
      </c>
      <c r="BS111" s="5">
        <f>求节点(W$67:W$105,$L$67:$L$105,$AA111)</f>
        <v>0</v>
      </c>
      <c r="BT111" s="5">
        <f>求节点(X$67:X$105,$L$67:$L$105,$AA111)</f>
        <v>0</v>
      </c>
      <c r="BZ111" s="5">
        <v>107</v>
      </c>
      <c r="CA111" s="5">
        <f t="shared" si="60"/>
        <v>7418.6666666666661</v>
      </c>
      <c r="CB111" s="5">
        <f t="shared" si="61"/>
        <v>7699.5829488239924</v>
      </c>
      <c r="CC111" s="5">
        <f t="shared" si="62"/>
        <v>7922.6332053767328</v>
      </c>
      <c r="CD111" s="5">
        <f t="shared" si="63"/>
        <v>8044.2571847551408</v>
      </c>
      <c r="CE111" s="5">
        <f t="shared" si="64"/>
        <v>8112</v>
      </c>
      <c r="CF111" s="5">
        <f>(CA111-CA110)/节奏总纲!W110</f>
        <v>0.62238659179500533</v>
      </c>
      <c r="CI111" s="5">
        <v>107</v>
      </c>
      <c r="CJ111" s="5">
        <f t="shared" si="65"/>
        <v>17120</v>
      </c>
      <c r="CK111" s="5">
        <f t="shared" si="66"/>
        <v>17768.268343439981</v>
      </c>
      <c r="CL111" s="5">
        <f t="shared" si="67"/>
        <v>18282.999704715538</v>
      </c>
      <c r="CM111" s="5">
        <f t="shared" si="68"/>
        <v>18563.670426358018</v>
      </c>
      <c r="CN111" s="5">
        <f t="shared" si="69"/>
        <v>18720</v>
      </c>
      <c r="CO111" s="5">
        <f>(CJ111-CJ110)/节奏总纲!W110</f>
        <v>1.4362767502961913</v>
      </c>
      <c r="CP111" s="5">
        <f t="shared" si="70"/>
        <v>2.0586633420911964</v>
      </c>
      <c r="CR111" s="5">
        <v>107</v>
      </c>
      <c r="CS111" s="5">
        <f t="shared" si="71"/>
        <v>0</v>
      </c>
      <c r="CT111" s="5">
        <f t="shared" si="72"/>
        <v>0</v>
      </c>
      <c r="CU111" s="5">
        <f t="shared" si="73"/>
        <v>0</v>
      </c>
      <c r="CV111" s="5">
        <f t="shared" si="74"/>
        <v>0</v>
      </c>
      <c r="CW111" s="5">
        <f t="shared" si="75"/>
        <v>0</v>
      </c>
      <c r="CX111" s="5">
        <f t="shared" si="76"/>
        <v>0</v>
      </c>
      <c r="CY111" s="5">
        <f t="shared" si="77"/>
        <v>0</v>
      </c>
      <c r="CZ111" s="5">
        <f t="shared" si="78"/>
        <v>0</v>
      </c>
      <c r="DA111" s="5">
        <f t="shared" si="79"/>
        <v>0</v>
      </c>
      <c r="DB111" s="5">
        <f t="shared" si="80"/>
        <v>0</v>
      </c>
    </row>
    <row r="112" spans="2:106" x14ac:dyDescent="0.15">
      <c r="AA112" s="5">
        <v>108</v>
      </c>
      <c r="AB112" s="5">
        <f>求节点(T$6:T$44,$C$67:$C$105,$AA112)</f>
        <v>0</v>
      </c>
      <c r="AC112" s="5">
        <f>求节点(U$6:U$44,$C$67:$C$105,$AA112)</f>
        <v>0</v>
      </c>
      <c r="AD112" s="5">
        <f>求节点(V$6:V$44,$C$67:$C$105,$AA112)</f>
        <v>0</v>
      </c>
      <c r="AE112" s="5">
        <f>求节点(W$6:W$44,$C$67:$C$105,$AA112)</f>
        <v>0</v>
      </c>
      <c r="AF112" s="5">
        <f>求节点(X$6:X$44,$C$67:$C$105,$AA112)</f>
        <v>0</v>
      </c>
      <c r="AG112" s="5">
        <f>求节点(T$6:T$44,$D$67:$D$105,$AA112)+求节点(T$67:T$105,$Q$67:$Q$105,$AA112)</f>
        <v>75136560</v>
      </c>
      <c r="AH112" s="5">
        <f>求节点(U$6:U$44,$D$67:$D$105,$AA112)+求节点(U$67:U$105,$Q$67:$Q$105,$AA112)</f>
        <v>87946972.333133727</v>
      </c>
      <c r="AI112" s="5">
        <f>求节点(V$6:V$44,$D$67:$D$105,$AA112)+求节点(V$67:V$105,$Q$67:$Q$105,$AA112)</f>
        <v>96891866.686696067</v>
      </c>
      <c r="AJ112" s="5">
        <f>求节点(W$6:W$44,$D$67:$D$105,$AA112)+求节点(W$67:W$105,$Q$67:$Q$105,$AA112)</f>
        <v>101971920.46874569</v>
      </c>
      <c r="AK112" s="5">
        <f>求节点(X$6:X$44,$D$67:$D$105,$AA112)+求节点(X$67:X$105,$Q$67:$Q$105,$AA112)</f>
        <v>102728760</v>
      </c>
      <c r="AL112" s="5">
        <f>求节点(T$6:T$44,$F$67:$F$105,$AA112)+求节点(T$67:T$105,$P$67:$P$105,$AA112)</f>
        <v>1635600</v>
      </c>
      <c r="AM112" s="5">
        <f>求节点(U$6:U$44,$F$67:$F$105,$AA112)+求节点(U$67:U$105,$P$67:$P$105,$AA112)</f>
        <v>1734212.3462267455</v>
      </c>
      <c r="AN112" s="5">
        <f>求节点(V$6:V$44,$F$67:$F$105,$AA112)+求节点(V$67:V$105,$P$67:$P$105,$AA112)</f>
        <v>1803068.6012805882</v>
      </c>
      <c r="AO112" s="5">
        <f>求节点(W$6:W$44,$F$67:$F$105,$AA112)+求节点(W$67:W$105,$P$67:$P$105,$AA112)</f>
        <v>1842173.9797320107</v>
      </c>
      <c r="AP112" s="5">
        <f>求节点(X$6:X$44,$F$67:$F$105,$AA112)+求节点(X$67:X$105,$P$67:$P$105,$AA112)</f>
        <v>1848000</v>
      </c>
      <c r="AQ112" s="5">
        <f>求节点(T$6:T$44,$H$67:$H$105,$AA112)</f>
        <v>882600</v>
      </c>
      <c r="AR112" s="5">
        <f>求节点(U$6:U$44,$H$67:$H$105,$AA112)</f>
        <v>920206.40322206391</v>
      </c>
      <c r="AS112" s="5">
        <f>求节点(V$6:V$44,$H$67:$H$105,$AA112)</f>
        <v>946465.14455615648</v>
      </c>
      <c r="AT112" s="5">
        <f>求节点(W$6:W$44,$H$67:$H$105,$AA112)</f>
        <v>961378.21260966512</v>
      </c>
      <c r="AU112" s="5">
        <f>求节点(X$6:X$44,$H$67:$H$105,$AA112)</f>
        <v>963600</v>
      </c>
      <c r="AV112" s="5">
        <f>求节点(T$6:T$44,$I$67:$I$105,$AA112)</f>
        <v>21492000</v>
      </c>
      <c r="AW112" s="5">
        <f>求节点(U$6:U$44,$I$67:$I$105,$AA112)</f>
        <v>23239250.759679761</v>
      </c>
      <c r="AX112" s="5">
        <f>求节点(V$6:V$44,$I$67:$I$105,$AA112)</f>
        <v>24491180.695938531</v>
      </c>
      <c r="AY112" s="5">
        <f>求节点(W$6:W$44,$I$67:$I$105,$AA112)</f>
        <v>25212531.321045283</v>
      </c>
      <c r="AZ112" s="5">
        <f>求节点(X$6:X$44,$I$67:$I$105,$AA112)</f>
        <v>25320000</v>
      </c>
      <c r="BA112" s="5">
        <f>求节点(T$6:T$44,$E$67:$E$105,$AA112)+求节点(T$6:T$44,$K$67:$K$105,$AA112)+求节点(T$67:T$105,$O$67:$O$105,$AA112)</f>
        <v>7488</v>
      </c>
      <c r="BB112" s="5">
        <f>求节点(U$6:U$44,$E$67:$E$105,$AA112)+求节点(U$6:U$44,$K$67:$K$105,$AA112)+求节点(U$67:U$105,$O$67:$O$105,$AA112)</f>
        <v>7777.7085877847894</v>
      </c>
      <c r="BC112" s="5">
        <f>求节点(V$6:V$44,$E$67:$E$105,$AA112)+求节点(V$6:V$44,$K$67:$K$105,$AA112)+求节点(V$67:V$105,$O$67:$O$105,$AA112)</f>
        <v>7979.9981506548347</v>
      </c>
      <c r="BD112" s="5">
        <f>求节点(W$6:W$44,$E$67:$E$105,$AA112)+求节点(W$6:W$44,$K$67:$K$105,$AA112)+求节点(W$67:W$105,$O$67:$O$105,$AA112)</f>
        <v>8094.8840082522347</v>
      </c>
      <c r="BE112" s="5">
        <f>求节点(X$6:X$44,$E$67:$E$105,$AA112)+求节点(X$6:X$44,$K$67:$K$105,$AA112)+求节点(X$67:X$105,$O$67:$O$105,$AA112)</f>
        <v>8112</v>
      </c>
      <c r="BF112" s="5">
        <f>求节点(T$6:T$44,$G$67:$G$105,$AA112)</f>
        <v>0</v>
      </c>
      <c r="BG112" s="5">
        <f>求节点(U$6:U$44,$G$67:$G$105,$AA112)</f>
        <v>0</v>
      </c>
      <c r="BH112" s="5">
        <f>求节点(V$6:V$44,$G$67:$G$105,$AA112)</f>
        <v>0</v>
      </c>
      <c r="BI112" s="5">
        <f>求节点(W$6:W$44,$G$67:$G$105,$AA112)</f>
        <v>0</v>
      </c>
      <c r="BJ112" s="5">
        <f>求节点(X$6:X$44,$G$67:$G$105,$AA112)</f>
        <v>0</v>
      </c>
      <c r="BK112" s="5">
        <f>求节点(T$6:T$44,$M$67:$M$105,$AA112)</f>
        <v>72</v>
      </c>
      <c r="BL112" s="5">
        <f>求节点(U$6:U$44,$M$67:$M$105,$AA112)</f>
        <v>74.785659497930666</v>
      </c>
      <c r="BM112" s="5">
        <f>求节点(V$6:V$44,$M$67:$M$105,$AA112)</f>
        <v>76.730751448604181</v>
      </c>
      <c r="BN112" s="5">
        <f>求节点(W$6:W$44,$M$67:$M$105,$AA112)</f>
        <v>77.835423156271489</v>
      </c>
      <c r="BO112" s="5">
        <f>求节点(X$6:X$44,$M$67:$M$105,$AA112)</f>
        <v>78</v>
      </c>
      <c r="BP112" s="5">
        <f>求节点(T$67:T$105,$L$67:$L$105,$AA112)</f>
        <v>0</v>
      </c>
      <c r="BQ112" s="5">
        <f>求节点(U$67:U$105,$L$67:$L$105,$AA112)</f>
        <v>0</v>
      </c>
      <c r="BR112" s="5">
        <f>求节点(V$67:V$105,$L$67:$L$105,$AA112)</f>
        <v>0</v>
      </c>
      <c r="BS112" s="5">
        <f>求节点(W$67:W$105,$L$67:$L$105,$AA112)</f>
        <v>0</v>
      </c>
      <c r="BT112" s="5">
        <f>求节点(X$67:X$105,$L$67:$L$105,$AA112)</f>
        <v>0</v>
      </c>
      <c r="BZ112" s="5">
        <v>108</v>
      </c>
      <c r="CA112" s="5">
        <f t="shared" si="60"/>
        <v>7488</v>
      </c>
      <c r="CB112" s="5">
        <f t="shared" si="61"/>
        <v>7777.7085877847894</v>
      </c>
      <c r="CC112" s="5">
        <f t="shared" si="62"/>
        <v>7979.9981506548347</v>
      </c>
      <c r="CD112" s="5">
        <f t="shared" si="63"/>
        <v>8094.8840082522347</v>
      </c>
      <c r="CE112" s="5">
        <f t="shared" si="64"/>
        <v>8112</v>
      </c>
      <c r="CF112" s="5">
        <f>(CA112-CA111)/节奏总纲!W111</f>
        <v>0.58070722363489757</v>
      </c>
      <c r="CI112" s="5">
        <v>108</v>
      </c>
      <c r="CJ112" s="5">
        <f t="shared" si="65"/>
        <v>17280</v>
      </c>
      <c r="CK112" s="5">
        <f t="shared" si="66"/>
        <v>17948.558279503359</v>
      </c>
      <c r="CL112" s="5">
        <f t="shared" si="67"/>
        <v>18415.380347665003</v>
      </c>
      <c r="CM112" s="5">
        <f t="shared" si="68"/>
        <v>18680.501557505158</v>
      </c>
      <c r="CN112" s="5">
        <f t="shared" si="69"/>
        <v>18720</v>
      </c>
      <c r="CO112" s="5">
        <f>(CJ112-CJ111)/节奏总纲!W111</f>
        <v>1.340093593003598</v>
      </c>
      <c r="CP112" s="5">
        <f t="shared" si="70"/>
        <v>1.9208008166384956</v>
      </c>
      <c r="CR112" s="5">
        <v>108</v>
      </c>
      <c r="CS112" s="5">
        <f t="shared" si="71"/>
        <v>0</v>
      </c>
      <c r="CT112" s="5">
        <f t="shared" si="72"/>
        <v>0</v>
      </c>
      <c r="CU112" s="5">
        <f t="shared" si="73"/>
        <v>0</v>
      </c>
      <c r="CV112" s="5">
        <f t="shared" si="74"/>
        <v>0</v>
      </c>
      <c r="CW112" s="5">
        <f t="shared" si="75"/>
        <v>0</v>
      </c>
      <c r="CX112" s="5">
        <f t="shared" si="76"/>
        <v>0</v>
      </c>
      <c r="CY112" s="5">
        <f t="shared" si="77"/>
        <v>0</v>
      </c>
      <c r="CZ112" s="5">
        <f t="shared" si="78"/>
        <v>0</v>
      </c>
      <c r="DA112" s="5">
        <f t="shared" si="79"/>
        <v>0</v>
      </c>
      <c r="DB112" s="5">
        <f t="shared" si="80"/>
        <v>0</v>
      </c>
    </row>
    <row r="113" spans="3:106" x14ac:dyDescent="0.15">
      <c r="AA113" s="5">
        <v>109</v>
      </c>
      <c r="AB113" s="5">
        <f>求节点(T$6:T$44,$C$67:$C$105,$AA113)</f>
        <v>0</v>
      </c>
      <c r="AC113" s="5">
        <f>求节点(U$6:U$44,$C$67:$C$105,$AA113)</f>
        <v>0</v>
      </c>
      <c r="AD113" s="5">
        <f>求节点(V$6:V$44,$C$67:$C$105,$AA113)</f>
        <v>0</v>
      </c>
      <c r="AE113" s="5">
        <f>求节点(W$6:W$44,$C$67:$C$105,$AA113)</f>
        <v>0</v>
      </c>
      <c r="AF113" s="5">
        <f>求节点(X$6:X$44,$C$67:$C$105,$AA113)</f>
        <v>0</v>
      </c>
      <c r="AG113" s="5">
        <f>求节点(T$6:T$44,$D$67:$D$105,$AA113)+求节点(T$67:T$105,$Q$67:$Q$105,$AA113)</f>
        <v>78202360</v>
      </c>
      <c r="AH113" s="5">
        <f>求节点(U$6:U$44,$D$67:$D$105,$AA113)+求节点(U$67:U$105,$Q$67:$Q$105,$AA113)</f>
        <v>91401552.870528102</v>
      </c>
      <c r="AI113" s="5">
        <f>求节点(V$6:V$44,$D$67:$D$105,$AA113)+求节点(V$67:V$105,$Q$67:$Q$105,$AA113)</f>
        <v>99428445.281411558</v>
      </c>
      <c r="AJ113" s="5">
        <f>求节点(W$6:W$44,$D$67:$D$105,$AA113)+求节点(W$67:W$105,$Q$67:$Q$105,$AA113)</f>
        <v>102728760</v>
      </c>
      <c r="AK113" s="5">
        <f>求节点(X$6:X$44,$D$67:$D$105,$AA113)+求节点(X$67:X$105,$Q$67:$Q$105,$AA113)</f>
        <v>102728760</v>
      </c>
      <c r="AL113" s="5">
        <f>求节点(T$6:T$44,$F$67:$F$105,$AA113)+求节点(T$67:T$105,$P$67:$P$105,$AA113)</f>
        <v>1659200</v>
      </c>
      <c r="AM113" s="5">
        <f>求节点(U$6:U$44,$F$67:$F$105,$AA113)+求节点(U$67:U$105,$P$67:$P$105,$AA113)</f>
        <v>1760805.1117960934</v>
      </c>
      <c r="AN113" s="5">
        <f>求节点(V$6:V$44,$F$67:$F$105,$AA113)+求节点(V$67:V$105,$P$67:$P$105,$AA113)</f>
        <v>1822594.7461156347</v>
      </c>
      <c r="AO113" s="5">
        <f>求节点(W$6:W$44,$F$67:$F$105,$AA113)+求节点(W$67:W$105,$P$67:$P$105,$AA113)</f>
        <v>1848000</v>
      </c>
      <c r="AP113" s="5">
        <f>求节点(X$6:X$44,$F$67:$F$105,$AA113)+求节点(X$67:X$105,$P$67:$P$105,$AA113)</f>
        <v>1848000</v>
      </c>
      <c r="AQ113" s="5">
        <f>求节点(T$6:T$44,$H$67:$H$105,$AA113)</f>
        <v>891600</v>
      </c>
      <c r="AR113" s="5">
        <f>求节点(U$6:U$44,$H$67:$H$105,$AA113)</f>
        <v>930347.71212562884</v>
      </c>
      <c r="AS113" s="5">
        <f>求节点(V$6:V$44,$H$67:$H$105,$AA113)</f>
        <v>953911.55572206411</v>
      </c>
      <c r="AT113" s="5">
        <f>求节点(W$6:W$44,$H$67:$H$105,$AA113)</f>
        <v>963600</v>
      </c>
      <c r="AU113" s="5">
        <f>求节点(X$6:X$44,$H$67:$H$105,$AA113)</f>
        <v>963600</v>
      </c>
      <c r="AV113" s="5">
        <f>求节点(T$6:T$44,$I$67:$I$105,$AA113)</f>
        <v>21907333.333333332</v>
      </c>
      <c r="AW113" s="5">
        <f>求节点(U$6:U$44,$I$67:$I$105,$AA113)</f>
        <v>23718521.506381571</v>
      </c>
      <c r="AX113" s="5">
        <f>求节点(V$6:V$44,$I$67:$I$105,$AA113)</f>
        <v>24851366.361963544</v>
      </c>
      <c r="AY113" s="5">
        <f>求节点(W$6:W$44,$I$67:$I$105,$AA113)</f>
        <v>25320000</v>
      </c>
      <c r="AZ113" s="5">
        <f>求节点(X$6:X$44,$I$67:$I$105,$AA113)</f>
        <v>25320000</v>
      </c>
      <c r="BA113" s="5">
        <f>求节点(T$6:T$44,$E$67:$E$105,$AA113)+求节点(T$6:T$44,$K$67:$K$105,$AA113)+求节点(T$67:T$105,$O$67:$O$105,$AA113)</f>
        <v>7557.3333333333339</v>
      </c>
      <c r="BB113" s="5">
        <f>求节点(U$6:U$44,$E$67:$E$105,$AA113)+求节点(U$6:U$44,$K$67:$K$105,$AA113)+求节点(U$67:U$105,$O$67:$O$105,$AA113)</f>
        <v>7855.8342267455846</v>
      </c>
      <c r="BC113" s="5">
        <f>求节点(V$6:V$44,$E$67:$E$105,$AA113)+求节点(V$6:V$44,$K$67:$K$105,$AA113)+求节点(V$67:V$105,$O$67:$O$105,$AA113)</f>
        <v>8037.3630959329384</v>
      </c>
      <c r="BD113" s="5">
        <f>求节点(W$6:W$44,$E$67:$E$105,$AA113)+求节点(W$6:W$44,$K$67:$K$105,$AA113)+求节点(W$67:W$105,$O$67:$O$105,$AA113)</f>
        <v>8112</v>
      </c>
      <c r="BE113" s="5">
        <f>求节点(X$6:X$44,$E$67:$E$105,$AA113)+求节点(X$6:X$44,$K$67:$K$105,$AA113)+求节点(X$67:X$105,$O$67:$O$105,$AA113)</f>
        <v>8112</v>
      </c>
      <c r="BF113" s="5">
        <f>求节点(T$6:T$44,$G$67:$G$105,$AA113)</f>
        <v>0</v>
      </c>
      <c r="BG113" s="5">
        <f>求节点(U$6:U$44,$G$67:$G$105,$AA113)</f>
        <v>0</v>
      </c>
      <c r="BH113" s="5">
        <f>求节点(V$6:V$44,$G$67:$G$105,$AA113)</f>
        <v>0</v>
      </c>
      <c r="BI113" s="5">
        <f>求节点(W$6:W$44,$G$67:$G$105,$AA113)</f>
        <v>0</v>
      </c>
      <c r="BJ113" s="5">
        <f>求节点(X$6:X$44,$G$67:$G$105,$AA113)</f>
        <v>0</v>
      </c>
      <c r="BK113" s="5">
        <f>求节点(T$6:T$44,$M$67:$M$105,$AA113)</f>
        <v>72.666666666666671</v>
      </c>
      <c r="BL113" s="5">
        <f>求节点(U$6:U$44,$M$67:$M$105,$AA113)</f>
        <v>75.536867564861396</v>
      </c>
      <c r="BM113" s="5">
        <f>求节点(V$6:V$44,$M$67:$M$105,$AA113)</f>
        <v>77.282337460893629</v>
      </c>
      <c r="BN113" s="5">
        <f>求节点(W$6:W$44,$M$67:$M$105,$AA113)</f>
        <v>78</v>
      </c>
      <c r="BO113" s="5">
        <f>求节点(X$6:X$44,$M$67:$M$105,$AA113)</f>
        <v>78</v>
      </c>
      <c r="BP113" s="5">
        <f>求节点(T$67:T$105,$L$67:$L$105,$AA113)</f>
        <v>0</v>
      </c>
      <c r="BQ113" s="5">
        <f>求节点(U$67:U$105,$L$67:$L$105,$AA113)</f>
        <v>0</v>
      </c>
      <c r="BR113" s="5">
        <f>求节点(V$67:V$105,$L$67:$L$105,$AA113)</f>
        <v>0</v>
      </c>
      <c r="BS113" s="5">
        <f>求节点(W$67:W$105,$L$67:$L$105,$AA113)</f>
        <v>0</v>
      </c>
      <c r="BT113" s="5">
        <f>求节点(X$67:X$105,$L$67:$L$105,$AA113)</f>
        <v>0</v>
      </c>
      <c r="BZ113" s="5">
        <v>109</v>
      </c>
      <c r="CA113" s="5">
        <f t="shared" si="60"/>
        <v>7557.3333333333339</v>
      </c>
      <c r="CB113" s="5">
        <f t="shared" si="61"/>
        <v>7855.8342267455846</v>
      </c>
      <c r="CC113" s="5">
        <f t="shared" si="62"/>
        <v>8037.3630959329384</v>
      </c>
      <c r="CD113" s="5">
        <f t="shared" si="63"/>
        <v>8112</v>
      </c>
      <c r="CE113" s="5">
        <f t="shared" si="64"/>
        <v>8112</v>
      </c>
      <c r="CF113" s="5">
        <f>(CA113-CA112)/节奏总纲!W112</f>
        <v>0.5418189980751098</v>
      </c>
      <c r="CI113" s="5">
        <v>109</v>
      </c>
      <c r="CJ113" s="5">
        <f t="shared" si="65"/>
        <v>17440</v>
      </c>
      <c r="CK113" s="5">
        <f t="shared" si="66"/>
        <v>18128.848215566733</v>
      </c>
      <c r="CL113" s="5">
        <f t="shared" si="67"/>
        <v>18547.760990614472</v>
      </c>
      <c r="CM113" s="5">
        <f t="shared" si="68"/>
        <v>18720</v>
      </c>
      <c r="CN113" s="5">
        <f t="shared" si="69"/>
        <v>18720</v>
      </c>
      <c r="CO113" s="5">
        <f>(CJ113-CJ112)/节奏总纲!W112</f>
        <v>1.2503515340194733</v>
      </c>
      <c r="CP113" s="5">
        <f t="shared" si="70"/>
        <v>1.7921705320945831</v>
      </c>
      <c r="CR113" s="5">
        <v>109</v>
      </c>
      <c r="CS113" s="5">
        <f t="shared" si="71"/>
        <v>0</v>
      </c>
      <c r="CT113" s="5">
        <f t="shared" si="72"/>
        <v>0</v>
      </c>
      <c r="CU113" s="5">
        <f t="shared" si="73"/>
        <v>0</v>
      </c>
      <c r="CV113" s="5">
        <f t="shared" si="74"/>
        <v>0</v>
      </c>
      <c r="CW113" s="5">
        <f t="shared" si="75"/>
        <v>0</v>
      </c>
      <c r="CX113" s="5">
        <f t="shared" si="76"/>
        <v>0</v>
      </c>
      <c r="CY113" s="5">
        <f t="shared" si="77"/>
        <v>0</v>
      </c>
      <c r="CZ113" s="5">
        <f t="shared" si="78"/>
        <v>0</v>
      </c>
      <c r="DA113" s="5">
        <f t="shared" si="79"/>
        <v>0</v>
      </c>
      <c r="DB113" s="5">
        <f t="shared" si="80"/>
        <v>0</v>
      </c>
    </row>
    <row r="114" spans="3:106" x14ac:dyDescent="0.15">
      <c r="AA114" s="5">
        <v>110</v>
      </c>
      <c r="AB114" s="5">
        <f>求节点(T$6:T$44,$C$67:$C$105,$AA114)</f>
        <v>0</v>
      </c>
      <c r="AC114" s="5">
        <f>求节点(U$6:U$44,$C$67:$C$105,$AA114)</f>
        <v>0</v>
      </c>
      <c r="AD114" s="5">
        <f>求节点(V$6:V$44,$C$67:$C$105,$AA114)</f>
        <v>0</v>
      </c>
      <c r="AE114" s="5">
        <f>求节点(W$6:W$44,$C$67:$C$105,$AA114)</f>
        <v>0</v>
      </c>
      <c r="AF114" s="5">
        <f>求节点(X$6:X$44,$C$67:$C$105,$AA114)</f>
        <v>0</v>
      </c>
      <c r="AG114" s="5">
        <f>求节点(T$6:T$44,$D$67:$D$105,$AA114)+求节点(T$67:T$105,$Q$67:$Q$105,$AA114)</f>
        <v>81268160</v>
      </c>
      <c r="AH114" s="5">
        <f>求节点(U$6:U$44,$D$67:$D$105,$AA114)+求节点(U$67:U$105,$Q$67:$Q$105,$AA114)</f>
        <v>94520644.233632773</v>
      </c>
      <c r="AI114" s="5">
        <f>求节点(V$6:V$44,$D$67:$D$105,$AA114)+求节点(V$67:V$105,$Q$67:$Q$105,$AA114)</f>
        <v>101965023.87612705</v>
      </c>
      <c r="AJ114" s="5">
        <f>求节点(W$6:W$44,$D$67:$D$105,$AA114)+求节点(W$67:W$105,$Q$67:$Q$105,$AA114)</f>
        <v>102728760</v>
      </c>
      <c r="AK114" s="5">
        <f>求节点(X$6:X$44,$D$67:$D$105,$AA114)+求节点(X$67:X$105,$Q$67:$Q$105,$AA114)</f>
        <v>102728760</v>
      </c>
      <c r="AL114" s="5">
        <f>求节点(T$6:T$44,$F$67:$F$105,$AA114)+求节点(T$67:T$105,$P$67:$P$105,$AA114)</f>
        <v>1682800</v>
      </c>
      <c r="AM114" s="5">
        <f>求节点(U$6:U$44,$F$67:$F$105,$AA114)+求节点(U$67:U$105,$P$67:$P$105,$AA114)</f>
        <v>1784815.3395243438</v>
      </c>
      <c r="AN114" s="5">
        <f>求节点(V$6:V$44,$F$67:$F$105,$AA114)+求节点(V$67:V$105,$P$67:$P$105,$AA114)</f>
        <v>1842120.8909506812</v>
      </c>
      <c r="AO114" s="5">
        <f>求节点(W$6:W$44,$F$67:$F$105,$AA114)+求节点(W$67:W$105,$P$67:$P$105,$AA114)</f>
        <v>1848000</v>
      </c>
      <c r="AP114" s="5">
        <f>求节点(X$6:X$44,$F$67:$F$105,$AA114)+求节点(X$67:X$105,$P$67:$P$105,$AA114)</f>
        <v>1848000</v>
      </c>
      <c r="AQ114" s="5">
        <f>求节点(T$6:T$44,$H$67:$H$105,$AA114)</f>
        <v>900600</v>
      </c>
      <c r="AR114" s="5">
        <f>求节点(U$6:U$44,$H$67:$H$105,$AA114)</f>
        <v>939504.15490335145</v>
      </c>
      <c r="AS114" s="5">
        <f>求节点(V$6:V$44,$H$67:$H$105,$AA114)</f>
        <v>961357.96688797162</v>
      </c>
      <c r="AT114" s="5">
        <f>求节点(W$6:W$44,$H$67:$H$105,$AA114)</f>
        <v>963600</v>
      </c>
      <c r="AU114" s="5">
        <f>求节点(X$6:X$44,$H$67:$H$105,$AA114)</f>
        <v>963600</v>
      </c>
      <c r="AV114" s="5">
        <f>求节点(T$6:T$44,$I$67:$I$105,$AA114)</f>
        <v>22322666.666666668</v>
      </c>
      <c r="AW114" s="5">
        <f>求节点(U$6:U$44,$I$67:$I$105,$AA114)</f>
        <v>24154475.04828804</v>
      </c>
      <c r="AX114" s="5">
        <f>求节点(V$6:V$44,$I$67:$I$105,$AA114)</f>
        <v>25211552.027988553</v>
      </c>
      <c r="AY114" s="5">
        <f>求节点(W$6:W$44,$I$67:$I$105,$AA114)</f>
        <v>25320000</v>
      </c>
      <c r="AZ114" s="5">
        <f>求节点(X$6:X$44,$I$67:$I$105,$AA114)</f>
        <v>25320000</v>
      </c>
      <c r="BA114" s="5">
        <f>求节点(T$6:T$44,$E$67:$E$105,$AA114)+求节点(T$6:T$44,$K$67:$K$105,$AA114)+求节点(T$67:T$105,$O$67:$O$105,$AA114)</f>
        <v>7626.6666666666661</v>
      </c>
      <c r="BB114" s="5">
        <f>求节点(U$6:U$44,$E$67:$E$105,$AA114)+求节点(U$6:U$44,$K$67:$K$105,$AA114)+求节点(U$67:U$105,$O$67:$O$105,$AA114)</f>
        <v>7926.3727488850782</v>
      </c>
      <c r="BC114" s="5">
        <f>求节点(V$6:V$44,$E$67:$E$105,$AA114)+求节点(V$6:V$44,$K$67:$K$105,$AA114)+求节点(V$67:V$105,$O$67:$O$105,$AA114)</f>
        <v>8094.7280412110413</v>
      </c>
      <c r="BD114" s="5">
        <f>求节点(W$6:W$44,$E$67:$E$105,$AA114)+求节点(W$6:W$44,$K$67:$K$105,$AA114)+求节点(W$67:W$105,$O$67:$O$105,$AA114)</f>
        <v>8112</v>
      </c>
      <c r="BE114" s="5">
        <f>求节点(X$6:X$44,$E$67:$E$105,$AA114)+求节点(X$6:X$44,$K$67:$K$105,$AA114)+求节点(X$67:X$105,$O$67:$O$105,$AA114)</f>
        <v>8112</v>
      </c>
      <c r="BF114" s="5">
        <f>求节点(T$6:T$44,$G$67:$G$105,$AA114)</f>
        <v>0</v>
      </c>
      <c r="BG114" s="5">
        <f>求节点(U$6:U$44,$G$67:$G$105,$AA114)</f>
        <v>0</v>
      </c>
      <c r="BH114" s="5">
        <f>求节点(V$6:V$44,$G$67:$G$105,$AA114)</f>
        <v>0</v>
      </c>
      <c r="BI114" s="5">
        <f>求节点(W$6:W$44,$G$67:$G$105,$AA114)</f>
        <v>0</v>
      </c>
      <c r="BJ114" s="5">
        <f>求节点(X$6:X$44,$G$67:$G$105,$AA114)</f>
        <v>0</v>
      </c>
      <c r="BK114" s="5">
        <f>求节点(T$6:T$44,$M$67:$M$105,$AA114)</f>
        <v>73.333333333333329</v>
      </c>
      <c r="BL114" s="5">
        <f>求节点(U$6:U$44,$M$67:$M$105,$AA114)</f>
        <v>76.215122585433448</v>
      </c>
      <c r="BM114" s="5">
        <f>求节点(V$6:V$44,$M$67:$M$105,$AA114)</f>
        <v>77.833923473183091</v>
      </c>
      <c r="BN114" s="5">
        <f>求节点(W$6:W$44,$M$67:$M$105,$AA114)</f>
        <v>78</v>
      </c>
      <c r="BO114" s="5">
        <f>求节点(X$6:X$44,$M$67:$M$105,$AA114)</f>
        <v>78</v>
      </c>
      <c r="BP114" s="5">
        <f>求节点(T$67:T$105,$L$67:$L$105,$AA114)</f>
        <v>0</v>
      </c>
      <c r="BQ114" s="5">
        <f>求节点(U$67:U$105,$L$67:$L$105,$AA114)</f>
        <v>0</v>
      </c>
      <c r="BR114" s="5">
        <f>求节点(V$67:V$105,$L$67:$L$105,$AA114)</f>
        <v>0</v>
      </c>
      <c r="BS114" s="5">
        <f>求节点(W$67:W$105,$L$67:$L$105,$AA114)</f>
        <v>0</v>
      </c>
      <c r="BT114" s="5">
        <f>求节点(X$67:X$105,$L$67:$L$105,$AA114)</f>
        <v>0</v>
      </c>
      <c r="BZ114" s="5">
        <v>110</v>
      </c>
      <c r="CA114" s="5">
        <f t="shared" si="60"/>
        <v>7626.6666666666661</v>
      </c>
      <c r="CB114" s="5">
        <f t="shared" si="61"/>
        <v>7926.3727488850782</v>
      </c>
      <c r="CC114" s="5">
        <f t="shared" si="62"/>
        <v>8094.7280412110413</v>
      </c>
      <c r="CD114" s="5">
        <f t="shared" si="63"/>
        <v>8112</v>
      </c>
      <c r="CE114" s="5">
        <f t="shared" si="64"/>
        <v>8112</v>
      </c>
      <c r="CF114" s="5">
        <f>(CA114-CA113)/节奏总纲!W113</f>
        <v>0.50553500064548296</v>
      </c>
      <c r="CI114" s="5">
        <v>110</v>
      </c>
      <c r="CJ114" s="5">
        <f t="shared" si="65"/>
        <v>17600</v>
      </c>
      <c r="CK114" s="5">
        <f t="shared" si="66"/>
        <v>18291.629420504029</v>
      </c>
      <c r="CL114" s="5">
        <f t="shared" si="67"/>
        <v>18680.141633563941</v>
      </c>
      <c r="CM114" s="5">
        <f t="shared" si="68"/>
        <v>18720</v>
      </c>
      <c r="CN114" s="5">
        <f t="shared" si="69"/>
        <v>18720</v>
      </c>
      <c r="CO114" s="5">
        <f>(CJ114-CJ113)/节奏总纲!W113</f>
        <v>1.1666192322588274</v>
      </c>
      <c r="CP114" s="5">
        <f t="shared" si="70"/>
        <v>1.6721542329043104</v>
      </c>
      <c r="CR114" s="5">
        <v>110</v>
      </c>
      <c r="CS114" s="5">
        <f t="shared" si="71"/>
        <v>0</v>
      </c>
      <c r="CT114" s="5">
        <f t="shared" si="72"/>
        <v>0</v>
      </c>
      <c r="CU114" s="5">
        <f t="shared" si="73"/>
        <v>0</v>
      </c>
      <c r="CV114" s="5">
        <f t="shared" si="74"/>
        <v>0</v>
      </c>
      <c r="CW114" s="5">
        <f t="shared" si="75"/>
        <v>0</v>
      </c>
      <c r="CX114" s="5">
        <f t="shared" si="76"/>
        <v>0</v>
      </c>
      <c r="CY114" s="5">
        <f t="shared" si="77"/>
        <v>0</v>
      </c>
      <c r="CZ114" s="5">
        <f t="shared" si="78"/>
        <v>0</v>
      </c>
      <c r="DA114" s="5">
        <f t="shared" si="79"/>
        <v>0</v>
      </c>
      <c r="DB114" s="5">
        <f t="shared" si="80"/>
        <v>0</v>
      </c>
    </row>
    <row r="115" spans="3:106" x14ac:dyDescent="0.15">
      <c r="AA115" s="5">
        <v>111</v>
      </c>
      <c r="AB115" s="5">
        <f>求节点(T$6:T$44,$C$67:$C$105,$AA115)</f>
        <v>0</v>
      </c>
      <c r="AC115" s="5">
        <f>求节点(U$6:U$44,$C$67:$C$105,$AA115)</f>
        <v>0</v>
      </c>
      <c r="AD115" s="5">
        <f>求节点(V$6:V$44,$C$67:$C$105,$AA115)</f>
        <v>0</v>
      </c>
      <c r="AE115" s="5">
        <f>求节点(W$6:W$44,$C$67:$C$105,$AA115)</f>
        <v>0</v>
      </c>
      <c r="AF115" s="5">
        <f>求节点(X$6:X$44,$C$67:$C$105,$AA115)</f>
        <v>0</v>
      </c>
      <c r="AG115" s="5">
        <f>求节点(T$6:T$44,$D$67:$D$105,$AA115)+求节点(T$67:T$105,$Q$67:$Q$105,$AA115)</f>
        <v>84333960</v>
      </c>
      <c r="AH115" s="5">
        <f>求节点(U$6:U$44,$D$67:$D$105,$AA115)+求节点(U$67:U$105,$Q$67:$Q$105,$AA115)</f>
        <v>97100377.52162078</v>
      </c>
      <c r="AI115" s="5">
        <f>求节点(V$6:V$44,$D$67:$D$105,$AA115)+求节点(V$67:V$105,$Q$67:$Q$105,$AA115)</f>
        <v>102728760</v>
      </c>
      <c r="AJ115" s="5">
        <f>求节点(W$6:W$44,$D$67:$D$105,$AA115)+求节点(W$67:W$105,$Q$67:$Q$105,$AA115)</f>
        <v>102728760</v>
      </c>
      <c r="AK115" s="5">
        <f>求节点(X$6:X$44,$D$67:$D$105,$AA115)+求节点(X$67:X$105,$Q$67:$Q$105,$AA115)</f>
        <v>102728760</v>
      </c>
      <c r="AL115" s="5">
        <f>求节点(T$6:T$44,$F$67:$F$105,$AA115)+求节点(T$67:T$105,$P$67:$P$105,$AA115)</f>
        <v>1706400</v>
      </c>
      <c r="AM115" s="5">
        <f>求节点(U$6:U$44,$F$67:$F$105,$AA115)+求节点(U$67:U$105,$P$67:$P$105,$AA115)</f>
        <v>1804673.681750359</v>
      </c>
      <c r="AN115" s="5">
        <f>求节点(V$6:V$44,$F$67:$F$105,$AA115)+求节点(V$67:V$105,$P$67:$P$105,$AA115)</f>
        <v>1848000</v>
      </c>
      <c r="AO115" s="5">
        <f>求节点(W$6:W$44,$F$67:$F$105,$AA115)+求节点(W$67:W$105,$P$67:$P$105,$AA115)</f>
        <v>1848000</v>
      </c>
      <c r="AP115" s="5">
        <f>求节点(X$6:X$44,$F$67:$F$105,$AA115)+求节点(X$67:X$105,$P$67:$P$105,$AA115)</f>
        <v>1848000</v>
      </c>
      <c r="AQ115" s="5">
        <f>求节点(T$6:T$44,$H$67:$H$105,$AA115)</f>
        <v>909600</v>
      </c>
      <c r="AR115" s="5">
        <f>求节点(U$6:U$44,$H$67:$H$105,$AA115)</f>
        <v>947077.25151496741</v>
      </c>
      <c r="AS115" s="5">
        <f>求节点(V$6:V$44,$H$67:$H$105,$AA115)</f>
        <v>963600</v>
      </c>
      <c r="AT115" s="5">
        <f>求节点(W$6:W$44,$H$67:$H$105,$AA115)</f>
        <v>963600</v>
      </c>
      <c r="AU115" s="5">
        <f>求节点(X$6:X$44,$H$67:$H$105,$AA115)</f>
        <v>963600</v>
      </c>
      <c r="AV115" s="5">
        <f>求节点(T$6:T$44,$I$67:$I$105,$AA115)</f>
        <v>22738000</v>
      </c>
      <c r="AW115" s="5">
        <f>求节点(U$6:U$44,$I$67:$I$105,$AA115)</f>
        <v>24520788.536242496</v>
      </c>
      <c r="AX115" s="5">
        <f>求节点(V$6:V$44,$I$67:$I$105,$AA115)</f>
        <v>25320000</v>
      </c>
      <c r="AY115" s="5">
        <f>求节点(W$6:W$44,$I$67:$I$105,$AA115)</f>
        <v>25320000</v>
      </c>
      <c r="AZ115" s="5">
        <f>求节点(X$6:X$44,$I$67:$I$105,$AA115)</f>
        <v>25320000</v>
      </c>
      <c r="BA115" s="5">
        <f>求节点(T$6:T$44,$E$67:$E$105,$AA115)+求节点(T$6:T$44,$K$67:$K$105,$AA115)+求节点(T$67:T$105,$O$67:$O$105,$AA115)</f>
        <v>7696</v>
      </c>
      <c r="BB115" s="5">
        <f>求节点(U$6:U$44,$E$67:$E$105,$AA115)+求节点(U$6:U$44,$K$67:$K$105,$AA115)+求节点(U$67:U$105,$O$67:$O$105,$AA115)</f>
        <v>7984.7136413004901</v>
      </c>
      <c r="BC115" s="5">
        <f>求节点(V$6:V$44,$E$67:$E$105,$AA115)+求节点(V$6:V$44,$K$67:$K$105,$AA115)+求节点(V$67:V$105,$O$67:$O$105,$AA115)</f>
        <v>8112</v>
      </c>
      <c r="BD115" s="5">
        <f>求节点(W$6:W$44,$E$67:$E$105,$AA115)+求节点(W$6:W$44,$K$67:$K$105,$AA115)+求节点(W$67:W$105,$O$67:$O$105,$AA115)</f>
        <v>8112</v>
      </c>
      <c r="BE115" s="5">
        <f>求节点(X$6:X$44,$E$67:$E$105,$AA115)+求节点(X$6:X$44,$K$67:$K$105,$AA115)+求节点(X$67:X$105,$O$67:$O$105,$AA115)</f>
        <v>8112</v>
      </c>
      <c r="BF115" s="5">
        <f>求节点(T$6:T$44,$G$67:$G$105,$AA115)</f>
        <v>0</v>
      </c>
      <c r="BG115" s="5">
        <f>求节点(U$6:U$44,$G$67:$G$105,$AA115)</f>
        <v>0</v>
      </c>
      <c r="BH115" s="5">
        <f>求节点(V$6:V$44,$G$67:$G$105,$AA115)</f>
        <v>0</v>
      </c>
      <c r="BI115" s="5">
        <f>求节点(W$6:W$44,$G$67:$G$105,$AA115)</f>
        <v>0</v>
      </c>
      <c r="BJ115" s="5">
        <f>求节点(X$6:X$44,$G$67:$G$105,$AA115)</f>
        <v>0</v>
      </c>
      <c r="BK115" s="5">
        <f>求节点(T$6:T$44,$M$67:$M$105,$AA115)</f>
        <v>74</v>
      </c>
      <c r="BL115" s="5">
        <f>求节点(U$6:U$44,$M$67:$M$105,$AA115)</f>
        <v>76.776092704812399</v>
      </c>
      <c r="BM115" s="5">
        <f>求节点(V$6:V$44,$M$67:$M$105,$AA115)</f>
        <v>78</v>
      </c>
      <c r="BN115" s="5">
        <f>求节点(W$6:W$44,$M$67:$M$105,$AA115)</f>
        <v>78</v>
      </c>
      <c r="BO115" s="5">
        <f>求节点(X$6:X$44,$M$67:$M$105,$AA115)</f>
        <v>78</v>
      </c>
      <c r="BP115" s="5">
        <f>求节点(T$67:T$105,$L$67:$L$105,$AA115)</f>
        <v>0</v>
      </c>
      <c r="BQ115" s="5">
        <f>求节点(U$67:U$105,$L$67:$L$105,$AA115)</f>
        <v>0</v>
      </c>
      <c r="BR115" s="5">
        <f>求节点(V$67:V$105,$L$67:$L$105,$AA115)</f>
        <v>0</v>
      </c>
      <c r="BS115" s="5">
        <f>求节点(W$67:W$105,$L$67:$L$105,$AA115)</f>
        <v>0</v>
      </c>
      <c r="BT115" s="5">
        <f>求节点(X$67:X$105,$L$67:$L$105,$AA115)</f>
        <v>0</v>
      </c>
      <c r="BZ115" s="5">
        <v>111</v>
      </c>
      <c r="CA115" s="5">
        <f t="shared" si="60"/>
        <v>7696</v>
      </c>
      <c r="CB115" s="5">
        <f t="shared" si="61"/>
        <v>7984.7136413004901</v>
      </c>
      <c r="CC115" s="5">
        <f t="shared" si="62"/>
        <v>8112</v>
      </c>
      <c r="CD115" s="5">
        <f t="shared" si="63"/>
        <v>8112</v>
      </c>
      <c r="CE115" s="5">
        <f t="shared" si="64"/>
        <v>8112</v>
      </c>
      <c r="CF115" s="5">
        <f>(CA115-CA114)/节奏总纲!W114</f>
        <v>0.47168083397883454</v>
      </c>
      <c r="CI115" s="5">
        <v>111</v>
      </c>
      <c r="CJ115" s="5">
        <f t="shared" si="65"/>
        <v>17760</v>
      </c>
      <c r="CK115" s="5">
        <f t="shared" si="66"/>
        <v>18426.262249154977</v>
      </c>
      <c r="CL115" s="5">
        <f t="shared" si="67"/>
        <v>18720</v>
      </c>
      <c r="CM115" s="5">
        <f t="shared" si="68"/>
        <v>18720</v>
      </c>
      <c r="CN115" s="5">
        <f t="shared" si="69"/>
        <v>18720</v>
      </c>
      <c r="CO115" s="5">
        <f>(CJ115-CJ114)/节奏总纲!W114</f>
        <v>1.0884942322588393</v>
      </c>
      <c r="CP115" s="5">
        <f t="shared" si="70"/>
        <v>1.5601750662376739</v>
      </c>
      <c r="CR115" s="5">
        <v>111</v>
      </c>
      <c r="CS115" s="5">
        <f t="shared" si="71"/>
        <v>0</v>
      </c>
      <c r="CT115" s="5">
        <f t="shared" si="72"/>
        <v>0</v>
      </c>
      <c r="CU115" s="5">
        <f t="shared" si="73"/>
        <v>0</v>
      </c>
      <c r="CV115" s="5">
        <f t="shared" si="74"/>
        <v>0</v>
      </c>
      <c r="CW115" s="5">
        <f t="shared" si="75"/>
        <v>0</v>
      </c>
      <c r="CX115" s="5">
        <f t="shared" si="76"/>
        <v>0</v>
      </c>
      <c r="CY115" s="5">
        <f t="shared" si="77"/>
        <v>0</v>
      </c>
      <c r="CZ115" s="5">
        <f t="shared" si="78"/>
        <v>0</v>
      </c>
      <c r="DA115" s="5">
        <f t="shared" si="79"/>
        <v>0</v>
      </c>
      <c r="DB115" s="5">
        <f t="shared" si="80"/>
        <v>0</v>
      </c>
    </row>
    <row r="116" spans="3:106" x14ac:dyDescent="0.15">
      <c r="AA116" s="5">
        <v>112</v>
      </c>
      <c r="AB116" s="5">
        <f>求节点(T$6:T$44,$C$67:$C$105,$AA116)</f>
        <v>0</v>
      </c>
      <c r="AC116" s="5">
        <f>求节点(U$6:U$44,$C$67:$C$105,$AA116)</f>
        <v>0</v>
      </c>
      <c r="AD116" s="5">
        <f>求节点(V$6:V$44,$C$67:$C$105,$AA116)</f>
        <v>0</v>
      </c>
      <c r="AE116" s="5">
        <f>求节点(W$6:W$44,$C$67:$C$105,$AA116)</f>
        <v>0</v>
      </c>
      <c r="AF116" s="5">
        <f>求节点(X$6:X$44,$C$67:$C$105,$AA116)</f>
        <v>0</v>
      </c>
      <c r="AG116" s="5">
        <f>求节点(T$6:T$44,$D$67:$D$105,$AA116)+求节点(T$67:T$105,$Q$67:$Q$105,$AA116)</f>
        <v>87399760</v>
      </c>
      <c r="AH116" s="5">
        <f>求节点(U$6:U$44,$D$67:$D$105,$AA116)+求节点(U$67:U$105,$Q$67:$Q$105,$AA116)</f>
        <v>99680110.809608802</v>
      </c>
      <c r="AI116" s="5">
        <f>求节点(V$6:V$44,$D$67:$D$105,$AA116)+求节点(V$67:V$105,$Q$67:$Q$105,$AA116)</f>
        <v>102728760</v>
      </c>
      <c r="AJ116" s="5">
        <f>求节点(W$6:W$44,$D$67:$D$105,$AA116)+求节点(W$67:W$105,$Q$67:$Q$105,$AA116)</f>
        <v>102728760</v>
      </c>
      <c r="AK116" s="5">
        <f>求节点(X$6:X$44,$D$67:$D$105,$AA116)+求节点(X$67:X$105,$Q$67:$Q$105,$AA116)</f>
        <v>102728760</v>
      </c>
      <c r="AL116" s="5">
        <f>求节点(T$6:T$44,$F$67:$F$105,$AA116)+求节点(T$67:T$105,$P$67:$P$105,$AA116)</f>
        <v>1730000</v>
      </c>
      <c r="AM116" s="5">
        <f>求节点(U$6:U$44,$F$67:$F$105,$AA116)+求节点(U$67:U$105,$P$67:$P$105,$AA116)</f>
        <v>1824532.023976374</v>
      </c>
      <c r="AN116" s="5">
        <f>求节点(V$6:V$44,$F$67:$F$105,$AA116)+求节点(V$67:V$105,$P$67:$P$105,$AA116)</f>
        <v>1848000</v>
      </c>
      <c r="AO116" s="5">
        <f>求节点(W$6:W$44,$F$67:$F$105,$AA116)+求节点(W$67:W$105,$P$67:$P$105,$AA116)</f>
        <v>1848000</v>
      </c>
      <c r="AP116" s="5">
        <f>求节点(X$6:X$44,$F$67:$F$105,$AA116)+求节点(X$67:X$105,$P$67:$P$105,$AA116)</f>
        <v>1848000</v>
      </c>
      <c r="AQ116" s="5">
        <f>求节点(T$6:T$44,$H$67:$H$105,$AA116)</f>
        <v>918600</v>
      </c>
      <c r="AR116" s="5">
        <f>求节点(U$6:U$44,$H$67:$H$105,$AA116)</f>
        <v>954650.34812658338</v>
      </c>
      <c r="AS116" s="5">
        <f>求节点(V$6:V$44,$H$67:$H$105,$AA116)</f>
        <v>963600</v>
      </c>
      <c r="AT116" s="5">
        <f>求节点(W$6:W$44,$H$67:$H$105,$AA116)</f>
        <v>963600</v>
      </c>
      <c r="AU116" s="5">
        <f>求节点(X$6:X$44,$H$67:$H$105,$AA116)</f>
        <v>963600</v>
      </c>
      <c r="AV116" s="5">
        <f>求节点(T$6:T$44,$I$67:$I$105,$AA116)</f>
        <v>23163333.333333332</v>
      </c>
      <c r="AW116" s="5">
        <f>求节点(U$6:U$44,$I$67:$I$105,$AA116)</f>
        <v>24887102.024196956</v>
      </c>
      <c r="AX116" s="5">
        <f>求节点(V$6:V$44,$I$67:$I$105,$AA116)</f>
        <v>25320000</v>
      </c>
      <c r="AY116" s="5">
        <f>求节点(W$6:W$44,$I$67:$I$105,$AA116)</f>
        <v>25320000</v>
      </c>
      <c r="AZ116" s="5">
        <f>求节点(X$6:X$44,$I$67:$I$105,$AA116)</f>
        <v>25320000</v>
      </c>
      <c r="BA116" s="5">
        <f>求节点(T$6:T$44,$E$67:$E$105,$AA116)+求节点(T$6:T$44,$K$67:$K$105,$AA116)+求节点(T$67:T$105,$O$67:$O$105,$AA116)</f>
        <v>7765.3333333333339</v>
      </c>
      <c r="BB116" s="5">
        <f>求节点(U$6:U$44,$E$67:$E$105,$AA116)+求节点(U$6:U$44,$K$67:$K$105,$AA116)+求节点(U$67:U$105,$O$67:$O$105,$AA116)</f>
        <v>8043.0545337159019</v>
      </c>
      <c r="BC116" s="5">
        <f>求节点(V$6:V$44,$E$67:$E$105,$AA116)+求节点(V$6:V$44,$K$67:$K$105,$AA116)+求节点(V$67:V$105,$O$67:$O$105,$AA116)</f>
        <v>8112</v>
      </c>
      <c r="BD116" s="5">
        <f>求节点(W$6:W$44,$E$67:$E$105,$AA116)+求节点(W$6:W$44,$K$67:$K$105,$AA116)+求节点(W$67:W$105,$O$67:$O$105,$AA116)</f>
        <v>8112</v>
      </c>
      <c r="BE116" s="5">
        <f>求节点(X$6:X$44,$E$67:$E$105,$AA116)+求节点(X$6:X$44,$K$67:$K$105,$AA116)+求节点(X$67:X$105,$O$67:$O$105,$AA116)</f>
        <v>8112</v>
      </c>
      <c r="BF116" s="5">
        <f>求节点(T$6:T$44,$G$67:$G$105,$AA116)</f>
        <v>0</v>
      </c>
      <c r="BG116" s="5">
        <f>求节点(U$6:U$44,$G$67:$G$105,$AA116)</f>
        <v>0</v>
      </c>
      <c r="BH116" s="5">
        <f>求节点(V$6:V$44,$G$67:$G$105,$AA116)</f>
        <v>0</v>
      </c>
      <c r="BI116" s="5">
        <f>求节点(W$6:W$44,$G$67:$G$105,$AA116)</f>
        <v>0</v>
      </c>
      <c r="BJ116" s="5">
        <f>求节点(X$6:X$44,$G$67:$G$105,$AA116)</f>
        <v>0</v>
      </c>
      <c r="BK116" s="5">
        <f>求节点(T$6:T$44,$M$67:$M$105,$AA116)</f>
        <v>74.666666666666671</v>
      </c>
      <c r="BL116" s="5">
        <f>求节点(U$6:U$44,$M$67:$M$105,$AA116)</f>
        <v>77.337062824191364</v>
      </c>
      <c r="BM116" s="5">
        <f>求节点(V$6:V$44,$M$67:$M$105,$AA116)</f>
        <v>78</v>
      </c>
      <c r="BN116" s="5">
        <f>求节点(W$6:W$44,$M$67:$M$105,$AA116)</f>
        <v>78</v>
      </c>
      <c r="BO116" s="5">
        <f>求节点(X$6:X$44,$M$67:$M$105,$AA116)</f>
        <v>78</v>
      </c>
      <c r="BP116" s="5">
        <f>求节点(T$67:T$105,$L$67:$L$105,$AA116)</f>
        <v>0</v>
      </c>
      <c r="BQ116" s="5">
        <f>求节点(U$67:U$105,$L$67:$L$105,$AA116)</f>
        <v>0</v>
      </c>
      <c r="BR116" s="5">
        <f>求节点(V$67:V$105,$L$67:$L$105,$AA116)</f>
        <v>0</v>
      </c>
      <c r="BS116" s="5">
        <f>求节点(W$67:W$105,$L$67:$L$105,$AA116)</f>
        <v>0</v>
      </c>
      <c r="BT116" s="5">
        <f>求节点(X$67:X$105,$L$67:$L$105,$AA116)</f>
        <v>0</v>
      </c>
      <c r="BZ116" s="5">
        <v>112</v>
      </c>
      <c r="CA116" s="5">
        <f t="shared" si="60"/>
        <v>7765.3333333333339</v>
      </c>
      <c r="CB116" s="5">
        <f t="shared" si="61"/>
        <v>8043.0545337159019</v>
      </c>
      <c r="CC116" s="5">
        <f t="shared" si="62"/>
        <v>8112</v>
      </c>
      <c r="CD116" s="5">
        <f t="shared" si="63"/>
        <v>8112</v>
      </c>
      <c r="CE116" s="5">
        <f t="shared" si="64"/>
        <v>8112</v>
      </c>
      <c r="CF116" s="5">
        <f>(CA116-CA115)/节奏总纲!W115</f>
        <v>0.44009377957784312</v>
      </c>
      <c r="CI116" s="5">
        <v>112</v>
      </c>
      <c r="CJ116" s="5">
        <f t="shared" si="65"/>
        <v>17920</v>
      </c>
      <c r="CK116" s="5">
        <f t="shared" si="66"/>
        <v>18560.895077805926</v>
      </c>
      <c r="CL116" s="5">
        <f t="shared" si="67"/>
        <v>18720</v>
      </c>
      <c r="CM116" s="5">
        <f t="shared" si="68"/>
        <v>18720</v>
      </c>
      <c r="CN116" s="5">
        <f t="shared" si="69"/>
        <v>18720</v>
      </c>
      <c r="CO116" s="5">
        <f>(CJ116-CJ115)/节奏总纲!W115</f>
        <v>1.0156010297950138</v>
      </c>
      <c r="CP116" s="5">
        <f t="shared" si="70"/>
        <v>1.455694809372857</v>
      </c>
      <c r="CR116" s="5">
        <v>112</v>
      </c>
      <c r="CS116" s="5">
        <f t="shared" si="71"/>
        <v>0</v>
      </c>
      <c r="CT116" s="5">
        <f t="shared" si="72"/>
        <v>0</v>
      </c>
      <c r="CU116" s="5">
        <f t="shared" si="73"/>
        <v>0</v>
      </c>
      <c r="CV116" s="5">
        <f t="shared" si="74"/>
        <v>0</v>
      </c>
      <c r="CW116" s="5">
        <f t="shared" si="75"/>
        <v>0</v>
      </c>
      <c r="CX116" s="5">
        <f t="shared" si="76"/>
        <v>0</v>
      </c>
      <c r="CY116" s="5">
        <f t="shared" si="77"/>
        <v>0</v>
      </c>
      <c r="CZ116" s="5">
        <f t="shared" si="78"/>
        <v>0</v>
      </c>
      <c r="DA116" s="5">
        <f t="shared" si="79"/>
        <v>0</v>
      </c>
      <c r="DB116" s="5">
        <f t="shared" si="80"/>
        <v>0</v>
      </c>
    </row>
    <row r="117" spans="3:106" x14ac:dyDescent="0.15">
      <c r="AA117" s="5">
        <v>113</v>
      </c>
      <c r="AB117" s="5">
        <f>求节点(T$6:T$44,$C$67:$C$105,$AA117)</f>
        <v>0</v>
      </c>
      <c r="AC117" s="5">
        <f>求节点(U$6:U$44,$C$67:$C$105,$AA117)</f>
        <v>0</v>
      </c>
      <c r="AD117" s="5">
        <f>求节点(V$6:V$44,$C$67:$C$105,$AA117)</f>
        <v>0</v>
      </c>
      <c r="AE117" s="5">
        <f>求节点(W$6:W$44,$C$67:$C$105,$AA117)</f>
        <v>0</v>
      </c>
      <c r="AF117" s="5">
        <f>求节点(X$6:X$44,$C$67:$C$105,$AA117)</f>
        <v>0</v>
      </c>
      <c r="AG117" s="5">
        <f>求节点(T$6:T$44,$D$67:$D$105,$AA117)+求节点(T$67:T$105,$Q$67:$Q$105,$AA117)</f>
        <v>90465560</v>
      </c>
      <c r="AH117" s="5">
        <f>求节点(U$6:U$44,$D$67:$D$105,$AA117)+求节点(U$67:U$105,$Q$67:$Q$105,$AA117)</f>
        <v>102259844.09759681</v>
      </c>
      <c r="AI117" s="5">
        <f>求节点(V$6:V$44,$D$67:$D$105,$AA117)+求节点(V$67:V$105,$Q$67:$Q$105,$AA117)</f>
        <v>102728760</v>
      </c>
      <c r="AJ117" s="5">
        <f>求节点(W$6:W$44,$D$67:$D$105,$AA117)+求节点(W$67:W$105,$Q$67:$Q$105,$AA117)</f>
        <v>102728760</v>
      </c>
      <c r="AK117" s="5">
        <f>求节点(X$6:X$44,$D$67:$D$105,$AA117)+求节点(X$67:X$105,$Q$67:$Q$105,$AA117)</f>
        <v>102728760</v>
      </c>
      <c r="AL117" s="5">
        <f>求节点(T$6:T$44,$F$67:$F$105,$AA117)+求节点(T$67:T$105,$P$67:$P$105,$AA117)</f>
        <v>1753600</v>
      </c>
      <c r="AM117" s="5">
        <f>求节点(U$6:U$44,$F$67:$F$105,$AA117)+求节点(U$67:U$105,$P$67:$P$105,$AA117)</f>
        <v>1844390.3662023891</v>
      </c>
      <c r="AN117" s="5">
        <f>求节点(V$6:V$44,$F$67:$F$105,$AA117)+求节点(V$67:V$105,$P$67:$P$105,$AA117)</f>
        <v>1848000</v>
      </c>
      <c r="AO117" s="5">
        <f>求节点(W$6:W$44,$F$67:$F$105,$AA117)+求节点(W$67:W$105,$P$67:$P$105,$AA117)</f>
        <v>1848000</v>
      </c>
      <c r="AP117" s="5">
        <f>求节点(X$6:X$44,$F$67:$F$105,$AA117)+求节点(X$67:X$105,$P$67:$P$105,$AA117)</f>
        <v>1848000</v>
      </c>
      <c r="AQ117" s="5">
        <f>求节点(T$6:T$44,$H$67:$H$105,$AA117)</f>
        <v>927600</v>
      </c>
      <c r="AR117" s="5">
        <f>求节点(U$6:U$44,$H$67:$H$105,$AA117)</f>
        <v>962223.44473819924</v>
      </c>
      <c r="AS117" s="5">
        <f>求节点(V$6:V$44,$H$67:$H$105,$AA117)</f>
        <v>963600</v>
      </c>
      <c r="AT117" s="5">
        <f>求节点(W$6:W$44,$H$67:$H$105,$AA117)</f>
        <v>963600</v>
      </c>
      <c r="AU117" s="5">
        <f>求节点(X$6:X$44,$H$67:$H$105,$AA117)</f>
        <v>963600</v>
      </c>
      <c r="AV117" s="5">
        <f>求节点(T$6:T$44,$I$67:$I$105,$AA117)</f>
        <v>23588666.666666668</v>
      </c>
      <c r="AW117" s="5">
        <f>求节点(U$6:U$44,$I$67:$I$105,$AA117)</f>
        <v>25253415.512151416</v>
      </c>
      <c r="AX117" s="5">
        <f>求节点(V$6:V$44,$I$67:$I$105,$AA117)</f>
        <v>25320000</v>
      </c>
      <c r="AY117" s="5">
        <f>求节点(W$6:W$44,$I$67:$I$105,$AA117)</f>
        <v>25320000</v>
      </c>
      <c r="AZ117" s="5">
        <f>求节点(X$6:X$44,$I$67:$I$105,$AA117)</f>
        <v>25320000</v>
      </c>
      <c r="BA117" s="5">
        <f>求节点(T$6:T$44,$E$67:$E$105,$AA117)+求节点(T$6:T$44,$K$67:$K$105,$AA117)+求节点(T$67:T$105,$O$67:$O$105,$AA117)</f>
        <v>7834.6666666666661</v>
      </c>
      <c r="BB117" s="5">
        <f>求节点(U$6:U$44,$E$67:$E$105,$AA117)+求节点(U$6:U$44,$K$67:$K$105,$AA117)+求节点(U$67:U$105,$O$67:$O$105,$AA117)</f>
        <v>8101.395426131312</v>
      </c>
      <c r="BC117" s="5">
        <f>求节点(V$6:V$44,$E$67:$E$105,$AA117)+求节点(V$6:V$44,$K$67:$K$105,$AA117)+求节点(V$67:V$105,$O$67:$O$105,$AA117)</f>
        <v>8112</v>
      </c>
      <c r="BD117" s="5">
        <f>求节点(W$6:W$44,$E$67:$E$105,$AA117)+求节点(W$6:W$44,$K$67:$K$105,$AA117)+求节点(W$67:W$105,$O$67:$O$105,$AA117)</f>
        <v>8112</v>
      </c>
      <c r="BE117" s="5">
        <f>求节点(X$6:X$44,$E$67:$E$105,$AA117)+求节点(X$6:X$44,$K$67:$K$105,$AA117)+求节点(X$67:X$105,$O$67:$O$105,$AA117)</f>
        <v>8112</v>
      </c>
      <c r="BF117" s="5">
        <f>求节点(T$6:T$44,$G$67:$G$105,$AA117)</f>
        <v>0</v>
      </c>
      <c r="BG117" s="5">
        <f>求节点(U$6:U$44,$G$67:$G$105,$AA117)</f>
        <v>0</v>
      </c>
      <c r="BH117" s="5">
        <f>求节点(V$6:V$44,$G$67:$G$105,$AA117)</f>
        <v>0</v>
      </c>
      <c r="BI117" s="5">
        <f>求节点(W$6:W$44,$G$67:$G$105,$AA117)</f>
        <v>0</v>
      </c>
      <c r="BJ117" s="5">
        <f>求节点(X$6:X$44,$G$67:$G$105,$AA117)</f>
        <v>0</v>
      </c>
      <c r="BK117" s="5">
        <f>求节点(T$6:T$44,$M$67:$M$105,$AA117)</f>
        <v>75.333333333333329</v>
      </c>
      <c r="BL117" s="5">
        <f>求节点(U$6:U$44,$M$67:$M$105,$AA117)</f>
        <v>77.898032943570314</v>
      </c>
      <c r="BM117" s="5">
        <f>求节点(V$6:V$44,$M$67:$M$105,$AA117)</f>
        <v>78</v>
      </c>
      <c r="BN117" s="5">
        <f>求节点(W$6:W$44,$M$67:$M$105,$AA117)</f>
        <v>78</v>
      </c>
      <c r="BO117" s="5">
        <f>求节点(X$6:X$44,$M$67:$M$105,$AA117)</f>
        <v>78</v>
      </c>
      <c r="BP117" s="5">
        <f>求节点(T$67:T$105,$L$67:$L$105,$AA117)</f>
        <v>0</v>
      </c>
      <c r="BQ117" s="5">
        <f>求节点(U$67:U$105,$L$67:$L$105,$AA117)</f>
        <v>0</v>
      </c>
      <c r="BR117" s="5">
        <f>求节点(V$67:V$105,$L$67:$L$105,$AA117)</f>
        <v>0</v>
      </c>
      <c r="BS117" s="5">
        <f>求节点(W$67:W$105,$L$67:$L$105,$AA117)</f>
        <v>0</v>
      </c>
      <c r="BT117" s="5">
        <f>求节点(X$67:X$105,$L$67:$L$105,$AA117)</f>
        <v>0</v>
      </c>
      <c r="BZ117" s="5">
        <v>113</v>
      </c>
      <c r="CA117" s="5">
        <f t="shared" si="60"/>
        <v>7834.6666666666661</v>
      </c>
      <c r="CB117" s="5">
        <f t="shared" si="61"/>
        <v>8101.395426131312</v>
      </c>
      <c r="CC117" s="5">
        <f t="shared" si="62"/>
        <v>8112</v>
      </c>
      <c r="CD117" s="5">
        <f t="shared" si="63"/>
        <v>8112</v>
      </c>
      <c r="CE117" s="5">
        <f t="shared" si="64"/>
        <v>8112</v>
      </c>
      <c r="CF117" s="5">
        <f>(CA117-CA116)/节奏总纲!W116</f>
        <v>0.4106220157162388</v>
      </c>
      <c r="CI117" s="5">
        <v>113</v>
      </c>
      <c r="CJ117" s="5">
        <f t="shared" si="65"/>
        <v>18080</v>
      </c>
      <c r="CK117" s="5">
        <f t="shared" si="66"/>
        <v>18695.527906456875</v>
      </c>
      <c r="CL117" s="5">
        <f t="shared" si="67"/>
        <v>18720</v>
      </c>
      <c r="CM117" s="5">
        <f t="shared" si="68"/>
        <v>18720</v>
      </c>
      <c r="CN117" s="5">
        <f t="shared" si="69"/>
        <v>18720</v>
      </c>
      <c r="CO117" s="5">
        <f>(CJ117-CJ116)/节奏总纲!W116</f>
        <v>0.94758926703749069</v>
      </c>
      <c r="CP117" s="5">
        <f t="shared" si="70"/>
        <v>1.3582112827537296</v>
      </c>
      <c r="CR117" s="5">
        <v>113</v>
      </c>
      <c r="CS117" s="5">
        <f t="shared" si="71"/>
        <v>0</v>
      </c>
      <c r="CT117" s="5">
        <f t="shared" si="72"/>
        <v>0</v>
      </c>
      <c r="CU117" s="5">
        <f t="shared" si="73"/>
        <v>0</v>
      </c>
      <c r="CV117" s="5">
        <f t="shared" si="74"/>
        <v>0</v>
      </c>
      <c r="CW117" s="5">
        <f t="shared" si="75"/>
        <v>0</v>
      </c>
      <c r="CX117" s="5">
        <f t="shared" si="76"/>
        <v>0</v>
      </c>
      <c r="CY117" s="5">
        <f t="shared" si="77"/>
        <v>0</v>
      </c>
      <c r="CZ117" s="5">
        <f t="shared" si="78"/>
        <v>0</v>
      </c>
      <c r="DA117" s="5">
        <f t="shared" si="79"/>
        <v>0</v>
      </c>
      <c r="DB117" s="5">
        <f t="shared" si="80"/>
        <v>0</v>
      </c>
    </row>
    <row r="118" spans="3:106" x14ac:dyDescent="0.15">
      <c r="AA118" s="5">
        <v>114</v>
      </c>
      <c r="AB118" s="5">
        <f>求节点(T$6:T$44,$C$67:$C$105,$AA118)</f>
        <v>0</v>
      </c>
      <c r="AC118" s="5">
        <f>求节点(U$6:U$44,$C$67:$C$105,$AA118)</f>
        <v>0</v>
      </c>
      <c r="AD118" s="5">
        <f>求节点(V$6:V$44,$C$67:$C$105,$AA118)</f>
        <v>0</v>
      </c>
      <c r="AE118" s="5">
        <f>求节点(W$6:W$44,$C$67:$C$105,$AA118)</f>
        <v>0</v>
      </c>
      <c r="AF118" s="5">
        <f>求节点(X$6:X$44,$C$67:$C$105,$AA118)</f>
        <v>0</v>
      </c>
      <c r="AG118" s="5">
        <f>求节点(T$6:T$44,$D$67:$D$105,$AA118)+求节点(T$67:T$105,$Q$67:$Q$105,$AA118)</f>
        <v>93531360</v>
      </c>
      <c r="AH118" s="5">
        <f>求节点(U$6:U$44,$D$67:$D$105,$AA118)+求节点(U$67:U$105,$Q$67:$Q$105,$AA118)</f>
        <v>102728760</v>
      </c>
      <c r="AI118" s="5">
        <f>求节点(V$6:V$44,$D$67:$D$105,$AA118)+求节点(V$67:V$105,$Q$67:$Q$105,$AA118)</f>
        <v>102728760</v>
      </c>
      <c r="AJ118" s="5">
        <f>求节点(W$6:W$44,$D$67:$D$105,$AA118)+求节点(W$67:W$105,$Q$67:$Q$105,$AA118)</f>
        <v>102728760</v>
      </c>
      <c r="AK118" s="5">
        <f>求节点(X$6:X$44,$D$67:$D$105,$AA118)+求节点(X$67:X$105,$Q$67:$Q$105,$AA118)</f>
        <v>102728760</v>
      </c>
      <c r="AL118" s="5">
        <f>求节点(T$6:T$44,$F$67:$F$105,$AA118)+求节点(T$67:T$105,$P$67:$P$105,$AA118)</f>
        <v>1777200</v>
      </c>
      <c r="AM118" s="5">
        <f>求节点(U$6:U$44,$F$67:$F$105,$AA118)+求节点(U$67:U$105,$P$67:$P$105,$AA118)</f>
        <v>1848000</v>
      </c>
      <c r="AN118" s="5">
        <f>求节点(V$6:V$44,$F$67:$F$105,$AA118)+求节点(V$67:V$105,$P$67:$P$105,$AA118)</f>
        <v>1848000</v>
      </c>
      <c r="AO118" s="5">
        <f>求节点(W$6:W$44,$F$67:$F$105,$AA118)+求节点(W$67:W$105,$P$67:$P$105,$AA118)</f>
        <v>1848000</v>
      </c>
      <c r="AP118" s="5">
        <f>求节点(X$6:X$44,$F$67:$F$105,$AA118)+求节点(X$67:X$105,$P$67:$P$105,$AA118)</f>
        <v>1848000</v>
      </c>
      <c r="AQ118" s="5">
        <f>求节点(T$6:T$44,$H$67:$H$105,$AA118)</f>
        <v>936600</v>
      </c>
      <c r="AR118" s="5">
        <f>求节点(U$6:U$44,$H$67:$H$105,$AA118)</f>
        <v>963600</v>
      </c>
      <c r="AS118" s="5">
        <f>求节点(V$6:V$44,$H$67:$H$105,$AA118)</f>
        <v>963600</v>
      </c>
      <c r="AT118" s="5">
        <f>求节点(W$6:W$44,$H$67:$H$105,$AA118)</f>
        <v>963600</v>
      </c>
      <c r="AU118" s="5">
        <f>求节点(X$6:X$44,$H$67:$H$105,$AA118)</f>
        <v>963600</v>
      </c>
      <c r="AV118" s="5">
        <f>求节点(T$6:T$44,$I$67:$I$105,$AA118)</f>
        <v>24014000</v>
      </c>
      <c r="AW118" s="5">
        <f>求节点(U$6:U$44,$I$67:$I$105,$AA118)</f>
        <v>25320000</v>
      </c>
      <c r="AX118" s="5">
        <f>求节点(V$6:V$44,$I$67:$I$105,$AA118)</f>
        <v>25320000</v>
      </c>
      <c r="AY118" s="5">
        <f>求节点(W$6:W$44,$I$67:$I$105,$AA118)</f>
        <v>25320000</v>
      </c>
      <c r="AZ118" s="5">
        <f>求节点(X$6:X$44,$I$67:$I$105,$AA118)</f>
        <v>25320000</v>
      </c>
      <c r="BA118" s="5">
        <f>求节点(T$6:T$44,$E$67:$E$105,$AA118)+求节点(T$6:T$44,$K$67:$K$105,$AA118)+求节点(T$67:T$105,$O$67:$O$105,$AA118)</f>
        <v>7904</v>
      </c>
      <c r="BB118" s="5">
        <f>求节点(U$6:U$44,$E$67:$E$105,$AA118)+求节点(U$6:U$44,$K$67:$K$105,$AA118)+求节点(U$67:U$105,$O$67:$O$105,$AA118)</f>
        <v>8112</v>
      </c>
      <c r="BC118" s="5">
        <f>求节点(V$6:V$44,$E$67:$E$105,$AA118)+求节点(V$6:V$44,$K$67:$K$105,$AA118)+求节点(V$67:V$105,$O$67:$O$105,$AA118)</f>
        <v>8112</v>
      </c>
      <c r="BD118" s="5">
        <f>求节点(W$6:W$44,$E$67:$E$105,$AA118)+求节点(W$6:W$44,$K$67:$K$105,$AA118)+求节点(W$67:W$105,$O$67:$O$105,$AA118)</f>
        <v>8112</v>
      </c>
      <c r="BE118" s="5">
        <f>求节点(X$6:X$44,$E$67:$E$105,$AA118)+求节点(X$6:X$44,$K$67:$K$105,$AA118)+求节点(X$67:X$105,$O$67:$O$105,$AA118)</f>
        <v>8112</v>
      </c>
      <c r="BF118" s="5">
        <f>求节点(T$6:T$44,$G$67:$G$105,$AA118)</f>
        <v>0</v>
      </c>
      <c r="BG118" s="5">
        <f>求节点(U$6:U$44,$G$67:$G$105,$AA118)</f>
        <v>0</v>
      </c>
      <c r="BH118" s="5">
        <f>求节点(V$6:V$44,$G$67:$G$105,$AA118)</f>
        <v>0</v>
      </c>
      <c r="BI118" s="5">
        <f>求节点(W$6:W$44,$G$67:$G$105,$AA118)</f>
        <v>0</v>
      </c>
      <c r="BJ118" s="5">
        <f>求节点(X$6:X$44,$G$67:$G$105,$AA118)</f>
        <v>0</v>
      </c>
      <c r="BK118" s="5">
        <f>求节点(T$6:T$44,$M$67:$M$105,$AA118)</f>
        <v>76</v>
      </c>
      <c r="BL118" s="5">
        <f>求节点(U$6:U$44,$M$67:$M$105,$AA118)</f>
        <v>78</v>
      </c>
      <c r="BM118" s="5">
        <f>求节点(V$6:V$44,$M$67:$M$105,$AA118)</f>
        <v>78</v>
      </c>
      <c r="BN118" s="5">
        <f>求节点(W$6:W$44,$M$67:$M$105,$AA118)</f>
        <v>78</v>
      </c>
      <c r="BO118" s="5">
        <f>求节点(X$6:X$44,$M$67:$M$105,$AA118)</f>
        <v>78</v>
      </c>
      <c r="BP118" s="5">
        <f>求节点(T$67:T$105,$L$67:$L$105,$AA118)</f>
        <v>0</v>
      </c>
      <c r="BQ118" s="5">
        <f>求节点(U$67:U$105,$L$67:$L$105,$AA118)</f>
        <v>0</v>
      </c>
      <c r="BR118" s="5">
        <f>求节点(V$67:V$105,$L$67:$L$105,$AA118)</f>
        <v>0</v>
      </c>
      <c r="BS118" s="5">
        <f>求节点(W$67:W$105,$L$67:$L$105,$AA118)</f>
        <v>0</v>
      </c>
      <c r="BT118" s="5">
        <f>求节点(X$67:X$105,$L$67:$L$105,$AA118)</f>
        <v>0</v>
      </c>
      <c r="BZ118" s="5">
        <v>114</v>
      </c>
      <c r="CA118" s="5">
        <f t="shared" si="60"/>
        <v>7904</v>
      </c>
      <c r="CB118" s="5">
        <f t="shared" si="61"/>
        <v>8112</v>
      </c>
      <c r="CC118" s="5">
        <f t="shared" si="62"/>
        <v>8112</v>
      </c>
      <c r="CD118" s="5">
        <f t="shared" si="63"/>
        <v>8112</v>
      </c>
      <c r="CE118" s="5">
        <f t="shared" si="64"/>
        <v>8112</v>
      </c>
      <c r="CF118" s="5">
        <f>(CA118-CA117)/节奏总纲!W117</f>
        <v>0.38312388771461053</v>
      </c>
      <c r="CI118" s="5">
        <v>114</v>
      </c>
      <c r="CJ118" s="5">
        <f t="shared" si="65"/>
        <v>18240</v>
      </c>
      <c r="CK118" s="5">
        <f t="shared" si="66"/>
        <v>18720</v>
      </c>
      <c r="CL118" s="5">
        <f t="shared" si="67"/>
        <v>18720</v>
      </c>
      <c r="CM118" s="5">
        <f t="shared" si="68"/>
        <v>18720</v>
      </c>
      <c r="CN118" s="5">
        <f t="shared" si="69"/>
        <v>18720</v>
      </c>
      <c r="CO118" s="5">
        <f>(CJ118-CJ117)/节奏总纲!W117</f>
        <v>0.88413204857217043</v>
      </c>
      <c r="CP118" s="5">
        <f t="shared" si="70"/>
        <v>1.267255936286781</v>
      </c>
      <c r="CR118" s="5">
        <v>114</v>
      </c>
      <c r="CS118" s="5">
        <f t="shared" si="71"/>
        <v>0</v>
      </c>
      <c r="CT118" s="5">
        <f t="shared" si="72"/>
        <v>0</v>
      </c>
      <c r="CU118" s="5">
        <f t="shared" si="73"/>
        <v>0</v>
      </c>
      <c r="CV118" s="5">
        <f t="shared" si="74"/>
        <v>0</v>
      </c>
      <c r="CW118" s="5">
        <f t="shared" si="75"/>
        <v>0</v>
      </c>
      <c r="CX118" s="5">
        <f t="shared" si="76"/>
        <v>0</v>
      </c>
      <c r="CY118" s="5">
        <f t="shared" si="77"/>
        <v>0</v>
      </c>
      <c r="CZ118" s="5">
        <f t="shared" si="78"/>
        <v>0</v>
      </c>
      <c r="DA118" s="5">
        <f t="shared" si="79"/>
        <v>0</v>
      </c>
      <c r="DB118" s="5">
        <f t="shared" si="80"/>
        <v>0</v>
      </c>
    </row>
    <row r="119" spans="3:106" x14ac:dyDescent="0.15">
      <c r="AA119" s="5">
        <v>115</v>
      </c>
      <c r="AB119" s="5">
        <f>求节点(T$6:T$44,$C$67:$C$105,$AA119)</f>
        <v>0</v>
      </c>
      <c r="AC119" s="5">
        <f>求节点(U$6:U$44,$C$67:$C$105,$AA119)</f>
        <v>0</v>
      </c>
      <c r="AD119" s="5">
        <f>求节点(V$6:V$44,$C$67:$C$105,$AA119)</f>
        <v>0</v>
      </c>
      <c r="AE119" s="5">
        <f>求节点(W$6:W$44,$C$67:$C$105,$AA119)</f>
        <v>0</v>
      </c>
      <c r="AF119" s="5">
        <f>求节点(X$6:X$44,$C$67:$C$105,$AA119)</f>
        <v>0</v>
      </c>
      <c r="AG119" s="5">
        <f>求节点(T$6:T$44,$D$67:$D$105,$AA119)+求节点(T$67:T$105,$Q$67:$Q$105,$AA119)</f>
        <v>96597160</v>
      </c>
      <c r="AH119" s="5">
        <f>求节点(U$6:U$44,$D$67:$D$105,$AA119)+求节点(U$67:U$105,$Q$67:$Q$105,$AA119)</f>
        <v>102728760</v>
      </c>
      <c r="AI119" s="5">
        <f>求节点(V$6:V$44,$D$67:$D$105,$AA119)+求节点(V$67:V$105,$Q$67:$Q$105,$AA119)</f>
        <v>102728760</v>
      </c>
      <c r="AJ119" s="5">
        <f>求节点(W$6:W$44,$D$67:$D$105,$AA119)+求节点(W$67:W$105,$Q$67:$Q$105,$AA119)</f>
        <v>102728760</v>
      </c>
      <c r="AK119" s="5">
        <f>求节点(X$6:X$44,$D$67:$D$105,$AA119)+求节点(X$67:X$105,$Q$67:$Q$105,$AA119)</f>
        <v>102728760</v>
      </c>
      <c r="AL119" s="5">
        <f>求节点(T$6:T$44,$F$67:$F$105,$AA119)+求节点(T$67:T$105,$P$67:$P$105,$AA119)</f>
        <v>1800800</v>
      </c>
      <c r="AM119" s="5">
        <f>求节点(U$6:U$44,$F$67:$F$105,$AA119)+求节点(U$67:U$105,$P$67:$P$105,$AA119)</f>
        <v>1848000</v>
      </c>
      <c r="AN119" s="5">
        <f>求节点(V$6:V$44,$F$67:$F$105,$AA119)+求节点(V$67:V$105,$P$67:$P$105,$AA119)</f>
        <v>1848000</v>
      </c>
      <c r="AO119" s="5">
        <f>求节点(W$6:W$44,$F$67:$F$105,$AA119)+求节点(W$67:W$105,$P$67:$P$105,$AA119)</f>
        <v>1848000</v>
      </c>
      <c r="AP119" s="5">
        <f>求节点(X$6:X$44,$F$67:$F$105,$AA119)+求节点(X$67:X$105,$P$67:$P$105,$AA119)</f>
        <v>1848000</v>
      </c>
      <c r="AQ119" s="5">
        <f>求节点(T$6:T$44,$H$67:$H$105,$AA119)</f>
        <v>945600</v>
      </c>
      <c r="AR119" s="5">
        <f>求节点(U$6:U$44,$H$67:$H$105,$AA119)</f>
        <v>963600</v>
      </c>
      <c r="AS119" s="5">
        <f>求节点(V$6:V$44,$H$67:$H$105,$AA119)</f>
        <v>963600</v>
      </c>
      <c r="AT119" s="5">
        <f>求节点(W$6:W$44,$H$67:$H$105,$AA119)</f>
        <v>963600</v>
      </c>
      <c r="AU119" s="5">
        <f>求节点(X$6:X$44,$H$67:$H$105,$AA119)</f>
        <v>963600</v>
      </c>
      <c r="AV119" s="5">
        <f>求节点(T$6:T$44,$I$67:$I$105,$AA119)</f>
        <v>24449333.333333332</v>
      </c>
      <c r="AW119" s="5">
        <f>求节点(U$6:U$44,$I$67:$I$105,$AA119)</f>
        <v>25320000</v>
      </c>
      <c r="AX119" s="5">
        <f>求节点(V$6:V$44,$I$67:$I$105,$AA119)</f>
        <v>25320000</v>
      </c>
      <c r="AY119" s="5">
        <f>求节点(W$6:W$44,$I$67:$I$105,$AA119)</f>
        <v>25320000</v>
      </c>
      <c r="AZ119" s="5">
        <f>求节点(X$6:X$44,$I$67:$I$105,$AA119)</f>
        <v>25320000</v>
      </c>
      <c r="BA119" s="5">
        <f>求节点(T$6:T$44,$E$67:$E$105,$AA119)+求节点(T$6:T$44,$K$67:$K$105,$AA119)+求节点(T$67:T$105,$O$67:$O$105,$AA119)</f>
        <v>7973.3333333333339</v>
      </c>
      <c r="BB119" s="5">
        <f>求节点(U$6:U$44,$E$67:$E$105,$AA119)+求节点(U$6:U$44,$K$67:$K$105,$AA119)+求节点(U$67:U$105,$O$67:$O$105,$AA119)</f>
        <v>8112</v>
      </c>
      <c r="BC119" s="5">
        <f>求节点(V$6:V$44,$E$67:$E$105,$AA119)+求节点(V$6:V$44,$K$67:$K$105,$AA119)+求节点(V$67:V$105,$O$67:$O$105,$AA119)</f>
        <v>8112</v>
      </c>
      <c r="BD119" s="5">
        <f>求节点(W$6:W$44,$E$67:$E$105,$AA119)+求节点(W$6:W$44,$K$67:$K$105,$AA119)+求节点(W$67:W$105,$O$67:$O$105,$AA119)</f>
        <v>8112</v>
      </c>
      <c r="BE119" s="5">
        <f>求节点(X$6:X$44,$E$67:$E$105,$AA119)+求节点(X$6:X$44,$K$67:$K$105,$AA119)+求节点(X$67:X$105,$O$67:$O$105,$AA119)</f>
        <v>8112</v>
      </c>
      <c r="BF119" s="5">
        <f>求节点(T$6:T$44,$G$67:$G$105,$AA119)</f>
        <v>0</v>
      </c>
      <c r="BG119" s="5">
        <f>求节点(U$6:U$44,$G$67:$G$105,$AA119)</f>
        <v>0</v>
      </c>
      <c r="BH119" s="5">
        <f>求节点(V$6:V$44,$G$67:$G$105,$AA119)</f>
        <v>0</v>
      </c>
      <c r="BI119" s="5">
        <f>求节点(W$6:W$44,$G$67:$G$105,$AA119)</f>
        <v>0</v>
      </c>
      <c r="BJ119" s="5">
        <f>求节点(X$6:X$44,$G$67:$G$105,$AA119)</f>
        <v>0</v>
      </c>
      <c r="BK119" s="5">
        <f>求节点(T$6:T$44,$M$67:$M$105,$AA119)</f>
        <v>76.666666666666671</v>
      </c>
      <c r="BL119" s="5">
        <f>求节点(U$6:U$44,$M$67:$M$105,$AA119)</f>
        <v>78</v>
      </c>
      <c r="BM119" s="5">
        <f>求节点(V$6:V$44,$M$67:$M$105,$AA119)</f>
        <v>78</v>
      </c>
      <c r="BN119" s="5">
        <f>求节点(W$6:W$44,$M$67:$M$105,$AA119)</f>
        <v>78</v>
      </c>
      <c r="BO119" s="5">
        <f>求节点(X$6:X$44,$M$67:$M$105,$AA119)</f>
        <v>78</v>
      </c>
      <c r="BP119" s="5">
        <f>求节点(T$67:T$105,$L$67:$L$105,$AA119)</f>
        <v>0</v>
      </c>
      <c r="BQ119" s="5">
        <f>求节点(U$67:U$105,$L$67:$L$105,$AA119)</f>
        <v>0</v>
      </c>
      <c r="BR119" s="5">
        <f>求节点(V$67:V$105,$L$67:$L$105,$AA119)</f>
        <v>0</v>
      </c>
      <c r="BS119" s="5">
        <f>求节点(W$67:W$105,$L$67:$L$105,$AA119)</f>
        <v>0</v>
      </c>
      <c r="BT119" s="5">
        <f>求节点(X$67:X$105,$L$67:$L$105,$AA119)</f>
        <v>0</v>
      </c>
      <c r="BZ119" s="5">
        <v>115</v>
      </c>
      <c r="CA119" s="5">
        <f t="shared" si="60"/>
        <v>7973.3333333333339</v>
      </c>
      <c r="CB119" s="5">
        <f t="shared" si="61"/>
        <v>8112</v>
      </c>
      <c r="CC119" s="5">
        <f t="shared" si="62"/>
        <v>8112</v>
      </c>
      <c r="CD119" s="5">
        <f t="shared" si="63"/>
        <v>8112</v>
      </c>
      <c r="CE119" s="5">
        <f t="shared" si="64"/>
        <v>8112</v>
      </c>
      <c r="CF119" s="5">
        <f>(CA119-CA118)/节奏总纲!W118</f>
        <v>0.35746722708357576</v>
      </c>
      <c r="CI119" s="5">
        <v>115</v>
      </c>
      <c r="CJ119" s="5">
        <f t="shared" si="65"/>
        <v>18400</v>
      </c>
      <c r="CK119" s="5">
        <f t="shared" si="66"/>
        <v>18720</v>
      </c>
      <c r="CL119" s="5">
        <f t="shared" si="67"/>
        <v>18720</v>
      </c>
      <c r="CM119" s="5">
        <f t="shared" si="68"/>
        <v>18720</v>
      </c>
      <c r="CN119" s="5">
        <f t="shared" si="69"/>
        <v>18720</v>
      </c>
      <c r="CO119" s="5">
        <f>(CJ119-CJ118)/节奏总纲!W118</f>
        <v>0.82492437019285991</v>
      </c>
      <c r="CP119" s="5">
        <f t="shared" si="70"/>
        <v>1.1823915972764356</v>
      </c>
      <c r="CR119" s="5">
        <v>115</v>
      </c>
      <c r="CS119" s="5">
        <f t="shared" si="71"/>
        <v>0</v>
      </c>
      <c r="CT119" s="5">
        <f t="shared" si="72"/>
        <v>0</v>
      </c>
      <c r="CU119" s="5">
        <f t="shared" si="73"/>
        <v>0</v>
      </c>
      <c r="CV119" s="5">
        <f t="shared" si="74"/>
        <v>0</v>
      </c>
      <c r="CW119" s="5">
        <f t="shared" si="75"/>
        <v>0</v>
      </c>
      <c r="CX119" s="5">
        <f t="shared" si="76"/>
        <v>0</v>
      </c>
      <c r="CY119" s="5">
        <f t="shared" si="77"/>
        <v>0</v>
      </c>
      <c r="CZ119" s="5">
        <f t="shared" si="78"/>
        <v>0</v>
      </c>
      <c r="DA119" s="5">
        <f t="shared" si="79"/>
        <v>0</v>
      </c>
      <c r="DB119" s="5">
        <f t="shared" si="80"/>
        <v>0</v>
      </c>
    </row>
    <row r="120" spans="3:106" x14ac:dyDescent="0.15">
      <c r="AA120" s="5">
        <v>116</v>
      </c>
      <c r="AB120" s="5">
        <f>求节点(T$6:T$44,$C$67:$C$105,$AA120)</f>
        <v>0</v>
      </c>
      <c r="AC120" s="5">
        <f>求节点(U$6:U$44,$C$67:$C$105,$AA120)</f>
        <v>0</v>
      </c>
      <c r="AD120" s="5">
        <f>求节点(V$6:V$44,$C$67:$C$105,$AA120)</f>
        <v>0</v>
      </c>
      <c r="AE120" s="5">
        <f>求节点(W$6:W$44,$C$67:$C$105,$AA120)</f>
        <v>0</v>
      </c>
      <c r="AF120" s="5">
        <f>求节点(X$6:X$44,$C$67:$C$105,$AA120)</f>
        <v>0</v>
      </c>
      <c r="AG120" s="5">
        <f>求节点(T$6:T$44,$D$67:$D$105,$AA120)+求节点(T$67:T$105,$Q$67:$Q$105,$AA120)</f>
        <v>99662960</v>
      </c>
      <c r="AH120" s="5">
        <f>求节点(U$6:U$44,$D$67:$D$105,$AA120)+求节点(U$67:U$105,$Q$67:$Q$105,$AA120)</f>
        <v>102728760</v>
      </c>
      <c r="AI120" s="5">
        <f>求节点(V$6:V$44,$D$67:$D$105,$AA120)+求节点(V$67:V$105,$Q$67:$Q$105,$AA120)</f>
        <v>102728760</v>
      </c>
      <c r="AJ120" s="5">
        <f>求节点(W$6:W$44,$D$67:$D$105,$AA120)+求节点(W$67:W$105,$Q$67:$Q$105,$AA120)</f>
        <v>102728760</v>
      </c>
      <c r="AK120" s="5">
        <f>求节点(X$6:X$44,$D$67:$D$105,$AA120)+求节点(X$67:X$105,$Q$67:$Q$105,$AA120)</f>
        <v>102728760</v>
      </c>
      <c r="AL120" s="5">
        <f>求节点(T$6:T$44,$F$67:$F$105,$AA120)+求节点(T$67:T$105,$P$67:$P$105,$AA120)</f>
        <v>1824400</v>
      </c>
      <c r="AM120" s="5">
        <f>求节点(U$6:U$44,$F$67:$F$105,$AA120)+求节点(U$67:U$105,$P$67:$P$105,$AA120)</f>
        <v>1848000</v>
      </c>
      <c r="AN120" s="5">
        <f>求节点(V$6:V$44,$F$67:$F$105,$AA120)+求节点(V$67:V$105,$P$67:$P$105,$AA120)</f>
        <v>1848000</v>
      </c>
      <c r="AO120" s="5">
        <f>求节点(W$6:W$44,$F$67:$F$105,$AA120)+求节点(W$67:W$105,$P$67:$P$105,$AA120)</f>
        <v>1848000</v>
      </c>
      <c r="AP120" s="5">
        <f>求节点(X$6:X$44,$F$67:$F$105,$AA120)+求节点(X$67:X$105,$P$67:$P$105,$AA120)</f>
        <v>1848000</v>
      </c>
      <c r="AQ120" s="5">
        <f>求节点(T$6:T$44,$H$67:$H$105,$AA120)</f>
        <v>954600</v>
      </c>
      <c r="AR120" s="5">
        <f>求节点(U$6:U$44,$H$67:$H$105,$AA120)</f>
        <v>963600</v>
      </c>
      <c r="AS120" s="5">
        <f>求节点(V$6:V$44,$H$67:$H$105,$AA120)</f>
        <v>963600</v>
      </c>
      <c r="AT120" s="5">
        <f>求节点(W$6:W$44,$H$67:$H$105,$AA120)</f>
        <v>963600</v>
      </c>
      <c r="AU120" s="5">
        <f>求节点(X$6:X$44,$H$67:$H$105,$AA120)</f>
        <v>963600</v>
      </c>
      <c r="AV120" s="5">
        <f>求节点(T$6:T$44,$I$67:$I$105,$AA120)</f>
        <v>24884666.666666668</v>
      </c>
      <c r="AW120" s="5">
        <f>求节点(U$6:U$44,$I$67:$I$105,$AA120)</f>
        <v>25320000</v>
      </c>
      <c r="AX120" s="5">
        <f>求节点(V$6:V$44,$I$67:$I$105,$AA120)</f>
        <v>25320000</v>
      </c>
      <c r="AY120" s="5">
        <f>求节点(W$6:W$44,$I$67:$I$105,$AA120)</f>
        <v>25320000</v>
      </c>
      <c r="AZ120" s="5">
        <f>求节点(X$6:X$44,$I$67:$I$105,$AA120)</f>
        <v>25320000</v>
      </c>
      <c r="BA120" s="5">
        <f>求节点(T$6:T$44,$E$67:$E$105,$AA120)+求节点(T$6:T$44,$K$67:$K$105,$AA120)+求节点(T$67:T$105,$O$67:$O$105,$AA120)</f>
        <v>8042.6666666666661</v>
      </c>
      <c r="BB120" s="5">
        <f>求节点(U$6:U$44,$E$67:$E$105,$AA120)+求节点(U$6:U$44,$K$67:$K$105,$AA120)+求节点(U$67:U$105,$O$67:$O$105,$AA120)</f>
        <v>8112</v>
      </c>
      <c r="BC120" s="5">
        <f>求节点(V$6:V$44,$E$67:$E$105,$AA120)+求节点(V$6:V$44,$K$67:$K$105,$AA120)+求节点(V$67:V$105,$O$67:$O$105,$AA120)</f>
        <v>8112</v>
      </c>
      <c r="BD120" s="5">
        <f>求节点(W$6:W$44,$E$67:$E$105,$AA120)+求节点(W$6:W$44,$K$67:$K$105,$AA120)+求节点(W$67:W$105,$O$67:$O$105,$AA120)</f>
        <v>8112</v>
      </c>
      <c r="BE120" s="5">
        <f>求节点(X$6:X$44,$E$67:$E$105,$AA120)+求节点(X$6:X$44,$K$67:$K$105,$AA120)+求节点(X$67:X$105,$O$67:$O$105,$AA120)</f>
        <v>8112</v>
      </c>
      <c r="BF120" s="5">
        <f>求节点(T$6:T$44,$G$67:$G$105,$AA120)</f>
        <v>0</v>
      </c>
      <c r="BG120" s="5">
        <f>求节点(U$6:U$44,$G$67:$G$105,$AA120)</f>
        <v>0</v>
      </c>
      <c r="BH120" s="5">
        <f>求节点(V$6:V$44,$G$67:$G$105,$AA120)</f>
        <v>0</v>
      </c>
      <c r="BI120" s="5">
        <f>求节点(W$6:W$44,$G$67:$G$105,$AA120)</f>
        <v>0</v>
      </c>
      <c r="BJ120" s="5">
        <f>求节点(X$6:X$44,$G$67:$G$105,$AA120)</f>
        <v>0</v>
      </c>
      <c r="BK120" s="5">
        <f>求节点(T$6:T$44,$M$67:$M$105,$AA120)</f>
        <v>77.333333333333329</v>
      </c>
      <c r="BL120" s="5">
        <f>求节点(U$6:U$44,$M$67:$M$105,$AA120)</f>
        <v>78</v>
      </c>
      <c r="BM120" s="5">
        <f>求节点(V$6:V$44,$M$67:$M$105,$AA120)</f>
        <v>78</v>
      </c>
      <c r="BN120" s="5">
        <f>求节点(W$6:W$44,$M$67:$M$105,$AA120)</f>
        <v>78</v>
      </c>
      <c r="BO120" s="5">
        <f>求节点(X$6:X$44,$M$67:$M$105,$AA120)</f>
        <v>78</v>
      </c>
      <c r="BP120" s="5">
        <f>求节点(T$67:T$105,$L$67:$L$105,$AA120)</f>
        <v>0</v>
      </c>
      <c r="BQ120" s="5">
        <f>求节点(U$67:U$105,$L$67:$L$105,$AA120)</f>
        <v>0</v>
      </c>
      <c r="BR120" s="5">
        <f>求节点(V$67:V$105,$L$67:$L$105,$AA120)</f>
        <v>0</v>
      </c>
      <c r="BS120" s="5">
        <f>求节点(W$67:W$105,$L$67:$L$105,$AA120)</f>
        <v>0</v>
      </c>
      <c r="BT120" s="5">
        <f>求节点(X$67:X$105,$L$67:$L$105,$AA120)</f>
        <v>0</v>
      </c>
      <c r="BZ120" s="5">
        <v>116</v>
      </c>
      <c r="CA120" s="5">
        <f t="shared" si="60"/>
        <v>8042.6666666666661</v>
      </c>
      <c r="CB120" s="5">
        <f t="shared" si="61"/>
        <v>8112</v>
      </c>
      <c r="CC120" s="5">
        <f t="shared" si="62"/>
        <v>8112</v>
      </c>
      <c r="CD120" s="5">
        <f t="shared" si="63"/>
        <v>8112</v>
      </c>
      <c r="CE120" s="5">
        <f t="shared" si="64"/>
        <v>8112</v>
      </c>
      <c r="CF120" s="5">
        <f>(CA120-CA119)/节奏总纲!W119</f>
        <v>0.33352871626215125</v>
      </c>
      <c r="CI120" s="5">
        <v>116</v>
      </c>
      <c r="CJ120" s="5">
        <f t="shared" si="65"/>
        <v>18560</v>
      </c>
      <c r="CK120" s="5">
        <f t="shared" si="66"/>
        <v>18720</v>
      </c>
      <c r="CL120" s="5">
        <f t="shared" si="67"/>
        <v>18720</v>
      </c>
      <c r="CM120" s="5">
        <f t="shared" si="68"/>
        <v>18720</v>
      </c>
      <c r="CN120" s="5">
        <f t="shared" si="69"/>
        <v>18720</v>
      </c>
      <c r="CO120" s="5">
        <f>(CJ120-CJ119)/节奏总纲!W119</f>
        <v>0.76968165291267021</v>
      </c>
      <c r="CP120" s="5">
        <f t="shared" si="70"/>
        <v>1.1032103691748214</v>
      </c>
      <c r="CR120" s="5">
        <v>116</v>
      </c>
      <c r="CS120" s="5">
        <f t="shared" si="71"/>
        <v>0</v>
      </c>
      <c r="CT120" s="5">
        <f t="shared" si="72"/>
        <v>0</v>
      </c>
      <c r="CU120" s="5">
        <f t="shared" si="73"/>
        <v>0</v>
      </c>
      <c r="CV120" s="5">
        <f t="shared" si="74"/>
        <v>0</v>
      </c>
      <c r="CW120" s="5">
        <f t="shared" si="75"/>
        <v>0</v>
      </c>
      <c r="CX120" s="5">
        <f t="shared" si="76"/>
        <v>0</v>
      </c>
      <c r="CY120" s="5">
        <f t="shared" si="77"/>
        <v>0</v>
      </c>
      <c r="CZ120" s="5">
        <f t="shared" si="78"/>
        <v>0</v>
      </c>
      <c r="DA120" s="5">
        <f t="shared" si="79"/>
        <v>0</v>
      </c>
      <c r="DB120" s="5">
        <f t="shared" si="80"/>
        <v>0</v>
      </c>
    </row>
    <row r="121" spans="3:106" x14ac:dyDescent="0.15">
      <c r="T121" s="6"/>
      <c r="U121" s="6"/>
      <c r="V121" s="6"/>
      <c r="W121" s="6"/>
      <c r="X121" s="6"/>
      <c r="AA121" s="5">
        <v>117</v>
      </c>
      <c r="AB121" s="5">
        <f>求节点(T$6:T$44,$C$67:$C$105,$AA121)</f>
        <v>0</v>
      </c>
      <c r="AC121" s="5">
        <f>求节点(U$6:U$44,$C$67:$C$105,$AA121)</f>
        <v>0</v>
      </c>
      <c r="AD121" s="5">
        <f>求节点(V$6:V$44,$C$67:$C$105,$AA121)</f>
        <v>0</v>
      </c>
      <c r="AE121" s="5">
        <f>求节点(W$6:W$44,$C$67:$C$105,$AA121)</f>
        <v>0</v>
      </c>
      <c r="AF121" s="5">
        <f>求节点(X$6:X$44,$C$67:$C$105,$AA121)</f>
        <v>0</v>
      </c>
      <c r="AG121" s="5">
        <f>求节点(T$6:T$44,$D$67:$D$105,$AA121)+求节点(T$67:T$105,$Q$67:$Q$105,$AA121)</f>
        <v>102728760</v>
      </c>
      <c r="AH121" s="5">
        <f>求节点(U$6:U$44,$D$67:$D$105,$AA121)+求节点(U$67:U$105,$Q$67:$Q$105,$AA121)</f>
        <v>102728760</v>
      </c>
      <c r="AI121" s="5">
        <f>求节点(V$6:V$44,$D$67:$D$105,$AA121)+求节点(V$67:V$105,$Q$67:$Q$105,$AA121)</f>
        <v>102728760</v>
      </c>
      <c r="AJ121" s="5">
        <f>求节点(W$6:W$44,$D$67:$D$105,$AA121)+求节点(W$67:W$105,$Q$67:$Q$105,$AA121)</f>
        <v>102728760</v>
      </c>
      <c r="AK121" s="5">
        <f>求节点(X$6:X$44,$D$67:$D$105,$AA121)+求节点(X$67:X$105,$Q$67:$Q$105,$AA121)</f>
        <v>102728760</v>
      </c>
      <c r="AL121" s="5">
        <f>求节点(T$6:T$44,$F$67:$F$105,$AA121)+求节点(T$67:T$105,$P$67:$P$105,$AA121)</f>
        <v>1848000</v>
      </c>
      <c r="AM121" s="5">
        <f>求节点(U$6:U$44,$F$67:$F$105,$AA121)+求节点(U$67:U$105,$P$67:$P$105,$AA121)</f>
        <v>1848000</v>
      </c>
      <c r="AN121" s="5">
        <f>求节点(V$6:V$44,$F$67:$F$105,$AA121)+求节点(V$67:V$105,$P$67:$P$105,$AA121)</f>
        <v>1848000</v>
      </c>
      <c r="AO121" s="5">
        <f>求节点(W$6:W$44,$F$67:$F$105,$AA121)+求节点(W$67:W$105,$P$67:$P$105,$AA121)</f>
        <v>1848000</v>
      </c>
      <c r="AP121" s="5">
        <f>求节点(X$6:X$44,$F$67:$F$105,$AA121)+求节点(X$67:X$105,$P$67:$P$105,$AA121)</f>
        <v>1848000</v>
      </c>
      <c r="AQ121" s="5">
        <f>求节点(T$6:T$44,$H$67:$H$105,$AA121)</f>
        <v>963600</v>
      </c>
      <c r="AR121" s="5">
        <f>求节点(U$6:U$44,$H$67:$H$105,$AA121)</f>
        <v>963600</v>
      </c>
      <c r="AS121" s="5">
        <f>求节点(V$6:V$44,$H$67:$H$105,$AA121)</f>
        <v>963600</v>
      </c>
      <c r="AT121" s="5">
        <f>求节点(W$6:W$44,$H$67:$H$105,$AA121)</f>
        <v>963600</v>
      </c>
      <c r="AU121" s="5">
        <f>求节点(X$6:X$44,$H$67:$H$105,$AA121)</f>
        <v>963600</v>
      </c>
      <c r="AV121" s="5">
        <f>求节点(T$6:T$44,$I$67:$I$105,$AA121)</f>
        <v>25320000</v>
      </c>
      <c r="AW121" s="5">
        <f>求节点(U$6:U$44,$I$67:$I$105,$AA121)</f>
        <v>25320000</v>
      </c>
      <c r="AX121" s="5">
        <f>求节点(V$6:V$44,$I$67:$I$105,$AA121)</f>
        <v>25320000</v>
      </c>
      <c r="AY121" s="5">
        <f>求节点(W$6:W$44,$I$67:$I$105,$AA121)</f>
        <v>25320000</v>
      </c>
      <c r="AZ121" s="5">
        <f>求节点(X$6:X$44,$I$67:$I$105,$AA121)</f>
        <v>25320000</v>
      </c>
      <c r="BA121" s="5">
        <f>求节点(T$6:T$44,$E$67:$E$105,$AA121)+求节点(T$6:T$44,$K$67:$K$105,$AA121)+求节点(T$67:T$105,$O$67:$O$105,$AA121)</f>
        <v>8112</v>
      </c>
      <c r="BB121" s="5">
        <f>求节点(U$6:U$44,$E$67:$E$105,$AA121)+求节点(U$6:U$44,$K$67:$K$105,$AA121)+求节点(U$67:U$105,$O$67:$O$105,$AA121)</f>
        <v>8112</v>
      </c>
      <c r="BC121" s="5">
        <f>求节点(V$6:V$44,$E$67:$E$105,$AA121)+求节点(V$6:V$44,$K$67:$K$105,$AA121)+求节点(V$67:V$105,$O$67:$O$105,$AA121)</f>
        <v>8112</v>
      </c>
      <c r="BD121" s="5">
        <f>求节点(W$6:W$44,$E$67:$E$105,$AA121)+求节点(W$6:W$44,$K$67:$K$105,$AA121)+求节点(W$67:W$105,$O$67:$O$105,$AA121)</f>
        <v>8112</v>
      </c>
      <c r="BE121" s="5">
        <f>求节点(X$6:X$44,$E$67:$E$105,$AA121)+求节点(X$6:X$44,$K$67:$K$105,$AA121)+求节点(X$67:X$105,$O$67:$O$105,$AA121)</f>
        <v>8112</v>
      </c>
      <c r="BF121" s="5">
        <f>求节点(T$6:T$44,$G$67:$G$105,$AA121)</f>
        <v>0</v>
      </c>
      <c r="BG121" s="5">
        <f>求节点(U$6:U$44,$G$67:$G$105,$AA121)</f>
        <v>0</v>
      </c>
      <c r="BH121" s="5">
        <f>求节点(V$6:V$44,$G$67:$G$105,$AA121)</f>
        <v>0</v>
      </c>
      <c r="BI121" s="5">
        <f>求节点(W$6:W$44,$G$67:$G$105,$AA121)</f>
        <v>0</v>
      </c>
      <c r="BJ121" s="5">
        <f>求节点(X$6:X$44,$G$67:$G$105,$AA121)</f>
        <v>0</v>
      </c>
      <c r="BK121" s="5">
        <f>求节点(T$6:T$44,$M$67:$M$105,$AA121)</f>
        <v>78</v>
      </c>
      <c r="BL121" s="5">
        <f>求节点(U$6:U$44,$M$67:$M$105,$AA121)</f>
        <v>78</v>
      </c>
      <c r="BM121" s="5">
        <f>求节点(V$6:V$44,$M$67:$M$105,$AA121)</f>
        <v>78</v>
      </c>
      <c r="BN121" s="5">
        <f>求节点(W$6:W$44,$M$67:$M$105,$AA121)</f>
        <v>78</v>
      </c>
      <c r="BO121" s="5">
        <f>求节点(X$6:X$44,$M$67:$M$105,$AA121)</f>
        <v>78</v>
      </c>
      <c r="BP121" s="5">
        <f>求节点(T$67:T$105,$L$67:$L$105,$AA121)</f>
        <v>0</v>
      </c>
      <c r="BQ121" s="5">
        <f>求节点(U$67:U$105,$L$67:$L$105,$AA121)</f>
        <v>0</v>
      </c>
      <c r="BR121" s="5">
        <f>求节点(V$67:V$105,$L$67:$L$105,$AA121)</f>
        <v>0</v>
      </c>
      <c r="BS121" s="5">
        <f>求节点(W$67:W$105,$L$67:$L$105,$AA121)</f>
        <v>0</v>
      </c>
      <c r="BT121" s="5">
        <f>求节点(X$67:X$105,$L$67:$L$105,$AA121)</f>
        <v>0</v>
      </c>
      <c r="BZ121" s="5">
        <v>117</v>
      </c>
      <c r="CA121" s="5">
        <f t="shared" si="60"/>
        <v>8112</v>
      </c>
      <c r="CB121" s="5">
        <f t="shared" si="61"/>
        <v>8112</v>
      </c>
      <c r="CC121" s="5">
        <f t="shared" si="62"/>
        <v>8112</v>
      </c>
      <c r="CD121" s="5">
        <f t="shared" si="63"/>
        <v>8112</v>
      </c>
      <c r="CE121" s="5">
        <f t="shared" si="64"/>
        <v>8112</v>
      </c>
      <c r="CF121" s="5">
        <f>(CA121-CA120)/节奏总纲!W120</f>
        <v>0.31119329589751465</v>
      </c>
      <c r="CI121" s="5">
        <v>117</v>
      </c>
      <c r="CJ121" s="5">
        <f t="shared" si="65"/>
        <v>18720</v>
      </c>
      <c r="CK121" s="5">
        <f t="shared" si="66"/>
        <v>18720</v>
      </c>
      <c r="CL121" s="5">
        <f t="shared" si="67"/>
        <v>18720</v>
      </c>
      <c r="CM121" s="5">
        <f t="shared" si="68"/>
        <v>18720</v>
      </c>
      <c r="CN121" s="5">
        <f t="shared" si="69"/>
        <v>18720</v>
      </c>
      <c r="CO121" s="5">
        <f>(CJ121-CJ120)/节奏总纲!W120</f>
        <v>0.71813837514810441</v>
      </c>
      <c r="CP121" s="5">
        <f t="shared" si="70"/>
        <v>1.0293316710456191</v>
      </c>
      <c r="CR121" s="5">
        <v>117</v>
      </c>
      <c r="CS121" s="5">
        <f t="shared" si="71"/>
        <v>0</v>
      </c>
      <c r="CT121" s="5">
        <f t="shared" si="72"/>
        <v>0</v>
      </c>
      <c r="CU121" s="5">
        <f t="shared" si="73"/>
        <v>0</v>
      </c>
      <c r="CV121" s="5">
        <f t="shared" si="74"/>
        <v>0</v>
      </c>
      <c r="CW121" s="5">
        <f t="shared" si="75"/>
        <v>0</v>
      </c>
      <c r="CX121" s="5">
        <f t="shared" si="76"/>
        <v>0</v>
      </c>
      <c r="CY121" s="5">
        <f t="shared" si="77"/>
        <v>0</v>
      </c>
      <c r="CZ121" s="5">
        <f t="shared" si="78"/>
        <v>0</v>
      </c>
      <c r="DA121" s="5">
        <f t="shared" si="79"/>
        <v>0</v>
      </c>
      <c r="DB121" s="5">
        <f t="shared" si="80"/>
        <v>0</v>
      </c>
    </row>
    <row r="122" spans="3:106" x14ac:dyDescent="0.15">
      <c r="C122" s="9"/>
      <c r="D122" s="9"/>
      <c r="E122" s="9"/>
      <c r="F122" s="9"/>
      <c r="G122" s="9"/>
      <c r="H122" s="9"/>
      <c r="I122" s="9"/>
      <c r="J122" s="9"/>
      <c r="K122" s="9"/>
      <c r="L122" s="9"/>
      <c r="AA122" s="5">
        <v>118</v>
      </c>
      <c r="AB122" s="5">
        <f>求节点(T$6:T$44,$C$67:$C$105,$AA122)</f>
        <v>0</v>
      </c>
      <c r="AC122" s="5">
        <f>求节点(U$6:U$44,$C$67:$C$105,$AA122)</f>
        <v>0</v>
      </c>
      <c r="AD122" s="5">
        <f>求节点(V$6:V$44,$C$67:$C$105,$AA122)</f>
        <v>0</v>
      </c>
      <c r="AE122" s="5">
        <f>求节点(W$6:W$44,$C$67:$C$105,$AA122)</f>
        <v>0</v>
      </c>
      <c r="AF122" s="5">
        <f>求节点(X$6:X$44,$C$67:$C$105,$AA122)</f>
        <v>0</v>
      </c>
      <c r="AG122" s="5">
        <f>求节点(T$6:T$44,$D$67:$D$105,$AA122)+求节点(T$67:T$105,$Q$67:$Q$105,$AA122)</f>
        <v>102728760</v>
      </c>
      <c r="AH122" s="5">
        <f>求节点(U$6:U$44,$D$67:$D$105,$AA122)+求节点(U$67:U$105,$Q$67:$Q$105,$AA122)</f>
        <v>102728760</v>
      </c>
      <c r="AI122" s="5">
        <f>求节点(V$6:V$44,$D$67:$D$105,$AA122)+求节点(V$67:V$105,$Q$67:$Q$105,$AA122)</f>
        <v>102728760</v>
      </c>
      <c r="AJ122" s="5">
        <f>求节点(W$6:W$44,$D$67:$D$105,$AA122)+求节点(W$67:W$105,$Q$67:$Q$105,$AA122)</f>
        <v>102728760</v>
      </c>
      <c r="AK122" s="5">
        <f>求节点(X$6:X$44,$D$67:$D$105,$AA122)+求节点(X$67:X$105,$Q$67:$Q$105,$AA122)</f>
        <v>102728760</v>
      </c>
      <c r="AL122" s="5">
        <f>求节点(T$6:T$44,$F$67:$F$105,$AA122)+求节点(T$67:T$105,$P$67:$P$105,$AA122)</f>
        <v>1848000</v>
      </c>
      <c r="AM122" s="5">
        <f>求节点(U$6:U$44,$F$67:$F$105,$AA122)+求节点(U$67:U$105,$P$67:$P$105,$AA122)</f>
        <v>1848000</v>
      </c>
      <c r="AN122" s="5">
        <f>求节点(V$6:V$44,$F$67:$F$105,$AA122)+求节点(V$67:V$105,$P$67:$P$105,$AA122)</f>
        <v>1848000</v>
      </c>
      <c r="AO122" s="5">
        <f>求节点(W$6:W$44,$F$67:$F$105,$AA122)+求节点(W$67:W$105,$P$67:$P$105,$AA122)</f>
        <v>1848000</v>
      </c>
      <c r="AP122" s="5">
        <f>求节点(X$6:X$44,$F$67:$F$105,$AA122)+求节点(X$67:X$105,$P$67:$P$105,$AA122)</f>
        <v>1848000</v>
      </c>
      <c r="AQ122" s="5">
        <f>求节点(T$6:T$44,$H$67:$H$105,$AA122)</f>
        <v>963600</v>
      </c>
      <c r="AR122" s="5">
        <f>求节点(U$6:U$44,$H$67:$H$105,$AA122)</f>
        <v>963600</v>
      </c>
      <c r="AS122" s="5">
        <f>求节点(V$6:V$44,$H$67:$H$105,$AA122)</f>
        <v>963600</v>
      </c>
      <c r="AT122" s="5">
        <f>求节点(W$6:W$44,$H$67:$H$105,$AA122)</f>
        <v>963600</v>
      </c>
      <c r="AU122" s="5">
        <f>求节点(X$6:X$44,$H$67:$H$105,$AA122)</f>
        <v>963600</v>
      </c>
      <c r="AV122" s="5">
        <f>求节点(T$6:T$44,$I$67:$I$105,$AA122)</f>
        <v>25320000</v>
      </c>
      <c r="AW122" s="5">
        <f>求节点(U$6:U$44,$I$67:$I$105,$AA122)</f>
        <v>25320000</v>
      </c>
      <c r="AX122" s="5">
        <f>求节点(V$6:V$44,$I$67:$I$105,$AA122)</f>
        <v>25320000</v>
      </c>
      <c r="AY122" s="5">
        <f>求节点(W$6:W$44,$I$67:$I$105,$AA122)</f>
        <v>25320000</v>
      </c>
      <c r="AZ122" s="5">
        <f>求节点(X$6:X$44,$I$67:$I$105,$AA122)</f>
        <v>25320000</v>
      </c>
      <c r="BA122" s="5">
        <f>求节点(T$6:T$44,$E$67:$E$105,$AA122)+求节点(T$6:T$44,$K$67:$K$105,$AA122)+求节点(T$67:T$105,$O$67:$O$105,$AA122)</f>
        <v>8112</v>
      </c>
      <c r="BB122" s="5">
        <f>求节点(U$6:U$44,$E$67:$E$105,$AA122)+求节点(U$6:U$44,$K$67:$K$105,$AA122)+求节点(U$67:U$105,$O$67:$O$105,$AA122)</f>
        <v>8112</v>
      </c>
      <c r="BC122" s="5">
        <f>求节点(V$6:V$44,$E$67:$E$105,$AA122)+求节点(V$6:V$44,$K$67:$K$105,$AA122)+求节点(V$67:V$105,$O$67:$O$105,$AA122)</f>
        <v>8112</v>
      </c>
      <c r="BD122" s="5">
        <f>求节点(W$6:W$44,$E$67:$E$105,$AA122)+求节点(W$6:W$44,$K$67:$K$105,$AA122)+求节点(W$67:W$105,$O$67:$O$105,$AA122)</f>
        <v>8112</v>
      </c>
      <c r="BE122" s="5">
        <f>求节点(X$6:X$44,$E$67:$E$105,$AA122)+求节点(X$6:X$44,$K$67:$K$105,$AA122)+求节点(X$67:X$105,$O$67:$O$105,$AA122)</f>
        <v>8112</v>
      </c>
      <c r="BF122" s="5">
        <f>求节点(T$6:T$44,$G$67:$G$105,$AA122)</f>
        <v>0</v>
      </c>
      <c r="BG122" s="5">
        <f>求节点(U$6:U$44,$G$67:$G$105,$AA122)</f>
        <v>0</v>
      </c>
      <c r="BH122" s="5">
        <f>求节点(V$6:V$44,$G$67:$G$105,$AA122)</f>
        <v>0</v>
      </c>
      <c r="BI122" s="5">
        <f>求节点(W$6:W$44,$G$67:$G$105,$AA122)</f>
        <v>0</v>
      </c>
      <c r="BJ122" s="5">
        <f>求节点(X$6:X$44,$G$67:$G$105,$AA122)</f>
        <v>0</v>
      </c>
      <c r="BK122" s="5">
        <f>求节点(T$6:T$44,$M$67:$M$105,$AA122)</f>
        <v>78</v>
      </c>
      <c r="BL122" s="5">
        <f>求节点(U$6:U$44,$M$67:$M$105,$AA122)</f>
        <v>78</v>
      </c>
      <c r="BM122" s="5">
        <f>求节点(V$6:V$44,$M$67:$M$105,$AA122)</f>
        <v>78</v>
      </c>
      <c r="BN122" s="5">
        <f>求节点(W$6:W$44,$M$67:$M$105,$AA122)</f>
        <v>78</v>
      </c>
      <c r="BO122" s="5">
        <f>求节点(X$6:X$44,$M$67:$M$105,$AA122)</f>
        <v>78</v>
      </c>
      <c r="BP122" s="5">
        <f>求节点(T$67:T$105,$L$67:$L$105,$AA122)</f>
        <v>0</v>
      </c>
      <c r="BQ122" s="5">
        <f>求节点(U$67:U$105,$L$67:$L$105,$AA122)</f>
        <v>0</v>
      </c>
      <c r="BR122" s="5">
        <f>求节点(V$67:V$105,$L$67:$L$105,$AA122)</f>
        <v>0</v>
      </c>
      <c r="BS122" s="5">
        <f>求节点(W$67:W$105,$L$67:$L$105,$AA122)</f>
        <v>0</v>
      </c>
      <c r="BT122" s="5">
        <f>求节点(X$67:X$105,$L$67:$L$105,$AA122)</f>
        <v>0</v>
      </c>
      <c r="BZ122" s="5">
        <v>118</v>
      </c>
      <c r="CA122" s="5">
        <f t="shared" si="60"/>
        <v>8112</v>
      </c>
      <c r="CB122" s="5">
        <f t="shared" si="61"/>
        <v>8112</v>
      </c>
      <c r="CC122" s="5">
        <f t="shared" si="62"/>
        <v>8112</v>
      </c>
      <c r="CD122" s="5">
        <f t="shared" si="63"/>
        <v>8112</v>
      </c>
      <c r="CE122" s="5">
        <f t="shared" si="64"/>
        <v>8112</v>
      </c>
      <c r="CF122" s="5">
        <f>(CA122-CA121)/节奏总纲!W121</f>
        <v>0</v>
      </c>
      <c r="CI122" s="5">
        <v>118</v>
      </c>
      <c r="CJ122" s="5">
        <f t="shared" si="65"/>
        <v>18720</v>
      </c>
      <c r="CK122" s="5">
        <f t="shared" si="66"/>
        <v>18720</v>
      </c>
      <c r="CL122" s="5">
        <f t="shared" si="67"/>
        <v>18720</v>
      </c>
      <c r="CM122" s="5">
        <f t="shared" si="68"/>
        <v>18720</v>
      </c>
      <c r="CN122" s="5">
        <f t="shared" si="69"/>
        <v>18720</v>
      </c>
      <c r="CO122" s="5">
        <f>(CJ122-CJ121)/节奏总纲!W121</f>
        <v>0</v>
      </c>
      <c r="CP122" s="5">
        <f t="shared" si="70"/>
        <v>0</v>
      </c>
      <c r="CR122" s="5">
        <v>118</v>
      </c>
      <c r="CS122" s="5">
        <f t="shared" si="71"/>
        <v>0</v>
      </c>
      <c r="CT122" s="5">
        <f t="shared" si="72"/>
        <v>0</v>
      </c>
      <c r="CU122" s="5">
        <f t="shared" si="73"/>
        <v>0</v>
      </c>
      <c r="CV122" s="5">
        <f t="shared" si="74"/>
        <v>0</v>
      </c>
      <c r="CW122" s="5">
        <f t="shared" si="75"/>
        <v>0</v>
      </c>
      <c r="CX122" s="5">
        <f t="shared" si="76"/>
        <v>0</v>
      </c>
      <c r="CY122" s="5">
        <f t="shared" si="77"/>
        <v>0</v>
      </c>
      <c r="CZ122" s="5">
        <f t="shared" si="78"/>
        <v>0</v>
      </c>
      <c r="DA122" s="5">
        <f t="shared" si="79"/>
        <v>0</v>
      </c>
      <c r="DB122" s="5">
        <f t="shared" si="80"/>
        <v>0</v>
      </c>
    </row>
    <row r="123" spans="3:106" x14ac:dyDescent="0.15">
      <c r="AA123" s="5">
        <v>119</v>
      </c>
      <c r="AB123" s="5">
        <f>求节点(T$6:T$44,$C$67:$C$105,$AA123)</f>
        <v>0</v>
      </c>
      <c r="AC123" s="5">
        <f>求节点(U$6:U$44,$C$67:$C$105,$AA123)</f>
        <v>0</v>
      </c>
      <c r="AD123" s="5">
        <f>求节点(V$6:V$44,$C$67:$C$105,$AA123)</f>
        <v>0</v>
      </c>
      <c r="AE123" s="5">
        <f>求节点(W$6:W$44,$C$67:$C$105,$AA123)</f>
        <v>0</v>
      </c>
      <c r="AF123" s="5">
        <f>求节点(X$6:X$44,$C$67:$C$105,$AA123)</f>
        <v>0</v>
      </c>
      <c r="AG123" s="5">
        <f>求节点(T$6:T$44,$D$67:$D$105,$AA123)+求节点(T$67:T$105,$Q$67:$Q$105,$AA123)</f>
        <v>102728760</v>
      </c>
      <c r="AH123" s="5">
        <f>求节点(U$6:U$44,$D$67:$D$105,$AA123)+求节点(U$67:U$105,$Q$67:$Q$105,$AA123)</f>
        <v>102728760</v>
      </c>
      <c r="AI123" s="5">
        <f>求节点(V$6:V$44,$D$67:$D$105,$AA123)+求节点(V$67:V$105,$Q$67:$Q$105,$AA123)</f>
        <v>102728760</v>
      </c>
      <c r="AJ123" s="5">
        <f>求节点(W$6:W$44,$D$67:$D$105,$AA123)+求节点(W$67:W$105,$Q$67:$Q$105,$AA123)</f>
        <v>102728760</v>
      </c>
      <c r="AK123" s="5">
        <f>求节点(X$6:X$44,$D$67:$D$105,$AA123)+求节点(X$67:X$105,$Q$67:$Q$105,$AA123)</f>
        <v>102728760</v>
      </c>
      <c r="AL123" s="5">
        <f>求节点(T$6:T$44,$F$67:$F$105,$AA123)+求节点(T$67:T$105,$P$67:$P$105,$AA123)</f>
        <v>1848000</v>
      </c>
      <c r="AM123" s="5">
        <f>求节点(U$6:U$44,$F$67:$F$105,$AA123)+求节点(U$67:U$105,$P$67:$P$105,$AA123)</f>
        <v>1848000</v>
      </c>
      <c r="AN123" s="5">
        <f>求节点(V$6:V$44,$F$67:$F$105,$AA123)+求节点(V$67:V$105,$P$67:$P$105,$AA123)</f>
        <v>1848000</v>
      </c>
      <c r="AO123" s="5">
        <f>求节点(W$6:W$44,$F$67:$F$105,$AA123)+求节点(W$67:W$105,$P$67:$P$105,$AA123)</f>
        <v>1848000</v>
      </c>
      <c r="AP123" s="5">
        <f>求节点(X$6:X$44,$F$67:$F$105,$AA123)+求节点(X$67:X$105,$P$67:$P$105,$AA123)</f>
        <v>1848000</v>
      </c>
      <c r="AQ123" s="5">
        <f>求节点(T$6:T$44,$H$67:$H$105,$AA123)</f>
        <v>963600</v>
      </c>
      <c r="AR123" s="5">
        <f>求节点(U$6:U$44,$H$67:$H$105,$AA123)</f>
        <v>963600</v>
      </c>
      <c r="AS123" s="5">
        <f>求节点(V$6:V$44,$H$67:$H$105,$AA123)</f>
        <v>963600</v>
      </c>
      <c r="AT123" s="5">
        <f>求节点(W$6:W$44,$H$67:$H$105,$AA123)</f>
        <v>963600</v>
      </c>
      <c r="AU123" s="5">
        <f>求节点(X$6:X$44,$H$67:$H$105,$AA123)</f>
        <v>963600</v>
      </c>
      <c r="AV123" s="5">
        <f>求节点(T$6:T$44,$I$67:$I$105,$AA123)</f>
        <v>25320000</v>
      </c>
      <c r="AW123" s="5">
        <f>求节点(U$6:U$44,$I$67:$I$105,$AA123)</f>
        <v>25320000</v>
      </c>
      <c r="AX123" s="5">
        <f>求节点(V$6:V$44,$I$67:$I$105,$AA123)</f>
        <v>25320000</v>
      </c>
      <c r="AY123" s="5">
        <f>求节点(W$6:W$44,$I$67:$I$105,$AA123)</f>
        <v>25320000</v>
      </c>
      <c r="AZ123" s="5">
        <f>求节点(X$6:X$44,$I$67:$I$105,$AA123)</f>
        <v>25320000</v>
      </c>
      <c r="BA123" s="5">
        <f>求节点(T$6:T$44,$E$67:$E$105,$AA123)+求节点(T$6:T$44,$K$67:$K$105,$AA123)+求节点(T$67:T$105,$O$67:$O$105,$AA123)</f>
        <v>8112</v>
      </c>
      <c r="BB123" s="5">
        <f>求节点(U$6:U$44,$E$67:$E$105,$AA123)+求节点(U$6:U$44,$K$67:$K$105,$AA123)+求节点(U$67:U$105,$O$67:$O$105,$AA123)</f>
        <v>8112</v>
      </c>
      <c r="BC123" s="5">
        <f>求节点(V$6:V$44,$E$67:$E$105,$AA123)+求节点(V$6:V$44,$K$67:$K$105,$AA123)+求节点(V$67:V$105,$O$67:$O$105,$AA123)</f>
        <v>8112</v>
      </c>
      <c r="BD123" s="5">
        <f>求节点(W$6:W$44,$E$67:$E$105,$AA123)+求节点(W$6:W$44,$K$67:$K$105,$AA123)+求节点(W$67:W$105,$O$67:$O$105,$AA123)</f>
        <v>8112</v>
      </c>
      <c r="BE123" s="5">
        <f>求节点(X$6:X$44,$E$67:$E$105,$AA123)+求节点(X$6:X$44,$K$67:$K$105,$AA123)+求节点(X$67:X$105,$O$67:$O$105,$AA123)</f>
        <v>8112</v>
      </c>
      <c r="BF123" s="5">
        <f>求节点(T$6:T$44,$G$67:$G$105,$AA123)</f>
        <v>0</v>
      </c>
      <c r="BG123" s="5">
        <f>求节点(U$6:U$44,$G$67:$G$105,$AA123)</f>
        <v>0</v>
      </c>
      <c r="BH123" s="5">
        <f>求节点(V$6:V$44,$G$67:$G$105,$AA123)</f>
        <v>0</v>
      </c>
      <c r="BI123" s="5">
        <f>求节点(W$6:W$44,$G$67:$G$105,$AA123)</f>
        <v>0</v>
      </c>
      <c r="BJ123" s="5">
        <f>求节点(X$6:X$44,$G$67:$G$105,$AA123)</f>
        <v>0</v>
      </c>
      <c r="BK123" s="5">
        <f>求节点(T$6:T$44,$M$67:$M$105,$AA123)</f>
        <v>78</v>
      </c>
      <c r="BL123" s="5">
        <f>求节点(U$6:U$44,$M$67:$M$105,$AA123)</f>
        <v>78</v>
      </c>
      <c r="BM123" s="5">
        <f>求节点(V$6:V$44,$M$67:$M$105,$AA123)</f>
        <v>78</v>
      </c>
      <c r="BN123" s="5">
        <f>求节点(W$6:W$44,$M$67:$M$105,$AA123)</f>
        <v>78</v>
      </c>
      <c r="BO123" s="5">
        <f>求节点(X$6:X$44,$M$67:$M$105,$AA123)</f>
        <v>78</v>
      </c>
      <c r="BP123" s="5">
        <f>求节点(T$67:T$105,$L$67:$L$105,$AA123)</f>
        <v>0</v>
      </c>
      <c r="BQ123" s="5">
        <f>求节点(U$67:U$105,$L$67:$L$105,$AA123)</f>
        <v>0</v>
      </c>
      <c r="BR123" s="5">
        <f>求节点(V$67:V$105,$L$67:$L$105,$AA123)</f>
        <v>0</v>
      </c>
      <c r="BS123" s="5">
        <f>求节点(W$67:W$105,$L$67:$L$105,$AA123)</f>
        <v>0</v>
      </c>
      <c r="BT123" s="5">
        <f>求节点(X$67:X$105,$L$67:$L$105,$AA123)</f>
        <v>0</v>
      </c>
      <c r="BZ123" s="5">
        <v>119</v>
      </c>
      <c r="CA123" s="5">
        <f t="shared" si="60"/>
        <v>8112</v>
      </c>
      <c r="CB123" s="5">
        <f t="shared" si="61"/>
        <v>8112</v>
      </c>
      <c r="CC123" s="5">
        <f t="shared" si="62"/>
        <v>8112</v>
      </c>
      <c r="CD123" s="5">
        <f t="shared" si="63"/>
        <v>8112</v>
      </c>
      <c r="CE123" s="5">
        <f t="shared" si="64"/>
        <v>8112</v>
      </c>
      <c r="CF123" s="5">
        <f>(CA123-CA122)/节奏总纲!W122</f>
        <v>0</v>
      </c>
      <c r="CI123" s="5">
        <v>119</v>
      </c>
      <c r="CJ123" s="5">
        <f t="shared" si="65"/>
        <v>18720</v>
      </c>
      <c r="CK123" s="5">
        <f t="shared" si="66"/>
        <v>18720</v>
      </c>
      <c r="CL123" s="5">
        <f t="shared" si="67"/>
        <v>18720</v>
      </c>
      <c r="CM123" s="5">
        <f t="shared" si="68"/>
        <v>18720</v>
      </c>
      <c r="CN123" s="5">
        <f t="shared" si="69"/>
        <v>18720</v>
      </c>
      <c r="CO123" s="5">
        <f>(CJ123-CJ122)/节奏总纲!W122</f>
        <v>0</v>
      </c>
      <c r="CP123" s="5">
        <f t="shared" si="70"/>
        <v>0</v>
      </c>
      <c r="CR123" s="5">
        <v>119</v>
      </c>
      <c r="CS123" s="5">
        <f t="shared" si="71"/>
        <v>0</v>
      </c>
      <c r="CT123" s="5">
        <f t="shared" si="72"/>
        <v>0</v>
      </c>
      <c r="CU123" s="5">
        <f t="shared" si="73"/>
        <v>0</v>
      </c>
      <c r="CV123" s="5">
        <f t="shared" si="74"/>
        <v>0</v>
      </c>
      <c r="CW123" s="5">
        <f t="shared" si="75"/>
        <v>0</v>
      </c>
      <c r="CX123" s="5">
        <f t="shared" si="76"/>
        <v>0</v>
      </c>
      <c r="CY123" s="5">
        <f t="shared" si="77"/>
        <v>0</v>
      </c>
      <c r="CZ123" s="5">
        <f t="shared" si="78"/>
        <v>0</v>
      </c>
      <c r="DA123" s="5">
        <f t="shared" si="79"/>
        <v>0</v>
      </c>
      <c r="DB123" s="5">
        <f t="shared" si="80"/>
        <v>0</v>
      </c>
    </row>
    <row r="124" spans="3:106" x14ac:dyDescent="0.15">
      <c r="AA124" s="5">
        <v>120</v>
      </c>
      <c r="AB124" s="5">
        <f>求节点(T$6:T$44,$C$67:$C$105,$AA124)</f>
        <v>0</v>
      </c>
      <c r="AC124" s="5">
        <f>求节点(U$6:U$44,$C$67:$C$105,$AA124)</f>
        <v>0</v>
      </c>
      <c r="AD124" s="5">
        <f>求节点(V$6:V$44,$C$67:$C$105,$AA124)</f>
        <v>0</v>
      </c>
      <c r="AE124" s="5">
        <f>求节点(W$6:W$44,$C$67:$C$105,$AA124)</f>
        <v>0</v>
      </c>
      <c r="AF124" s="5">
        <f>求节点(X$6:X$44,$C$67:$C$105,$AA124)</f>
        <v>0</v>
      </c>
      <c r="AG124" s="5">
        <f>求节点(T$6:T$44,$D$67:$D$105,$AA124)+求节点(T$67:T$105,$Q$67:$Q$105,$AA124)</f>
        <v>102728760</v>
      </c>
      <c r="AH124" s="5">
        <f>求节点(U$6:U$44,$D$67:$D$105,$AA124)+求节点(U$67:U$105,$Q$67:$Q$105,$AA124)</f>
        <v>102728760</v>
      </c>
      <c r="AI124" s="5">
        <f>求节点(V$6:V$44,$D$67:$D$105,$AA124)+求节点(V$67:V$105,$Q$67:$Q$105,$AA124)</f>
        <v>102728760</v>
      </c>
      <c r="AJ124" s="5">
        <f>求节点(W$6:W$44,$D$67:$D$105,$AA124)+求节点(W$67:W$105,$Q$67:$Q$105,$AA124)</f>
        <v>102728760</v>
      </c>
      <c r="AK124" s="5">
        <f>求节点(X$6:X$44,$D$67:$D$105,$AA124)+求节点(X$67:X$105,$Q$67:$Q$105,$AA124)</f>
        <v>102728760</v>
      </c>
      <c r="AL124" s="5">
        <f>求节点(T$6:T$44,$F$67:$F$105,$AA124)+求节点(T$67:T$105,$P$67:$P$105,$AA124)</f>
        <v>1848000</v>
      </c>
      <c r="AM124" s="5">
        <f>求节点(U$6:U$44,$F$67:$F$105,$AA124)+求节点(U$67:U$105,$P$67:$P$105,$AA124)</f>
        <v>1848000</v>
      </c>
      <c r="AN124" s="5">
        <f>求节点(V$6:V$44,$F$67:$F$105,$AA124)+求节点(V$67:V$105,$P$67:$P$105,$AA124)</f>
        <v>1848000</v>
      </c>
      <c r="AO124" s="5">
        <f>求节点(W$6:W$44,$F$67:$F$105,$AA124)+求节点(W$67:W$105,$P$67:$P$105,$AA124)</f>
        <v>1848000</v>
      </c>
      <c r="AP124" s="5">
        <f>求节点(X$6:X$44,$F$67:$F$105,$AA124)+求节点(X$67:X$105,$P$67:$P$105,$AA124)</f>
        <v>1848000</v>
      </c>
      <c r="AQ124" s="5">
        <f>求节点(T$6:T$44,$H$67:$H$105,$AA124)</f>
        <v>963600</v>
      </c>
      <c r="AR124" s="5">
        <f>求节点(U$6:U$44,$H$67:$H$105,$AA124)</f>
        <v>963600</v>
      </c>
      <c r="AS124" s="5">
        <f>求节点(V$6:V$44,$H$67:$H$105,$AA124)</f>
        <v>963600</v>
      </c>
      <c r="AT124" s="5">
        <f>求节点(W$6:W$44,$H$67:$H$105,$AA124)</f>
        <v>963600</v>
      </c>
      <c r="AU124" s="5">
        <f>求节点(X$6:X$44,$H$67:$H$105,$AA124)</f>
        <v>963600</v>
      </c>
      <c r="AV124" s="5">
        <f>求节点(T$6:T$44,$I$67:$I$105,$AA124)</f>
        <v>25320000</v>
      </c>
      <c r="AW124" s="5">
        <f>求节点(U$6:U$44,$I$67:$I$105,$AA124)</f>
        <v>25320000</v>
      </c>
      <c r="AX124" s="5">
        <f>求节点(V$6:V$44,$I$67:$I$105,$AA124)</f>
        <v>25320000</v>
      </c>
      <c r="AY124" s="5">
        <f>求节点(W$6:W$44,$I$67:$I$105,$AA124)</f>
        <v>25320000</v>
      </c>
      <c r="AZ124" s="5">
        <f>求节点(X$6:X$44,$I$67:$I$105,$AA124)</f>
        <v>25320000</v>
      </c>
      <c r="BA124" s="5">
        <f>求节点(T$6:T$44,$E$67:$E$105,$AA124)+求节点(T$6:T$44,$K$67:$K$105,$AA124)+求节点(T$67:T$105,$O$67:$O$105,$AA124)</f>
        <v>8112</v>
      </c>
      <c r="BB124" s="5">
        <f>求节点(U$6:U$44,$E$67:$E$105,$AA124)+求节点(U$6:U$44,$K$67:$K$105,$AA124)+求节点(U$67:U$105,$O$67:$O$105,$AA124)</f>
        <v>8112</v>
      </c>
      <c r="BC124" s="5">
        <f>求节点(V$6:V$44,$E$67:$E$105,$AA124)+求节点(V$6:V$44,$K$67:$K$105,$AA124)+求节点(V$67:V$105,$O$67:$O$105,$AA124)</f>
        <v>8112</v>
      </c>
      <c r="BD124" s="5">
        <f>求节点(W$6:W$44,$E$67:$E$105,$AA124)+求节点(W$6:W$44,$K$67:$K$105,$AA124)+求节点(W$67:W$105,$O$67:$O$105,$AA124)</f>
        <v>8112</v>
      </c>
      <c r="BE124" s="5">
        <f>求节点(X$6:X$44,$E$67:$E$105,$AA124)+求节点(X$6:X$44,$K$67:$K$105,$AA124)+求节点(X$67:X$105,$O$67:$O$105,$AA124)</f>
        <v>8112</v>
      </c>
      <c r="BF124" s="5">
        <f>求节点(T$6:T$44,$G$67:$G$105,$AA124)</f>
        <v>0</v>
      </c>
      <c r="BG124" s="5">
        <f>求节点(U$6:U$44,$G$67:$G$105,$AA124)</f>
        <v>0</v>
      </c>
      <c r="BH124" s="5">
        <f>求节点(V$6:V$44,$G$67:$G$105,$AA124)</f>
        <v>0</v>
      </c>
      <c r="BI124" s="5">
        <f>求节点(W$6:W$44,$G$67:$G$105,$AA124)</f>
        <v>0</v>
      </c>
      <c r="BJ124" s="5">
        <f>求节点(X$6:X$44,$G$67:$G$105,$AA124)</f>
        <v>0</v>
      </c>
      <c r="BK124" s="5">
        <f>求节点(T$6:T$44,$M$67:$M$105,$AA124)</f>
        <v>78</v>
      </c>
      <c r="BL124" s="5">
        <f>求节点(U$6:U$44,$M$67:$M$105,$AA124)</f>
        <v>78</v>
      </c>
      <c r="BM124" s="5">
        <f>求节点(V$6:V$44,$M$67:$M$105,$AA124)</f>
        <v>78</v>
      </c>
      <c r="BN124" s="5">
        <f>求节点(W$6:W$44,$M$67:$M$105,$AA124)</f>
        <v>78</v>
      </c>
      <c r="BO124" s="5">
        <f>求节点(X$6:X$44,$M$67:$M$105,$AA124)</f>
        <v>78</v>
      </c>
      <c r="BP124" s="5">
        <f>求节点(T$67:T$105,$L$67:$L$105,$AA124)</f>
        <v>0</v>
      </c>
      <c r="BQ124" s="5">
        <f>求节点(U$67:U$105,$L$67:$L$105,$AA124)</f>
        <v>0</v>
      </c>
      <c r="BR124" s="5">
        <f>求节点(V$67:V$105,$L$67:$L$105,$AA124)</f>
        <v>0</v>
      </c>
      <c r="BS124" s="5">
        <f>求节点(W$67:W$105,$L$67:$L$105,$AA124)</f>
        <v>0</v>
      </c>
      <c r="BT124" s="5">
        <f>求节点(X$67:X$105,$L$67:$L$105,$AA124)</f>
        <v>0</v>
      </c>
      <c r="BZ124" s="5">
        <v>120</v>
      </c>
      <c r="CA124" s="5">
        <f t="shared" si="60"/>
        <v>8112</v>
      </c>
      <c r="CB124" s="5">
        <f t="shared" si="61"/>
        <v>8112</v>
      </c>
      <c r="CC124" s="5">
        <f t="shared" si="62"/>
        <v>8112</v>
      </c>
      <c r="CD124" s="5">
        <f t="shared" si="63"/>
        <v>8112</v>
      </c>
      <c r="CE124" s="5">
        <f t="shared" si="64"/>
        <v>8112</v>
      </c>
      <c r="CF124" s="5">
        <f>(CA124-CA123)/节奏总纲!W123</f>
        <v>0</v>
      </c>
      <c r="CI124" s="5">
        <v>120</v>
      </c>
      <c r="CJ124" s="5">
        <f t="shared" si="65"/>
        <v>18720</v>
      </c>
      <c r="CK124" s="5">
        <f t="shared" si="66"/>
        <v>18720</v>
      </c>
      <c r="CL124" s="5">
        <f t="shared" si="67"/>
        <v>18720</v>
      </c>
      <c r="CM124" s="5">
        <f t="shared" si="68"/>
        <v>18720</v>
      </c>
      <c r="CN124" s="5">
        <f t="shared" si="69"/>
        <v>18720</v>
      </c>
      <c r="CO124" s="5">
        <f>(CJ124-CJ123)/节奏总纲!W123</f>
        <v>0</v>
      </c>
      <c r="CP124" s="5">
        <f t="shared" si="70"/>
        <v>0</v>
      </c>
      <c r="CR124" s="5">
        <v>120</v>
      </c>
      <c r="CS124" s="5">
        <f t="shared" si="71"/>
        <v>0</v>
      </c>
      <c r="CT124" s="5">
        <f t="shared" si="72"/>
        <v>0</v>
      </c>
      <c r="CU124" s="5">
        <f t="shared" si="73"/>
        <v>0</v>
      </c>
      <c r="CV124" s="5">
        <f t="shared" si="74"/>
        <v>0</v>
      </c>
      <c r="CW124" s="5">
        <f t="shared" si="75"/>
        <v>0</v>
      </c>
      <c r="CX124" s="5">
        <f t="shared" si="76"/>
        <v>0</v>
      </c>
      <c r="CY124" s="5">
        <f t="shared" si="77"/>
        <v>0</v>
      </c>
      <c r="CZ124" s="5">
        <f t="shared" si="78"/>
        <v>0</v>
      </c>
      <c r="DA124" s="5">
        <f t="shared" si="79"/>
        <v>0</v>
      </c>
      <c r="DB124" s="5">
        <f t="shared" si="80"/>
        <v>0</v>
      </c>
    </row>
    <row r="125" spans="3:106" x14ac:dyDescent="0.15">
      <c r="AA125" s="5">
        <v>121</v>
      </c>
      <c r="AB125" s="5">
        <f>求节点(T$6:T$44,$C$67:$C$105,$AA125)</f>
        <v>0</v>
      </c>
      <c r="AC125" s="5">
        <f>求节点(U$6:U$44,$C$67:$C$105,$AA125)</f>
        <v>0</v>
      </c>
      <c r="AD125" s="5">
        <f>求节点(V$6:V$44,$C$67:$C$105,$AA125)</f>
        <v>0</v>
      </c>
      <c r="AE125" s="5">
        <f>求节点(W$6:W$44,$C$67:$C$105,$AA125)</f>
        <v>0</v>
      </c>
      <c r="AF125" s="5">
        <f>求节点(X$6:X$44,$C$67:$C$105,$AA125)</f>
        <v>0</v>
      </c>
      <c r="AG125" s="5">
        <f>求节点(T$6:T$44,$D$67:$D$105,$AA125)+求节点(T$67:T$105,$Q$67:$Q$105,$AA125)</f>
        <v>102728760</v>
      </c>
      <c r="AH125" s="5">
        <f>求节点(U$6:U$44,$D$67:$D$105,$AA125)+求节点(U$67:U$105,$Q$67:$Q$105,$AA125)</f>
        <v>102728760</v>
      </c>
      <c r="AI125" s="5">
        <f>求节点(V$6:V$44,$D$67:$D$105,$AA125)+求节点(V$67:V$105,$Q$67:$Q$105,$AA125)</f>
        <v>102728760</v>
      </c>
      <c r="AJ125" s="5">
        <f>求节点(W$6:W$44,$D$67:$D$105,$AA125)+求节点(W$67:W$105,$Q$67:$Q$105,$AA125)</f>
        <v>102728760</v>
      </c>
      <c r="AK125" s="5">
        <f>求节点(X$6:X$44,$D$67:$D$105,$AA125)+求节点(X$67:X$105,$Q$67:$Q$105,$AA125)</f>
        <v>102728760</v>
      </c>
      <c r="AL125" s="5">
        <f>求节点(T$6:T$44,$F$67:$F$105,$AA125)+求节点(T$67:T$105,$P$67:$P$105,$AA125)</f>
        <v>1848000</v>
      </c>
      <c r="AM125" s="5">
        <f>求节点(U$6:U$44,$F$67:$F$105,$AA125)+求节点(U$67:U$105,$P$67:$P$105,$AA125)</f>
        <v>1848000</v>
      </c>
      <c r="AN125" s="5">
        <f>求节点(V$6:V$44,$F$67:$F$105,$AA125)+求节点(V$67:V$105,$P$67:$P$105,$AA125)</f>
        <v>1848000</v>
      </c>
      <c r="AO125" s="5">
        <f>求节点(W$6:W$44,$F$67:$F$105,$AA125)+求节点(W$67:W$105,$P$67:$P$105,$AA125)</f>
        <v>1848000</v>
      </c>
      <c r="AP125" s="5">
        <f>求节点(X$6:X$44,$F$67:$F$105,$AA125)+求节点(X$67:X$105,$P$67:$P$105,$AA125)</f>
        <v>1848000</v>
      </c>
      <c r="AQ125" s="5">
        <f>求节点(T$6:T$44,$H$67:$H$105,$AA125)</f>
        <v>963600</v>
      </c>
      <c r="AR125" s="5">
        <f>求节点(U$6:U$44,$H$67:$H$105,$AA125)</f>
        <v>963600</v>
      </c>
      <c r="AS125" s="5">
        <f>求节点(V$6:V$44,$H$67:$H$105,$AA125)</f>
        <v>963600</v>
      </c>
      <c r="AT125" s="5">
        <f>求节点(W$6:W$44,$H$67:$H$105,$AA125)</f>
        <v>963600</v>
      </c>
      <c r="AU125" s="5">
        <f>求节点(X$6:X$44,$H$67:$H$105,$AA125)</f>
        <v>963600</v>
      </c>
      <c r="AV125" s="5">
        <f>求节点(T$6:T$44,$I$67:$I$105,$AA125)</f>
        <v>25320000</v>
      </c>
      <c r="AW125" s="5">
        <f>求节点(U$6:U$44,$I$67:$I$105,$AA125)</f>
        <v>25320000</v>
      </c>
      <c r="AX125" s="5">
        <f>求节点(V$6:V$44,$I$67:$I$105,$AA125)</f>
        <v>25320000</v>
      </c>
      <c r="AY125" s="5">
        <f>求节点(W$6:W$44,$I$67:$I$105,$AA125)</f>
        <v>25320000</v>
      </c>
      <c r="AZ125" s="5">
        <f>求节点(X$6:X$44,$I$67:$I$105,$AA125)</f>
        <v>25320000</v>
      </c>
      <c r="BA125" s="5">
        <f>求节点(T$6:T$44,$E$67:$E$105,$AA125)+求节点(T$6:T$44,$K$67:$K$105,$AA125)+求节点(T$67:T$105,$O$67:$O$105,$AA125)</f>
        <v>8112</v>
      </c>
      <c r="BB125" s="5">
        <f>求节点(U$6:U$44,$E$67:$E$105,$AA125)+求节点(U$6:U$44,$K$67:$K$105,$AA125)+求节点(U$67:U$105,$O$67:$O$105,$AA125)</f>
        <v>8112</v>
      </c>
      <c r="BC125" s="5">
        <f>求节点(V$6:V$44,$E$67:$E$105,$AA125)+求节点(V$6:V$44,$K$67:$K$105,$AA125)+求节点(V$67:V$105,$O$67:$O$105,$AA125)</f>
        <v>8112</v>
      </c>
      <c r="BD125" s="5">
        <f>求节点(W$6:W$44,$E$67:$E$105,$AA125)+求节点(W$6:W$44,$K$67:$K$105,$AA125)+求节点(W$67:W$105,$O$67:$O$105,$AA125)</f>
        <v>8112</v>
      </c>
      <c r="BE125" s="5">
        <f>求节点(X$6:X$44,$E$67:$E$105,$AA125)+求节点(X$6:X$44,$K$67:$K$105,$AA125)+求节点(X$67:X$105,$O$67:$O$105,$AA125)</f>
        <v>8112</v>
      </c>
      <c r="BF125" s="5">
        <f>求节点(T$6:T$44,$G$67:$G$105,$AA125)</f>
        <v>0</v>
      </c>
      <c r="BG125" s="5">
        <f>求节点(U$6:U$44,$G$67:$G$105,$AA125)</f>
        <v>0</v>
      </c>
      <c r="BH125" s="5">
        <f>求节点(V$6:V$44,$G$67:$G$105,$AA125)</f>
        <v>0</v>
      </c>
      <c r="BI125" s="5">
        <f>求节点(W$6:W$44,$G$67:$G$105,$AA125)</f>
        <v>0</v>
      </c>
      <c r="BJ125" s="5">
        <f>求节点(X$6:X$44,$G$67:$G$105,$AA125)</f>
        <v>0</v>
      </c>
      <c r="BK125" s="5">
        <f>求节点(T$6:T$44,$M$67:$M$105,$AA125)</f>
        <v>78</v>
      </c>
      <c r="BL125" s="5">
        <f>求节点(U$6:U$44,$M$67:$M$105,$AA125)</f>
        <v>78</v>
      </c>
      <c r="BM125" s="5">
        <f>求节点(V$6:V$44,$M$67:$M$105,$AA125)</f>
        <v>78</v>
      </c>
      <c r="BN125" s="5">
        <f>求节点(W$6:W$44,$M$67:$M$105,$AA125)</f>
        <v>78</v>
      </c>
      <c r="BO125" s="5">
        <f>求节点(X$6:X$44,$M$67:$M$105,$AA125)</f>
        <v>78</v>
      </c>
      <c r="BP125" s="5">
        <f>求节点(T$67:T$105,$L$67:$L$105,$AA125)</f>
        <v>0</v>
      </c>
      <c r="BQ125" s="5">
        <f>求节点(U$67:U$105,$L$67:$L$105,$AA125)</f>
        <v>0</v>
      </c>
      <c r="BR125" s="5">
        <f>求节点(V$67:V$105,$L$67:$L$105,$AA125)</f>
        <v>0</v>
      </c>
      <c r="BS125" s="5">
        <f>求节点(W$67:W$105,$L$67:$L$105,$AA125)</f>
        <v>0</v>
      </c>
      <c r="BT125" s="5">
        <f>求节点(X$67:X$105,$L$67:$L$105,$AA125)</f>
        <v>0</v>
      </c>
      <c r="BZ125" s="5">
        <v>121</v>
      </c>
      <c r="CA125" s="5">
        <f t="shared" si="60"/>
        <v>8112</v>
      </c>
      <c r="CB125" s="5">
        <f t="shared" si="61"/>
        <v>8112</v>
      </c>
      <c r="CC125" s="5">
        <f t="shared" si="62"/>
        <v>8112</v>
      </c>
      <c r="CD125" s="5">
        <f t="shared" si="63"/>
        <v>8112</v>
      </c>
      <c r="CE125" s="5">
        <f t="shared" si="64"/>
        <v>8112</v>
      </c>
      <c r="CF125" s="5">
        <f>(CA125-CA124)/节奏总纲!W124</f>
        <v>0</v>
      </c>
      <c r="CI125" s="5">
        <v>121</v>
      </c>
      <c r="CJ125" s="5">
        <f t="shared" si="65"/>
        <v>18720</v>
      </c>
      <c r="CK125" s="5">
        <f t="shared" si="66"/>
        <v>18720</v>
      </c>
      <c r="CL125" s="5">
        <f t="shared" si="67"/>
        <v>18720</v>
      </c>
      <c r="CM125" s="5">
        <f t="shared" si="68"/>
        <v>18720</v>
      </c>
      <c r="CN125" s="5">
        <f t="shared" si="69"/>
        <v>18720</v>
      </c>
      <c r="CO125" s="5">
        <f>(CJ125-CJ124)/节奏总纲!W124</f>
        <v>0</v>
      </c>
      <c r="CP125" s="5">
        <f t="shared" si="70"/>
        <v>0</v>
      </c>
      <c r="CR125" s="5">
        <v>121</v>
      </c>
      <c r="CS125" s="5">
        <f t="shared" si="71"/>
        <v>0</v>
      </c>
      <c r="CT125" s="5">
        <f t="shared" si="72"/>
        <v>0</v>
      </c>
      <c r="CU125" s="5">
        <f t="shared" si="73"/>
        <v>0</v>
      </c>
      <c r="CV125" s="5">
        <f t="shared" si="74"/>
        <v>0</v>
      </c>
      <c r="CW125" s="5">
        <f t="shared" si="75"/>
        <v>0</v>
      </c>
      <c r="CX125" s="5">
        <f t="shared" si="76"/>
        <v>0</v>
      </c>
      <c r="CY125" s="5">
        <f t="shared" si="77"/>
        <v>0</v>
      </c>
      <c r="CZ125" s="5">
        <f t="shared" si="78"/>
        <v>0</v>
      </c>
      <c r="DA125" s="5">
        <f t="shared" si="79"/>
        <v>0</v>
      </c>
      <c r="DB125" s="5">
        <f t="shared" si="80"/>
        <v>0</v>
      </c>
    </row>
    <row r="126" spans="3:106" x14ac:dyDescent="0.15">
      <c r="AA126" s="5">
        <v>122</v>
      </c>
      <c r="AB126" s="5">
        <f>求节点(T$6:T$44,$C$67:$C$105,$AA126)</f>
        <v>0</v>
      </c>
      <c r="AC126" s="5">
        <f>求节点(U$6:U$44,$C$67:$C$105,$AA126)</f>
        <v>0</v>
      </c>
      <c r="AD126" s="5">
        <f>求节点(V$6:V$44,$C$67:$C$105,$AA126)</f>
        <v>0</v>
      </c>
      <c r="AE126" s="5">
        <f>求节点(W$6:W$44,$C$67:$C$105,$AA126)</f>
        <v>0</v>
      </c>
      <c r="AF126" s="5">
        <f>求节点(X$6:X$44,$C$67:$C$105,$AA126)</f>
        <v>0</v>
      </c>
      <c r="AG126" s="5">
        <f>求节点(T$6:T$44,$D$67:$D$105,$AA126)+求节点(T$67:T$105,$Q$67:$Q$105,$AA126)</f>
        <v>102728760</v>
      </c>
      <c r="AH126" s="5">
        <f>求节点(U$6:U$44,$D$67:$D$105,$AA126)+求节点(U$67:U$105,$Q$67:$Q$105,$AA126)</f>
        <v>102728760</v>
      </c>
      <c r="AI126" s="5">
        <f>求节点(V$6:V$44,$D$67:$D$105,$AA126)+求节点(V$67:V$105,$Q$67:$Q$105,$AA126)</f>
        <v>102728760</v>
      </c>
      <c r="AJ126" s="5">
        <f>求节点(W$6:W$44,$D$67:$D$105,$AA126)+求节点(W$67:W$105,$Q$67:$Q$105,$AA126)</f>
        <v>102728760</v>
      </c>
      <c r="AK126" s="5">
        <f>求节点(X$6:X$44,$D$67:$D$105,$AA126)+求节点(X$67:X$105,$Q$67:$Q$105,$AA126)</f>
        <v>102728760</v>
      </c>
      <c r="AL126" s="5">
        <f>求节点(T$6:T$44,$F$67:$F$105,$AA126)+求节点(T$67:T$105,$P$67:$P$105,$AA126)</f>
        <v>1848000</v>
      </c>
      <c r="AM126" s="5">
        <f>求节点(U$6:U$44,$F$67:$F$105,$AA126)+求节点(U$67:U$105,$P$67:$P$105,$AA126)</f>
        <v>1848000</v>
      </c>
      <c r="AN126" s="5">
        <f>求节点(V$6:V$44,$F$67:$F$105,$AA126)+求节点(V$67:V$105,$P$67:$P$105,$AA126)</f>
        <v>1848000</v>
      </c>
      <c r="AO126" s="5">
        <f>求节点(W$6:W$44,$F$67:$F$105,$AA126)+求节点(W$67:W$105,$P$67:$P$105,$AA126)</f>
        <v>1848000</v>
      </c>
      <c r="AP126" s="5">
        <f>求节点(X$6:X$44,$F$67:$F$105,$AA126)+求节点(X$67:X$105,$P$67:$P$105,$AA126)</f>
        <v>1848000</v>
      </c>
      <c r="AQ126" s="5">
        <f>求节点(T$6:T$44,$H$67:$H$105,$AA126)</f>
        <v>963600</v>
      </c>
      <c r="AR126" s="5">
        <f>求节点(U$6:U$44,$H$67:$H$105,$AA126)</f>
        <v>963600</v>
      </c>
      <c r="AS126" s="5">
        <f>求节点(V$6:V$44,$H$67:$H$105,$AA126)</f>
        <v>963600</v>
      </c>
      <c r="AT126" s="5">
        <f>求节点(W$6:W$44,$H$67:$H$105,$AA126)</f>
        <v>963600</v>
      </c>
      <c r="AU126" s="5">
        <f>求节点(X$6:X$44,$H$67:$H$105,$AA126)</f>
        <v>963600</v>
      </c>
      <c r="AV126" s="5">
        <f>求节点(T$6:T$44,$I$67:$I$105,$AA126)</f>
        <v>25320000</v>
      </c>
      <c r="AW126" s="5">
        <f>求节点(U$6:U$44,$I$67:$I$105,$AA126)</f>
        <v>25320000</v>
      </c>
      <c r="AX126" s="5">
        <f>求节点(V$6:V$44,$I$67:$I$105,$AA126)</f>
        <v>25320000</v>
      </c>
      <c r="AY126" s="5">
        <f>求节点(W$6:W$44,$I$67:$I$105,$AA126)</f>
        <v>25320000</v>
      </c>
      <c r="AZ126" s="5">
        <f>求节点(X$6:X$44,$I$67:$I$105,$AA126)</f>
        <v>25320000</v>
      </c>
      <c r="BA126" s="5">
        <f>求节点(T$6:T$44,$E$67:$E$105,$AA126)+求节点(T$6:T$44,$K$67:$K$105,$AA126)+求节点(T$67:T$105,$O$67:$O$105,$AA126)</f>
        <v>8112</v>
      </c>
      <c r="BB126" s="5">
        <f>求节点(U$6:U$44,$E$67:$E$105,$AA126)+求节点(U$6:U$44,$K$67:$K$105,$AA126)+求节点(U$67:U$105,$O$67:$O$105,$AA126)</f>
        <v>8112</v>
      </c>
      <c r="BC126" s="5">
        <f>求节点(V$6:V$44,$E$67:$E$105,$AA126)+求节点(V$6:V$44,$K$67:$K$105,$AA126)+求节点(V$67:V$105,$O$67:$O$105,$AA126)</f>
        <v>8112</v>
      </c>
      <c r="BD126" s="5">
        <f>求节点(W$6:W$44,$E$67:$E$105,$AA126)+求节点(W$6:W$44,$K$67:$K$105,$AA126)+求节点(W$67:W$105,$O$67:$O$105,$AA126)</f>
        <v>8112</v>
      </c>
      <c r="BE126" s="5">
        <f>求节点(X$6:X$44,$E$67:$E$105,$AA126)+求节点(X$6:X$44,$K$67:$K$105,$AA126)+求节点(X$67:X$105,$O$67:$O$105,$AA126)</f>
        <v>8112</v>
      </c>
      <c r="BF126" s="5">
        <f>求节点(T$6:T$44,$G$67:$G$105,$AA126)</f>
        <v>0</v>
      </c>
      <c r="BG126" s="5">
        <f>求节点(U$6:U$44,$G$67:$G$105,$AA126)</f>
        <v>0</v>
      </c>
      <c r="BH126" s="5">
        <f>求节点(V$6:V$44,$G$67:$G$105,$AA126)</f>
        <v>0</v>
      </c>
      <c r="BI126" s="5">
        <f>求节点(W$6:W$44,$G$67:$G$105,$AA126)</f>
        <v>0</v>
      </c>
      <c r="BJ126" s="5">
        <f>求节点(X$6:X$44,$G$67:$G$105,$AA126)</f>
        <v>0</v>
      </c>
      <c r="BK126" s="5">
        <f>求节点(T$6:T$44,$M$67:$M$105,$AA126)</f>
        <v>78</v>
      </c>
      <c r="BL126" s="5">
        <f>求节点(U$6:U$44,$M$67:$M$105,$AA126)</f>
        <v>78</v>
      </c>
      <c r="BM126" s="5">
        <f>求节点(V$6:V$44,$M$67:$M$105,$AA126)</f>
        <v>78</v>
      </c>
      <c r="BN126" s="5">
        <f>求节点(W$6:W$44,$M$67:$M$105,$AA126)</f>
        <v>78</v>
      </c>
      <c r="BO126" s="5">
        <f>求节点(X$6:X$44,$M$67:$M$105,$AA126)</f>
        <v>78</v>
      </c>
      <c r="BP126" s="5">
        <f>求节点(T$67:T$105,$L$67:$L$105,$AA126)</f>
        <v>0</v>
      </c>
      <c r="BQ126" s="5">
        <f>求节点(U$67:U$105,$L$67:$L$105,$AA126)</f>
        <v>0</v>
      </c>
      <c r="BR126" s="5">
        <f>求节点(V$67:V$105,$L$67:$L$105,$AA126)</f>
        <v>0</v>
      </c>
      <c r="BS126" s="5">
        <f>求节点(W$67:W$105,$L$67:$L$105,$AA126)</f>
        <v>0</v>
      </c>
      <c r="BT126" s="5">
        <f>求节点(X$67:X$105,$L$67:$L$105,$AA126)</f>
        <v>0</v>
      </c>
      <c r="BZ126" s="5">
        <v>122</v>
      </c>
      <c r="CA126" s="5">
        <f t="shared" si="60"/>
        <v>8112</v>
      </c>
      <c r="CB126" s="5">
        <f t="shared" si="61"/>
        <v>8112</v>
      </c>
      <c r="CC126" s="5">
        <f t="shared" si="62"/>
        <v>8112</v>
      </c>
      <c r="CD126" s="5">
        <f t="shared" si="63"/>
        <v>8112</v>
      </c>
      <c r="CE126" s="5">
        <f t="shared" si="64"/>
        <v>8112</v>
      </c>
      <c r="CF126" s="5">
        <f>(CA126-CA125)/节奏总纲!W125</f>
        <v>0</v>
      </c>
      <c r="CI126" s="5">
        <v>122</v>
      </c>
      <c r="CJ126" s="5">
        <f t="shared" si="65"/>
        <v>18720</v>
      </c>
      <c r="CK126" s="5">
        <f t="shared" si="66"/>
        <v>18720</v>
      </c>
      <c r="CL126" s="5">
        <f t="shared" si="67"/>
        <v>18720</v>
      </c>
      <c r="CM126" s="5">
        <f t="shared" si="68"/>
        <v>18720</v>
      </c>
      <c r="CN126" s="5">
        <f t="shared" si="69"/>
        <v>18720</v>
      </c>
      <c r="CO126" s="5">
        <f>(CJ126-CJ125)/节奏总纲!W125</f>
        <v>0</v>
      </c>
      <c r="CP126" s="5">
        <f t="shared" si="70"/>
        <v>0</v>
      </c>
      <c r="CR126" s="5">
        <v>122</v>
      </c>
      <c r="CS126" s="5">
        <f t="shared" si="71"/>
        <v>0</v>
      </c>
      <c r="CT126" s="5">
        <f t="shared" si="72"/>
        <v>0</v>
      </c>
      <c r="CU126" s="5">
        <f t="shared" si="73"/>
        <v>0</v>
      </c>
      <c r="CV126" s="5">
        <f t="shared" si="74"/>
        <v>0</v>
      </c>
      <c r="CW126" s="5">
        <f t="shared" si="75"/>
        <v>0</v>
      </c>
      <c r="CX126" s="5">
        <f t="shared" si="76"/>
        <v>0</v>
      </c>
      <c r="CY126" s="5">
        <f t="shared" si="77"/>
        <v>0</v>
      </c>
      <c r="CZ126" s="5">
        <f t="shared" si="78"/>
        <v>0</v>
      </c>
      <c r="DA126" s="5">
        <f t="shared" si="79"/>
        <v>0</v>
      </c>
      <c r="DB126" s="5">
        <f t="shared" si="80"/>
        <v>0</v>
      </c>
    </row>
    <row r="127" spans="3:106" x14ac:dyDescent="0.15">
      <c r="AA127" s="5">
        <v>123</v>
      </c>
      <c r="AB127" s="5">
        <f>求节点(T$6:T$44,$C$67:$C$105,$AA127)</f>
        <v>0</v>
      </c>
      <c r="AC127" s="5">
        <f>求节点(U$6:U$44,$C$67:$C$105,$AA127)</f>
        <v>0</v>
      </c>
      <c r="AD127" s="5">
        <f>求节点(V$6:V$44,$C$67:$C$105,$AA127)</f>
        <v>0</v>
      </c>
      <c r="AE127" s="5">
        <f>求节点(W$6:W$44,$C$67:$C$105,$AA127)</f>
        <v>0</v>
      </c>
      <c r="AF127" s="5">
        <f>求节点(X$6:X$44,$C$67:$C$105,$AA127)</f>
        <v>0</v>
      </c>
      <c r="AG127" s="5">
        <f>求节点(T$6:T$44,$D$67:$D$105,$AA127)+求节点(T$67:T$105,$Q$67:$Q$105,$AA127)</f>
        <v>102728760</v>
      </c>
      <c r="AH127" s="5">
        <f>求节点(U$6:U$44,$D$67:$D$105,$AA127)+求节点(U$67:U$105,$Q$67:$Q$105,$AA127)</f>
        <v>102728760</v>
      </c>
      <c r="AI127" s="5">
        <f>求节点(V$6:V$44,$D$67:$D$105,$AA127)+求节点(V$67:V$105,$Q$67:$Q$105,$AA127)</f>
        <v>102728760</v>
      </c>
      <c r="AJ127" s="5">
        <f>求节点(W$6:W$44,$D$67:$D$105,$AA127)+求节点(W$67:W$105,$Q$67:$Q$105,$AA127)</f>
        <v>102728760</v>
      </c>
      <c r="AK127" s="5">
        <f>求节点(X$6:X$44,$D$67:$D$105,$AA127)+求节点(X$67:X$105,$Q$67:$Q$105,$AA127)</f>
        <v>102728760</v>
      </c>
      <c r="AL127" s="5">
        <f>求节点(T$6:T$44,$F$67:$F$105,$AA127)+求节点(T$67:T$105,$P$67:$P$105,$AA127)</f>
        <v>1848000</v>
      </c>
      <c r="AM127" s="5">
        <f>求节点(U$6:U$44,$F$67:$F$105,$AA127)+求节点(U$67:U$105,$P$67:$P$105,$AA127)</f>
        <v>1848000</v>
      </c>
      <c r="AN127" s="5">
        <f>求节点(V$6:V$44,$F$67:$F$105,$AA127)+求节点(V$67:V$105,$P$67:$P$105,$AA127)</f>
        <v>1848000</v>
      </c>
      <c r="AO127" s="5">
        <f>求节点(W$6:W$44,$F$67:$F$105,$AA127)+求节点(W$67:W$105,$P$67:$P$105,$AA127)</f>
        <v>1848000</v>
      </c>
      <c r="AP127" s="5">
        <f>求节点(X$6:X$44,$F$67:$F$105,$AA127)+求节点(X$67:X$105,$P$67:$P$105,$AA127)</f>
        <v>1848000</v>
      </c>
      <c r="AQ127" s="5">
        <f>求节点(T$6:T$44,$H$67:$H$105,$AA127)</f>
        <v>963600</v>
      </c>
      <c r="AR127" s="5">
        <f>求节点(U$6:U$44,$H$67:$H$105,$AA127)</f>
        <v>963600</v>
      </c>
      <c r="AS127" s="5">
        <f>求节点(V$6:V$44,$H$67:$H$105,$AA127)</f>
        <v>963600</v>
      </c>
      <c r="AT127" s="5">
        <f>求节点(W$6:W$44,$H$67:$H$105,$AA127)</f>
        <v>963600</v>
      </c>
      <c r="AU127" s="5">
        <f>求节点(X$6:X$44,$H$67:$H$105,$AA127)</f>
        <v>963600</v>
      </c>
      <c r="AV127" s="5">
        <f>求节点(T$6:T$44,$I$67:$I$105,$AA127)</f>
        <v>25320000</v>
      </c>
      <c r="AW127" s="5">
        <f>求节点(U$6:U$44,$I$67:$I$105,$AA127)</f>
        <v>25320000</v>
      </c>
      <c r="AX127" s="5">
        <f>求节点(V$6:V$44,$I$67:$I$105,$AA127)</f>
        <v>25320000</v>
      </c>
      <c r="AY127" s="5">
        <f>求节点(W$6:W$44,$I$67:$I$105,$AA127)</f>
        <v>25320000</v>
      </c>
      <c r="AZ127" s="5">
        <f>求节点(X$6:X$44,$I$67:$I$105,$AA127)</f>
        <v>25320000</v>
      </c>
      <c r="BA127" s="5">
        <f>求节点(T$6:T$44,$E$67:$E$105,$AA127)+求节点(T$6:T$44,$K$67:$K$105,$AA127)+求节点(T$67:T$105,$O$67:$O$105,$AA127)</f>
        <v>8112</v>
      </c>
      <c r="BB127" s="5">
        <f>求节点(U$6:U$44,$E$67:$E$105,$AA127)+求节点(U$6:U$44,$K$67:$K$105,$AA127)+求节点(U$67:U$105,$O$67:$O$105,$AA127)</f>
        <v>8112</v>
      </c>
      <c r="BC127" s="5">
        <f>求节点(V$6:V$44,$E$67:$E$105,$AA127)+求节点(V$6:V$44,$K$67:$K$105,$AA127)+求节点(V$67:V$105,$O$67:$O$105,$AA127)</f>
        <v>8112</v>
      </c>
      <c r="BD127" s="5">
        <f>求节点(W$6:W$44,$E$67:$E$105,$AA127)+求节点(W$6:W$44,$K$67:$K$105,$AA127)+求节点(W$67:W$105,$O$67:$O$105,$AA127)</f>
        <v>8112</v>
      </c>
      <c r="BE127" s="5">
        <f>求节点(X$6:X$44,$E$67:$E$105,$AA127)+求节点(X$6:X$44,$K$67:$K$105,$AA127)+求节点(X$67:X$105,$O$67:$O$105,$AA127)</f>
        <v>8112</v>
      </c>
      <c r="BF127" s="5">
        <f>求节点(T$6:T$44,$G$67:$G$105,$AA127)</f>
        <v>0</v>
      </c>
      <c r="BG127" s="5">
        <f>求节点(U$6:U$44,$G$67:$G$105,$AA127)</f>
        <v>0</v>
      </c>
      <c r="BH127" s="5">
        <f>求节点(V$6:V$44,$G$67:$G$105,$AA127)</f>
        <v>0</v>
      </c>
      <c r="BI127" s="5">
        <f>求节点(W$6:W$44,$G$67:$G$105,$AA127)</f>
        <v>0</v>
      </c>
      <c r="BJ127" s="5">
        <f>求节点(X$6:X$44,$G$67:$G$105,$AA127)</f>
        <v>0</v>
      </c>
      <c r="BK127" s="5">
        <f>求节点(T$6:T$44,$M$67:$M$105,$AA127)</f>
        <v>78</v>
      </c>
      <c r="BL127" s="5">
        <f>求节点(U$6:U$44,$M$67:$M$105,$AA127)</f>
        <v>78</v>
      </c>
      <c r="BM127" s="5">
        <f>求节点(V$6:V$44,$M$67:$M$105,$AA127)</f>
        <v>78</v>
      </c>
      <c r="BN127" s="5">
        <f>求节点(W$6:W$44,$M$67:$M$105,$AA127)</f>
        <v>78</v>
      </c>
      <c r="BO127" s="5">
        <f>求节点(X$6:X$44,$M$67:$M$105,$AA127)</f>
        <v>78</v>
      </c>
      <c r="BP127" s="5">
        <f>求节点(T$67:T$105,$L$67:$L$105,$AA127)</f>
        <v>0</v>
      </c>
      <c r="BQ127" s="5">
        <f>求节点(U$67:U$105,$L$67:$L$105,$AA127)</f>
        <v>0</v>
      </c>
      <c r="BR127" s="5">
        <f>求节点(V$67:V$105,$L$67:$L$105,$AA127)</f>
        <v>0</v>
      </c>
      <c r="BS127" s="5">
        <f>求节点(W$67:W$105,$L$67:$L$105,$AA127)</f>
        <v>0</v>
      </c>
      <c r="BT127" s="5">
        <f>求节点(X$67:X$105,$L$67:$L$105,$AA127)</f>
        <v>0</v>
      </c>
      <c r="BZ127" s="5">
        <v>123</v>
      </c>
      <c r="CA127" s="5">
        <f t="shared" si="60"/>
        <v>8112</v>
      </c>
      <c r="CB127" s="5">
        <f t="shared" si="61"/>
        <v>8112</v>
      </c>
      <c r="CC127" s="5">
        <f t="shared" si="62"/>
        <v>8112</v>
      </c>
      <c r="CD127" s="5">
        <f t="shared" si="63"/>
        <v>8112</v>
      </c>
      <c r="CE127" s="5">
        <f t="shared" si="64"/>
        <v>8112</v>
      </c>
      <c r="CF127" s="5">
        <f>(CA127-CA126)/节奏总纲!W126</f>
        <v>0</v>
      </c>
      <c r="CI127" s="5">
        <v>123</v>
      </c>
      <c r="CJ127" s="5">
        <f t="shared" si="65"/>
        <v>18720</v>
      </c>
      <c r="CK127" s="5">
        <f t="shared" si="66"/>
        <v>18720</v>
      </c>
      <c r="CL127" s="5">
        <f t="shared" si="67"/>
        <v>18720</v>
      </c>
      <c r="CM127" s="5">
        <f t="shared" si="68"/>
        <v>18720</v>
      </c>
      <c r="CN127" s="5">
        <f t="shared" si="69"/>
        <v>18720</v>
      </c>
      <c r="CO127" s="5">
        <f>(CJ127-CJ126)/节奏总纲!W126</f>
        <v>0</v>
      </c>
      <c r="CP127" s="5">
        <f t="shared" si="70"/>
        <v>0</v>
      </c>
      <c r="CR127" s="5">
        <v>123</v>
      </c>
      <c r="CS127" s="5">
        <f t="shared" si="71"/>
        <v>0</v>
      </c>
      <c r="CT127" s="5">
        <f t="shared" si="72"/>
        <v>0</v>
      </c>
      <c r="CU127" s="5">
        <f t="shared" si="73"/>
        <v>0</v>
      </c>
      <c r="CV127" s="5">
        <f t="shared" si="74"/>
        <v>0</v>
      </c>
      <c r="CW127" s="5">
        <f t="shared" si="75"/>
        <v>0</v>
      </c>
      <c r="CX127" s="5">
        <f t="shared" si="76"/>
        <v>0</v>
      </c>
      <c r="CY127" s="5">
        <f t="shared" si="77"/>
        <v>0</v>
      </c>
      <c r="CZ127" s="5">
        <f t="shared" si="78"/>
        <v>0</v>
      </c>
      <c r="DA127" s="5">
        <f t="shared" si="79"/>
        <v>0</v>
      </c>
      <c r="DB127" s="5">
        <f t="shared" si="80"/>
        <v>0</v>
      </c>
    </row>
    <row r="128" spans="3:106" x14ac:dyDescent="0.15">
      <c r="AA128" s="5">
        <v>124</v>
      </c>
      <c r="AB128" s="5">
        <f>求节点(T$6:T$44,$C$67:$C$105,$AA128)</f>
        <v>0</v>
      </c>
      <c r="AC128" s="5">
        <f>求节点(U$6:U$44,$C$67:$C$105,$AA128)</f>
        <v>0</v>
      </c>
      <c r="AD128" s="5">
        <f>求节点(V$6:V$44,$C$67:$C$105,$AA128)</f>
        <v>0</v>
      </c>
      <c r="AE128" s="5">
        <f>求节点(W$6:W$44,$C$67:$C$105,$AA128)</f>
        <v>0</v>
      </c>
      <c r="AF128" s="5">
        <f>求节点(X$6:X$44,$C$67:$C$105,$AA128)</f>
        <v>0</v>
      </c>
      <c r="AG128" s="5">
        <f>求节点(T$6:T$44,$D$67:$D$105,$AA128)+求节点(T$67:T$105,$Q$67:$Q$105,$AA128)</f>
        <v>102728760</v>
      </c>
      <c r="AH128" s="5">
        <f>求节点(U$6:U$44,$D$67:$D$105,$AA128)+求节点(U$67:U$105,$Q$67:$Q$105,$AA128)</f>
        <v>102728760</v>
      </c>
      <c r="AI128" s="5">
        <f>求节点(V$6:V$44,$D$67:$D$105,$AA128)+求节点(V$67:V$105,$Q$67:$Q$105,$AA128)</f>
        <v>102728760</v>
      </c>
      <c r="AJ128" s="5">
        <f>求节点(W$6:W$44,$D$67:$D$105,$AA128)+求节点(W$67:W$105,$Q$67:$Q$105,$AA128)</f>
        <v>102728760</v>
      </c>
      <c r="AK128" s="5">
        <f>求节点(X$6:X$44,$D$67:$D$105,$AA128)+求节点(X$67:X$105,$Q$67:$Q$105,$AA128)</f>
        <v>102728760</v>
      </c>
      <c r="AL128" s="5">
        <f>求节点(T$6:T$44,$F$67:$F$105,$AA128)+求节点(T$67:T$105,$P$67:$P$105,$AA128)</f>
        <v>1848000</v>
      </c>
      <c r="AM128" s="5">
        <f>求节点(U$6:U$44,$F$67:$F$105,$AA128)+求节点(U$67:U$105,$P$67:$P$105,$AA128)</f>
        <v>1848000</v>
      </c>
      <c r="AN128" s="5">
        <f>求节点(V$6:V$44,$F$67:$F$105,$AA128)+求节点(V$67:V$105,$P$67:$P$105,$AA128)</f>
        <v>1848000</v>
      </c>
      <c r="AO128" s="5">
        <f>求节点(W$6:W$44,$F$67:$F$105,$AA128)+求节点(W$67:W$105,$P$67:$P$105,$AA128)</f>
        <v>1848000</v>
      </c>
      <c r="AP128" s="5">
        <f>求节点(X$6:X$44,$F$67:$F$105,$AA128)+求节点(X$67:X$105,$P$67:$P$105,$AA128)</f>
        <v>1848000</v>
      </c>
      <c r="AQ128" s="5">
        <f>求节点(T$6:T$44,$H$67:$H$105,$AA128)</f>
        <v>963600</v>
      </c>
      <c r="AR128" s="5">
        <f>求节点(U$6:U$44,$H$67:$H$105,$AA128)</f>
        <v>963600</v>
      </c>
      <c r="AS128" s="5">
        <f>求节点(V$6:V$44,$H$67:$H$105,$AA128)</f>
        <v>963600</v>
      </c>
      <c r="AT128" s="5">
        <f>求节点(W$6:W$44,$H$67:$H$105,$AA128)</f>
        <v>963600</v>
      </c>
      <c r="AU128" s="5">
        <f>求节点(X$6:X$44,$H$67:$H$105,$AA128)</f>
        <v>963600</v>
      </c>
      <c r="AV128" s="5">
        <f>求节点(T$6:T$44,$I$67:$I$105,$AA128)</f>
        <v>25320000</v>
      </c>
      <c r="AW128" s="5">
        <f>求节点(U$6:U$44,$I$67:$I$105,$AA128)</f>
        <v>25320000</v>
      </c>
      <c r="AX128" s="5">
        <f>求节点(V$6:V$44,$I$67:$I$105,$AA128)</f>
        <v>25320000</v>
      </c>
      <c r="AY128" s="5">
        <f>求节点(W$6:W$44,$I$67:$I$105,$AA128)</f>
        <v>25320000</v>
      </c>
      <c r="AZ128" s="5">
        <f>求节点(X$6:X$44,$I$67:$I$105,$AA128)</f>
        <v>25320000</v>
      </c>
      <c r="BA128" s="5">
        <f>求节点(T$6:T$44,$E$67:$E$105,$AA128)+求节点(T$6:T$44,$K$67:$K$105,$AA128)+求节点(T$67:T$105,$O$67:$O$105,$AA128)</f>
        <v>8112</v>
      </c>
      <c r="BB128" s="5">
        <f>求节点(U$6:U$44,$E$67:$E$105,$AA128)+求节点(U$6:U$44,$K$67:$K$105,$AA128)+求节点(U$67:U$105,$O$67:$O$105,$AA128)</f>
        <v>8112</v>
      </c>
      <c r="BC128" s="5">
        <f>求节点(V$6:V$44,$E$67:$E$105,$AA128)+求节点(V$6:V$44,$K$67:$K$105,$AA128)+求节点(V$67:V$105,$O$67:$O$105,$AA128)</f>
        <v>8112</v>
      </c>
      <c r="BD128" s="5">
        <f>求节点(W$6:W$44,$E$67:$E$105,$AA128)+求节点(W$6:W$44,$K$67:$K$105,$AA128)+求节点(W$67:W$105,$O$67:$O$105,$AA128)</f>
        <v>8112</v>
      </c>
      <c r="BE128" s="5">
        <f>求节点(X$6:X$44,$E$67:$E$105,$AA128)+求节点(X$6:X$44,$K$67:$K$105,$AA128)+求节点(X$67:X$105,$O$67:$O$105,$AA128)</f>
        <v>8112</v>
      </c>
      <c r="BF128" s="5">
        <f>求节点(T$6:T$44,$G$67:$G$105,$AA128)</f>
        <v>0</v>
      </c>
      <c r="BG128" s="5">
        <f>求节点(U$6:U$44,$G$67:$G$105,$AA128)</f>
        <v>0</v>
      </c>
      <c r="BH128" s="5">
        <f>求节点(V$6:V$44,$G$67:$G$105,$AA128)</f>
        <v>0</v>
      </c>
      <c r="BI128" s="5">
        <f>求节点(W$6:W$44,$G$67:$G$105,$AA128)</f>
        <v>0</v>
      </c>
      <c r="BJ128" s="5">
        <f>求节点(X$6:X$44,$G$67:$G$105,$AA128)</f>
        <v>0</v>
      </c>
      <c r="BK128" s="5">
        <f>求节点(T$6:T$44,$M$67:$M$105,$AA128)</f>
        <v>78</v>
      </c>
      <c r="BL128" s="5">
        <f>求节点(U$6:U$44,$M$67:$M$105,$AA128)</f>
        <v>78</v>
      </c>
      <c r="BM128" s="5">
        <f>求节点(V$6:V$44,$M$67:$M$105,$AA128)</f>
        <v>78</v>
      </c>
      <c r="BN128" s="5">
        <f>求节点(W$6:W$44,$M$67:$M$105,$AA128)</f>
        <v>78</v>
      </c>
      <c r="BO128" s="5">
        <f>求节点(X$6:X$44,$M$67:$M$105,$AA128)</f>
        <v>78</v>
      </c>
      <c r="BP128" s="5">
        <f>求节点(T$67:T$105,$L$67:$L$105,$AA128)</f>
        <v>0</v>
      </c>
      <c r="BQ128" s="5">
        <f>求节点(U$67:U$105,$L$67:$L$105,$AA128)</f>
        <v>0</v>
      </c>
      <c r="BR128" s="5">
        <f>求节点(V$67:V$105,$L$67:$L$105,$AA128)</f>
        <v>0</v>
      </c>
      <c r="BS128" s="5">
        <f>求节点(W$67:W$105,$L$67:$L$105,$AA128)</f>
        <v>0</v>
      </c>
      <c r="BT128" s="5">
        <f>求节点(X$67:X$105,$L$67:$L$105,$AA128)</f>
        <v>0</v>
      </c>
      <c r="BZ128" s="5">
        <v>124</v>
      </c>
      <c r="CA128" s="5">
        <f t="shared" si="60"/>
        <v>8112</v>
      </c>
      <c r="CB128" s="5">
        <f t="shared" si="61"/>
        <v>8112</v>
      </c>
      <c r="CC128" s="5">
        <f t="shared" si="62"/>
        <v>8112</v>
      </c>
      <c r="CD128" s="5">
        <f t="shared" si="63"/>
        <v>8112</v>
      </c>
      <c r="CE128" s="5">
        <f t="shared" si="64"/>
        <v>8112</v>
      </c>
      <c r="CF128" s="5">
        <f>(CA128-CA127)/节奏总纲!W127</f>
        <v>0</v>
      </c>
      <c r="CI128" s="5">
        <v>124</v>
      </c>
      <c r="CJ128" s="5">
        <f t="shared" si="65"/>
        <v>18720</v>
      </c>
      <c r="CK128" s="5">
        <f t="shared" si="66"/>
        <v>18720</v>
      </c>
      <c r="CL128" s="5">
        <f t="shared" si="67"/>
        <v>18720</v>
      </c>
      <c r="CM128" s="5">
        <f t="shared" si="68"/>
        <v>18720</v>
      </c>
      <c r="CN128" s="5">
        <f t="shared" si="69"/>
        <v>18720</v>
      </c>
      <c r="CO128" s="5">
        <f>(CJ128-CJ127)/节奏总纲!W127</f>
        <v>0</v>
      </c>
      <c r="CP128" s="5">
        <f t="shared" si="70"/>
        <v>0</v>
      </c>
      <c r="CR128" s="5">
        <v>124</v>
      </c>
      <c r="CS128" s="5">
        <f t="shared" si="71"/>
        <v>0</v>
      </c>
      <c r="CT128" s="5">
        <f t="shared" si="72"/>
        <v>0</v>
      </c>
      <c r="CU128" s="5">
        <f t="shared" si="73"/>
        <v>0</v>
      </c>
      <c r="CV128" s="5">
        <f t="shared" si="74"/>
        <v>0</v>
      </c>
      <c r="CW128" s="5">
        <f t="shared" si="75"/>
        <v>0</v>
      </c>
      <c r="CX128" s="5">
        <f t="shared" si="76"/>
        <v>0</v>
      </c>
      <c r="CY128" s="5">
        <f t="shared" si="77"/>
        <v>0</v>
      </c>
      <c r="CZ128" s="5">
        <f t="shared" si="78"/>
        <v>0</v>
      </c>
      <c r="DA128" s="5">
        <f t="shared" si="79"/>
        <v>0</v>
      </c>
      <c r="DB128" s="5">
        <f t="shared" si="80"/>
        <v>0</v>
      </c>
    </row>
    <row r="129" spans="27:106" x14ac:dyDescent="0.15">
      <c r="AA129" s="5">
        <v>125</v>
      </c>
      <c r="AB129" s="5">
        <f>求节点(T$6:T$44,$C$67:$C$105,$AA129)</f>
        <v>0</v>
      </c>
      <c r="AC129" s="5">
        <f>求节点(U$6:U$44,$C$67:$C$105,$AA129)</f>
        <v>0</v>
      </c>
      <c r="AD129" s="5">
        <f>求节点(V$6:V$44,$C$67:$C$105,$AA129)</f>
        <v>0</v>
      </c>
      <c r="AE129" s="5">
        <f>求节点(W$6:W$44,$C$67:$C$105,$AA129)</f>
        <v>0</v>
      </c>
      <c r="AF129" s="5">
        <f>求节点(X$6:X$44,$C$67:$C$105,$AA129)</f>
        <v>0</v>
      </c>
      <c r="AG129" s="5">
        <f>求节点(T$6:T$44,$D$67:$D$105,$AA129)+求节点(T$67:T$105,$Q$67:$Q$105,$AA129)</f>
        <v>102728760</v>
      </c>
      <c r="AH129" s="5">
        <f>求节点(U$6:U$44,$D$67:$D$105,$AA129)+求节点(U$67:U$105,$Q$67:$Q$105,$AA129)</f>
        <v>102728760</v>
      </c>
      <c r="AI129" s="5">
        <f>求节点(V$6:V$44,$D$67:$D$105,$AA129)+求节点(V$67:V$105,$Q$67:$Q$105,$AA129)</f>
        <v>102728760</v>
      </c>
      <c r="AJ129" s="5">
        <f>求节点(W$6:W$44,$D$67:$D$105,$AA129)+求节点(W$67:W$105,$Q$67:$Q$105,$AA129)</f>
        <v>102728760</v>
      </c>
      <c r="AK129" s="5">
        <f>求节点(X$6:X$44,$D$67:$D$105,$AA129)+求节点(X$67:X$105,$Q$67:$Q$105,$AA129)</f>
        <v>102728760</v>
      </c>
      <c r="AL129" s="5">
        <f>求节点(T$6:T$44,$F$67:$F$105,$AA129)+求节点(T$67:T$105,$P$67:$P$105,$AA129)</f>
        <v>1848000</v>
      </c>
      <c r="AM129" s="5">
        <f>求节点(U$6:U$44,$F$67:$F$105,$AA129)+求节点(U$67:U$105,$P$67:$P$105,$AA129)</f>
        <v>1848000</v>
      </c>
      <c r="AN129" s="5">
        <f>求节点(V$6:V$44,$F$67:$F$105,$AA129)+求节点(V$67:V$105,$P$67:$P$105,$AA129)</f>
        <v>1848000</v>
      </c>
      <c r="AO129" s="5">
        <f>求节点(W$6:W$44,$F$67:$F$105,$AA129)+求节点(W$67:W$105,$P$67:$P$105,$AA129)</f>
        <v>1848000</v>
      </c>
      <c r="AP129" s="5">
        <f>求节点(X$6:X$44,$F$67:$F$105,$AA129)+求节点(X$67:X$105,$P$67:$P$105,$AA129)</f>
        <v>1848000</v>
      </c>
      <c r="AQ129" s="5">
        <f>求节点(T$6:T$44,$H$67:$H$105,$AA129)</f>
        <v>963600</v>
      </c>
      <c r="AR129" s="5">
        <f>求节点(U$6:U$44,$H$67:$H$105,$AA129)</f>
        <v>963600</v>
      </c>
      <c r="AS129" s="5">
        <f>求节点(V$6:V$44,$H$67:$H$105,$AA129)</f>
        <v>963600</v>
      </c>
      <c r="AT129" s="5">
        <f>求节点(W$6:W$44,$H$67:$H$105,$AA129)</f>
        <v>963600</v>
      </c>
      <c r="AU129" s="5">
        <f>求节点(X$6:X$44,$H$67:$H$105,$AA129)</f>
        <v>963600</v>
      </c>
      <c r="AV129" s="5">
        <f>求节点(T$6:T$44,$I$67:$I$105,$AA129)</f>
        <v>25320000</v>
      </c>
      <c r="AW129" s="5">
        <f>求节点(U$6:U$44,$I$67:$I$105,$AA129)</f>
        <v>25320000</v>
      </c>
      <c r="AX129" s="5">
        <f>求节点(V$6:V$44,$I$67:$I$105,$AA129)</f>
        <v>25320000</v>
      </c>
      <c r="AY129" s="5">
        <f>求节点(W$6:W$44,$I$67:$I$105,$AA129)</f>
        <v>25320000</v>
      </c>
      <c r="AZ129" s="5">
        <f>求节点(X$6:X$44,$I$67:$I$105,$AA129)</f>
        <v>25320000</v>
      </c>
      <c r="BA129" s="5">
        <f>求节点(T$6:T$44,$E$67:$E$105,$AA129)+求节点(T$6:T$44,$K$67:$K$105,$AA129)+求节点(T$67:T$105,$O$67:$O$105,$AA129)</f>
        <v>8112</v>
      </c>
      <c r="BB129" s="5">
        <f>求节点(U$6:U$44,$E$67:$E$105,$AA129)+求节点(U$6:U$44,$K$67:$K$105,$AA129)+求节点(U$67:U$105,$O$67:$O$105,$AA129)</f>
        <v>8112</v>
      </c>
      <c r="BC129" s="5">
        <f>求节点(V$6:V$44,$E$67:$E$105,$AA129)+求节点(V$6:V$44,$K$67:$K$105,$AA129)+求节点(V$67:V$105,$O$67:$O$105,$AA129)</f>
        <v>8112</v>
      </c>
      <c r="BD129" s="5">
        <f>求节点(W$6:W$44,$E$67:$E$105,$AA129)+求节点(W$6:W$44,$K$67:$K$105,$AA129)+求节点(W$67:W$105,$O$67:$O$105,$AA129)</f>
        <v>8112</v>
      </c>
      <c r="BE129" s="5">
        <f>求节点(X$6:X$44,$E$67:$E$105,$AA129)+求节点(X$6:X$44,$K$67:$K$105,$AA129)+求节点(X$67:X$105,$O$67:$O$105,$AA129)</f>
        <v>8112</v>
      </c>
      <c r="BF129" s="5">
        <f>求节点(T$6:T$44,$G$67:$G$105,$AA129)</f>
        <v>0</v>
      </c>
      <c r="BG129" s="5">
        <f>求节点(U$6:U$44,$G$67:$G$105,$AA129)</f>
        <v>0</v>
      </c>
      <c r="BH129" s="5">
        <f>求节点(V$6:V$44,$G$67:$G$105,$AA129)</f>
        <v>0</v>
      </c>
      <c r="BI129" s="5">
        <f>求节点(W$6:W$44,$G$67:$G$105,$AA129)</f>
        <v>0</v>
      </c>
      <c r="BJ129" s="5">
        <f>求节点(X$6:X$44,$G$67:$G$105,$AA129)</f>
        <v>0</v>
      </c>
      <c r="BK129" s="5">
        <f>求节点(T$6:T$44,$M$67:$M$105,$AA129)</f>
        <v>78</v>
      </c>
      <c r="BL129" s="5">
        <f>求节点(U$6:U$44,$M$67:$M$105,$AA129)</f>
        <v>78</v>
      </c>
      <c r="BM129" s="5">
        <f>求节点(V$6:V$44,$M$67:$M$105,$AA129)</f>
        <v>78</v>
      </c>
      <c r="BN129" s="5">
        <f>求节点(W$6:W$44,$M$67:$M$105,$AA129)</f>
        <v>78</v>
      </c>
      <c r="BO129" s="5">
        <f>求节点(X$6:X$44,$M$67:$M$105,$AA129)</f>
        <v>78</v>
      </c>
      <c r="BP129" s="5">
        <f>求节点(T$67:T$105,$L$67:$L$105,$AA129)</f>
        <v>0</v>
      </c>
      <c r="BQ129" s="5">
        <f>求节点(U$67:U$105,$L$67:$L$105,$AA129)</f>
        <v>0</v>
      </c>
      <c r="BR129" s="5">
        <f>求节点(V$67:V$105,$L$67:$L$105,$AA129)</f>
        <v>0</v>
      </c>
      <c r="BS129" s="5">
        <f>求节点(W$67:W$105,$L$67:$L$105,$AA129)</f>
        <v>0</v>
      </c>
      <c r="BT129" s="5">
        <f>求节点(X$67:X$105,$L$67:$L$105,$AA129)</f>
        <v>0</v>
      </c>
      <c r="BZ129" s="5">
        <v>125</v>
      </c>
      <c r="CA129" s="5">
        <f t="shared" si="60"/>
        <v>8112</v>
      </c>
      <c r="CB129" s="5">
        <f t="shared" si="61"/>
        <v>8112</v>
      </c>
      <c r="CC129" s="5">
        <f t="shared" si="62"/>
        <v>8112</v>
      </c>
      <c r="CD129" s="5">
        <f t="shared" si="63"/>
        <v>8112</v>
      </c>
      <c r="CE129" s="5">
        <f t="shared" si="64"/>
        <v>8112</v>
      </c>
      <c r="CF129" s="5">
        <f>(CA129-CA128)/节奏总纲!W128</f>
        <v>0</v>
      </c>
      <c r="CI129" s="5">
        <v>125</v>
      </c>
      <c r="CJ129" s="5">
        <f t="shared" si="65"/>
        <v>18720</v>
      </c>
      <c r="CK129" s="5">
        <f t="shared" si="66"/>
        <v>18720</v>
      </c>
      <c r="CL129" s="5">
        <f t="shared" si="67"/>
        <v>18720</v>
      </c>
      <c r="CM129" s="5">
        <f t="shared" si="68"/>
        <v>18720</v>
      </c>
      <c r="CN129" s="5">
        <f t="shared" si="69"/>
        <v>18720</v>
      </c>
      <c r="CO129" s="5">
        <f>(CJ129-CJ128)/节奏总纲!W128</f>
        <v>0</v>
      </c>
      <c r="CP129" s="5">
        <f t="shared" si="70"/>
        <v>0</v>
      </c>
      <c r="CR129" s="5">
        <v>125</v>
      </c>
      <c r="CS129" s="5">
        <f t="shared" si="71"/>
        <v>0</v>
      </c>
      <c r="CT129" s="5">
        <f t="shared" si="72"/>
        <v>0</v>
      </c>
      <c r="CU129" s="5">
        <f t="shared" si="73"/>
        <v>0</v>
      </c>
      <c r="CV129" s="5">
        <f t="shared" si="74"/>
        <v>0</v>
      </c>
      <c r="CW129" s="5">
        <f t="shared" si="75"/>
        <v>0</v>
      </c>
      <c r="CX129" s="5">
        <f t="shared" si="76"/>
        <v>0</v>
      </c>
      <c r="CY129" s="5">
        <f t="shared" si="77"/>
        <v>0</v>
      </c>
      <c r="CZ129" s="5">
        <f t="shared" si="78"/>
        <v>0</v>
      </c>
      <c r="DA129" s="5">
        <f t="shared" si="79"/>
        <v>0</v>
      </c>
      <c r="DB129" s="5">
        <f t="shared" si="80"/>
        <v>0</v>
      </c>
    </row>
    <row r="130" spans="27:106" x14ac:dyDescent="0.15">
      <c r="AA130" s="5">
        <v>126</v>
      </c>
      <c r="AB130" s="5">
        <f>求节点(T$6:T$44,$C$67:$C$105,$AA130)</f>
        <v>0</v>
      </c>
      <c r="AC130" s="5">
        <f>求节点(U$6:U$44,$C$67:$C$105,$AA130)</f>
        <v>0</v>
      </c>
      <c r="AD130" s="5">
        <f>求节点(V$6:V$44,$C$67:$C$105,$AA130)</f>
        <v>0</v>
      </c>
      <c r="AE130" s="5">
        <f>求节点(W$6:W$44,$C$67:$C$105,$AA130)</f>
        <v>0</v>
      </c>
      <c r="AF130" s="5">
        <f>求节点(X$6:X$44,$C$67:$C$105,$AA130)</f>
        <v>0</v>
      </c>
      <c r="AG130" s="5">
        <f>求节点(T$6:T$44,$D$67:$D$105,$AA130)+求节点(T$67:T$105,$Q$67:$Q$105,$AA130)</f>
        <v>102728760</v>
      </c>
      <c r="AH130" s="5">
        <f>求节点(U$6:U$44,$D$67:$D$105,$AA130)+求节点(U$67:U$105,$Q$67:$Q$105,$AA130)</f>
        <v>102728760</v>
      </c>
      <c r="AI130" s="5">
        <f>求节点(V$6:V$44,$D$67:$D$105,$AA130)+求节点(V$67:V$105,$Q$67:$Q$105,$AA130)</f>
        <v>102728760</v>
      </c>
      <c r="AJ130" s="5">
        <f>求节点(W$6:W$44,$D$67:$D$105,$AA130)+求节点(W$67:W$105,$Q$67:$Q$105,$AA130)</f>
        <v>102728760</v>
      </c>
      <c r="AK130" s="5">
        <f>求节点(X$6:X$44,$D$67:$D$105,$AA130)+求节点(X$67:X$105,$Q$67:$Q$105,$AA130)</f>
        <v>102728760</v>
      </c>
      <c r="AL130" s="5">
        <f>求节点(T$6:T$44,$F$67:$F$105,$AA130)+求节点(T$67:T$105,$P$67:$P$105,$AA130)</f>
        <v>1848000</v>
      </c>
      <c r="AM130" s="5">
        <f>求节点(U$6:U$44,$F$67:$F$105,$AA130)+求节点(U$67:U$105,$P$67:$P$105,$AA130)</f>
        <v>1848000</v>
      </c>
      <c r="AN130" s="5">
        <f>求节点(V$6:V$44,$F$67:$F$105,$AA130)+求节点(V$67:V$105,$P$67:$P$105,$AA130)</f>
        <v>1848000</v>
      </c>
      <c r="AO130" s="5">
        <f>求节点(W$6:W$44,$F$67:$F$105,$AA130)+求节点(W$67:W$105,$P$67:$P$105,$AA130)</f>
        <v>1848000</v>
      </c>
      <c r="AP130" s="5">
        <f>求节点(X$6:X$44,$F$67:$F$105,$AA130)+求节点(X$67:X$105,$P$67:$P$105,$AA130)</f>
        <v>1848000</v>
      </c>
      <c r="AQ130" s="5">
        <f>求节点(T$6:T$44,$H$67:$H$105,$AA130)</f>
        <v>963600</v>
      </c>
      <c r="AR130" s="5">
        <f>求节点(U$6:U$44,$H$67:$H$105,$AA130)</f>
        <v>963600</v>
      </c>
      <c r="AS130" s="5">
        <f>求节点(V$6:V$44,$H$67:$H$105,$AA130)</f>
        <v>963600</v>
      </c>
      <c r="AT130" s="5">
        <f>求节点(W$6:W$44,$H$67:$H$105,$AA130)</f>
        <v>963600</v>
      </c>
      <c r="AU130" s="5">
        <f>求节点(X$6:X$44,$H$67:$H$105,$AA130)</f>
        <v>963600</v>
      </c>
      <c r="AV130" s="5">
        <f>求节点(T$6:T$44,$I$67:$I$105,$AA130)</f>
        <v>25320000</v>
      </c>
      <c r="AW130" s="5">
        <f>求节点(U$6:U$44,$I$67:$I$105,$AA130)</f>
        <v>25320000</v>
      </c>
      <c r="AX130" s="5">
        <f>求节点(V$6:V$44,$I$67:$I$105,$AA130)</f>
        <v>25320000</v>
      </c>
      <c r="AY130" s="5">
        <f>求节点(W$6:W$44,$I$67:$I$105,$AA130)</f>
        <v>25320000</v>
      </c>
      <c r="AZ130" s="5">
        <f>求节点(X$6:X$44,$I$67:$I$105,$AA130)</f>
        <v>25320000</v>
      </c>
      <c r="BA130" s="5">
        <f>求节点(T$6:T$44,$E$67:$E$105,$AA130)+求节点(T$6:T$44,$K$67:$K$105,$AA130)+求节点(T$67:T$105,$O$67:$O$105,$AA130)</f>
        <v>8112</v>
      </c>
      <c r="BB130" s="5">
        <f>求节点(U$6:U$44,$E$67:$E$105,$AA130)+求节点(U$6:U$44,$K$67:$K$105,$AA130)+求节点(U$67:U$105,$O$67:$O$105,$AA130)</f>
        <v>8112</v>
      </c>
      <c r="BC130" s="5">
        <f>求节点(V$6:V$44,$E$67:$E$105,$AA130)+求节点(V$6:V$44,$K$67:$K$105,$AA130)+求节点(V$67:V$105,$O$67:$O$105,$AA130)</f>
        <v>8112</v>
      </c>
      <c r="BD130" s="5">
        <f>求节点(W$6:W$44,$E$67:$E$105,$AA130)+求节点(W$6:W$44,$K$67:$K$105,$AA130)+求节点(W$67:W$105,$O$67:$O$105,$AA130)</f>
        <v>8112</v>
      </c>
      <c r="BE130" s="5">
        <f>求节点(X$6:X$44,$E$67:$E$105,$AA130)+求节点(X$6:X$44,$K$67:$K$105,$AA130)+求节点(X$67:X$105,$O$67:$O$105,$AA130)</f>
        <v>8112</v>
      </c>
      <c r="BF130" s="5">
        <f>求节点(T$6:T$44,$G$67:$G$105,$AA130)</f>
        <v>0</v>
      </c>
      <c r="BG130" s="5">
        <f>求节点(U$6:U$44,$G$67:$G$105,$AA130)</f>
        <v>0</v>
      </c>
      <c r="BH130" s="5">
        <f>求节点(V$6:V$44,$G$67:$G$105,$AA130)</f>
        <v>0</v>
      </c>
      <c r="BI130" s="5">
        <f>求节点(W$6:W$44,$G$67:$G$105,$AA130)</f>
        <v>0</v>
      </c>
      <c r="BJ130" s="5">
        <f>求节点(X$6:X$44,$G$67:$G$105,$AA130)</f>
        <v>0</v>
      </c>
      <c r="BK130" s="5">
        <f>求节点(T$6:T$44,$M$67:$M$105,$AA130)</f>
        <v>78</v>
      </c>
      <c r="BL130" s="5">
        <f>求节点(U$6:U$44,$M$67:$M$105,$AA130)</f>
        <v>78</v>
      </c>
      <c r="BM130" s="5">
        <f>求节点(V$6:V$44,$M$67:$M$105,$AA130)</f>
        <v>78</v>
      </c>
      <c r="BN130" s="5">
        <f>求节点(W$6:W$44,$M$67:$M$105,$AA130)</f>
        <v>78</v>
      </c>
      <c r="BO130" s="5">
        <f>求节点(X$6:X$44,$M$67:$M$105,$AA130)</f>
        <v>78</v>
      </c>
      <c r="BP130" s="5">
        <f>求节点(T$67:T$105,$L$67:$L$105,$AA130)</f>
        <v>0</v>
      </c>
      <c r="BQ130" s="5">
        <f>求节点(U$67:U$105,$L$67:$L$105,$AA130)</f>
        <v>0</v>
      </c>
      <c r="BR130" s="5">
        <f>求节点(V$67:V$105,$L$67:$L$105,$AA130)</f>
        <v>0</v>
      </c>
      <c r="BS130" s="5">
        <f>求节点(W$67:W$105,$L$67:$L$105,$AA130)</f>
        <v>0</v>
      </c>
      <c r="BT130" s="5">
        <f>求节点(X$67:X$105,$L$67:$L$105,$AA130)</f>
        <v>0</v>
      </c>
      <c r="BZ130" s="5">
        <v>126</v>
      </c>
      <c r="CA130" s="5">
        <f t="shared" si="60"/>
        <v>8112</v>
      </c>
      <c r="CB130" s="5">
        <f t="shared" si="61"/>
        <v>8112</v>
      </c>
      <c r="CC130" s="5">
        <f t="shared" si="62"/>
        <v>8112</v>
      </c>
      <c r="CD130" s="5">
        <f t="shared" si="63"/>
        <v>8112</v>
      </c>
      <c r="CE130" s="5">
        <f t="shared" si="64"/>
        <v>8112</v>
      </c>
      <c r="CF130" s="5">
        <f>(CA130-CA129)/节奏总纲!W129</f>
        <v>0</v>
      </c>
      <c r="CI130" s="5">
        <v>126</v>
      </c>
      <c r="CJ130" s="5">
        <f t="shared" si="65"/>
        <v>18720</v>
      </c>
      <c r="CK130" s="5">
        <f t="shared" si="66"/>
        <v>18720</v>
      </c>
      <c r="CL130" s="5">
        <f t="shared" si="67"/>
        <v>18720</v>
      </c>
      <c r="CM130" s="5">
        <f t="shared" si="68"/>
        <v>18720</v>
      </c>
      <c r="CN130" s="5">
        <f t="shared" si="69"/>
        <v>18720</v>
      </c>
      <c r="CO130" s="5">
        <f>(CJ130-CJ129)/节奏总纲!W129</f>
        <v>0</v>
      </c>
      <c r="CP130" s="5">
        <f t="shared" si="70"/>
        <v>0</v>
      </c>
      <c r="CR130" s="5">
        <v>126</v>
      </c>
      <c r="CS130" s="5">
        <f t="shared" si="71"/>
        <v>0</v>
      </c>
      <c r="CT130" s="5">
        <f t="shared" si="72"/>
        <v>0</v>
      </c>
      <c r="CU130" s="5">
        <f t="shared" si="73"/>
        <v>0</v>
      </c>
      <c r="CV130" s="5">
        <f t="shared" si="74"/>
        <v>0</v>
      </c>
      <c r="CW130" s="5">
        <f t="shared" si="75"/>
        <v>0</v>
      </c>
      <c r="CX130" s="5">
        <f t="shared" si="76"/>
        <v>0</v>
      </c>
      <c r="CY130" s="5">
        <f t="shared" si="77"/>
        <v>0</v>
      </c>
      <c r="CZ130" s="5">
        <f t="shared" si="78"/>
        <v>0</v>
      </c>
      <c r="DA130" s="5">
        <f t="shared" si="79"/>
        <v>0</v>
      </c>
      <c r="DB130" s="5">
        <f t="shared" si="80"/>
        <v>0</v>
      </c>
    </row>
    <row r="131" spans="27:106" x14ac:dyDescent="0.15">
      <c r="AA131" s="5">
        <v>127</v>
      </c>
      <c r="AB131" s="5">
        <f>求节点(T$6:T$44,$C$67:$C$105,$AA131)</f>
        <v>0</v>
      </c>
      <c r="AC131" s="5">
        <f>求节点(U$6:U$44,$C$67:$C$105,$AA131)</f>
        <v>0</v>
      </c>
      <c r="AD131" s="5">
        <f>求节点(V$6:V$44,$C$67:$C$105,$AA131)</f>
        <v>0</v>
      </c>
      <c r="AE131" s="5">
        <f>求节点(W$6:W$44,$C$67:$C$105,$AA131)</f>
        <v>0</v>
      </c>
      <c r="AF131" s="5">
        <f>求节点(X$6:X$44,$C$67:$C$105,$AA131)</f>
        <v>0</v>
      </c>
      <c r="AG131" s="5">
        <f>求节点(T$6:T$44,$D$67:$D$105,$AA131)+求节点(T$67:T$105,$Q$67:$Q$105,$AA131)</f>
        <v>102728760</v>
      </c>
      <c r="AH131" s="5">
        <f>求节点(U$6:U$44,$D$67:$D$105,$AA131)+求节点(U$67:U$105,$Q$67:$Q$105,$AA131)</f>
        <v>102728760</v>
      </c>
      <c r="AI131" s="5">
        <f>求节点(V$6:V$44,$D$67:$D$105,$AA131)+求节点(V$67:V$105,$Q$67:$Q$105,$AA131)</f>
        <v>102728760</v>
      </c>
      <c r="AJ131" s="5">
        <f>求节点(W$6:W$44,$D$67:$D$105,$AA131)+求节点(W$67:W$105,$Q$67:$Q$105,$AA131)</f>
        <v>102728760</v>
      </c>
      <c r="AK131" s="5">
        <f>求节点(X$6:X$44,$D$67:$D$105,$AA131)+求节点(X$67:X$105,$Q$67:$Q$105,$AA131)</f>
        <v>102728760</v>
      </c>
      <c r="AL131" s="5">
        <f>求节点(T$6:T$44,$F$67:$F$105,$AA131)+求节点(T$67:T$105,$P$67:$P$105,$AA131)</f>
        <v>1848000</v>
      </c>
      <c r="AM131" s="5">
        <f>求节点(U$6:U$44,$F$67:$F$105,$AA131)+求节点(U$67:U$105,$P$67:$P$105,$AA131)</f>
        <v>1848000</v>
      </c>
      <c r="AN131" s="5">
        <f>求节点(V$6:V$44,$F$67:$F$105,$AA131)+求节点(V$67:V$105,$P$67:$P$105,$AA131)</f>
        <v>1848000</v>
      </c>
      <c r="AO131" s="5">
        <f>求节点(W$6:W$44,$F$67:$F$105,$AA131)+求节点(W$67:W$105,$P$67:$P$105,$AA131)</f>
        <v>1848000</v>
      </c>
      <c r="AP131" s="5">
        <f>求节点(X$6:X$44,$F$67:$F$105,$AA131)+求节点(X$67:X$105,$P$67:$P$105,$AA131)</f>
        <v>1848000</v>
      </c>
      <c r="AQ131" s="5">
        <f>求节点(T$6:T$44,$H$67:$H$105,$AA131)</f>
        <v>963600</v>
      </c>
      <c r="AR131" s="5">
        <f>求节点(U$6:U$44,$H$67:$H$105,$AA131)</f>
        <v>963600</v>
      </c>
      <c r="AS131" s="5">
        <f>求节点(V$6:V$44,$H$67:$H$105,$AA131)</f>
        <v>963600</v>
      </c>
      <c r="AT131" s="5">
        <f>求节点(W$6:W$44,$H$67:$H$105,$AA131)</f>
        <v>963600</v>
      </c>
      <c r="AU131" s="5">
        <f>求节点(X$6:X$44,$H$67:$H$105,$AA131)</f>
        <v>963600</v>
      </c>
      <c r="AV131" s="5">
        <f>求节点(T$6:T$44,$I$67:$I$105,$AA131)</f>
        <v>25320000</v>
      </c>
      <c r="AW131" s="5">
        <f>求节点(U$6:U$44,$I$67:$I$105,$AA131)</f>
        <v>25320000</v>
      </c>
      <c r="AX131" s="5">
        <f>求节点(V$6:V$44,$I$67:$I$105,$AA131)</f>
        <v>25320000</v>
      </c>
      <c r="AY131" s="5">
        <f>求节点(W$6:W$44,$I$67:$I$105,$AA131)</f>
        <v>25320000</v>
      </c>
      <c r="AZ131" s="5">
        <f>求节点(X$6:X$44,$I$67:$I$105,$AA131)</f>
        <v>25320000</v>
      </c>
      <c r="BA131" s="5">
        <f>求节点(T$6:T$44,$E$67:$E$105,$AA131)+求节点(T$6:T$44,$K$67:$K$105,$AA131)+求节点(T$67:T$105,$O$67:$O$105,$AA131)</f>
        <v>8112</v>
      </c>
      <c r="BB131" s="5">
        <f>求节点(U$6:U$44,$E$67:$E$105,$AA131)+求节点(U$6:U$44,$K$67:$K$105,$AA131)+求节点(U$67:U$105,$O$67:$O$105,$AA131)</f>
        <v>8112</v>
      </c>
      <c r="BC131" s="5">
        <f>求节点(V$6:V$44,$E$67:$E$105,$AA131)+求节点(V$6:V$44,$K$67:$K$105,$AA131)+求节点(V$67:V$105,$O$67:$O$105,$AA131)</f>
        <v>8112</v>
      </c>
      <c r="BD131" s="5">
        <f>求节点(W$6:W$44,$E$67:$E$105,$AA131)+求节点(W$6:W$44,$K$67:$K$105,$AA131)+求节点(W$67:W$105,$O$67:$O$105,$AA131)</f>
        <v>8112</v>
      </c>
      <c r="BE131" s="5">
        <f>求节点(X$6:X$44,$E$67:$E$105,$AA131)+求节点(X$6:X$44,$K$67:$K$105,$AA131)+求节点(X$67:X$105,$O$67:$O$105,$AA131)</f>
        <v>8112</v>
      </c>
      <c r="BF131" s="5">
        <f>求节点(T$6:T$44,$G$67:$G$105,$AA131)</f>
        <v>0</v>
      </c>
      <c r="BG131" s="5">
        <f>求节点(U$6:U$44,$G$67:$G$105,$AA131)</f>
        <v>0</v>
      </c>
      <c r="BH131" s="5">
        <f>求节点(V$6:V$44,$G$67:$G$105,$AA131)</f>
        <v>0</v>
      </c>
      <c r="BI131" s="5">
        <f>求节点(W$6:W$44,$G$67:$G$105,$AA131)</f>
        <v>0</v>
      </c>
      <c r="BJ131" s="5">
        <f>求节点(X$6:X$44,$G$67:$G$105,$AA131)</f>
        <v>0</v>
      </c>
      <c r="BK131" s="5">
        <f>求节点(T$6:T$44,$M$67:$M$105,$AA131)</f>
        <v>78</v>
      </c>
      <c r="BL131" s="5">
        <f>求节点(U$6:U$44,$M$67:$M$105,$AA131)</f>
        <v>78</v>
      </c>
      <c r="BM131" s="5">
        <f>求节点(V$6:V$44,$M$67:$M$105,$AA131)</f>
        <v>78</v>
      </c>
      <c r="BN131" s="5">
        <f>求节点(W$6:W$44,$M$67:$M$105,$AA131)</f>
        <v>78</v>
      </c>
      <c r="BO131" s="5">
        <f>求节点(X$6:X$44,$M$67:$M$105,$AA131)</f>
        <v>78</v>
      </c>
      <c r="BP131" s="5">
        <f>求节点(T$67:T$105,$L$67:$L$105,$AA131)</f>
        <v>0</v>
      </c>
      <c r="BQ131" s="5">
        <f>求节点(U$67:U$105,$L$67:$L$105,$AA131)</f>
        <v>0</v>
      </c>
      <c r="BR131" s="5">
        <f>求节点(V$67:V$105,$L$67:$L$105,$AA131)</f>
        <v>0</v>
      </c>
      <c r="BS131" s="5">
        <f>求节点(W$67:W$105,$L$67:$L$105,$AA131)</f>
        <v>0</v>
      </c>
      <c r="BT131" s="5">
        <f>求节点(X$67:X$105,$L$67:$L$105,$AA131)</f>
        <v>0</v>
      </c>
      <c r="BZ131" s="5">
        <v>127</v>
      </c>
      <c r="CA131" s="5">
        <f t="shared" si="60"/>
        <v>8112</v>
      </c>
      <c r="CB131" s="5">
        <f t="shared" si="61"/>
        <v>8112</v>
      </c>
      <c r="CC131" s="5">
        <f t="shared" si="62"/>
        <v>8112</v>
      </c>
      <c r="CD131" s="5">
        <f t="shared" si="63"/>
        <v>8112</v>
      </c>
      <c r="CE131" s="5">
        <f t="shared" si="64"/>
        <v>8112</v>
      </c>
      <c r="CF131" s="5">
        <f>(CA131-CA130)/节奏总纲!W130</f>
        <v>0</v>
      </c>
      <c r="CI131" s="5">
        <v>127</v>
      </c>
      <c r="CJ131" s="5">
        <f t="shared" si="65"/>
        <v>18720</v>
      </c>
      <c r="CK131" s="5">
        <f t="shared" si="66"/>
        <v>18720</v>
      </c>
      <c r="CL131" s="5">
        <f t="shared" si="67"/>
        <v>18720</v>
      </c>
      <c r="CM131" s="5">
        <f t="shared" si="68"/>
        <v>18720</v>
      </c>
      <c r="CN131" s="5">
        <f t="shared" si="69"/>
        <v>18720</v>
      </c>
      <c r="CO131" s="5">
        <f>(CJ131-CJ130)/节奏总纲!W130</f>
        <v>0</v>
      </c>
      <c r="CP131" s="5">
        <f t="shared" si="70"/>
        <v>0</v>
      </c>
      <c r="CR131" s="5">
        <v>127</v>
      </c>
      <c r="CS131" s="5">
        <f t="shared" si="71"/>
        <v>0</v>
      </c>
      <c r="CT131" s="5">
        <f t="shared" si="72"/>
        <v>0</v>
      </c>
      <c r="CU131" s="5">
        <f t="shared" si="73"/>
        <v>0</v>
      </c>
      <c r="CV131" s="5">
        <f t="shared" si="74"/>
        <v>0</v>
      </c>
      <c r="CW131" s="5">
        <f t="shared" si="75"/>
        <v>0</v>
      </c>
      <c r="CX131" s="5">
        <f t="shared" si="76"/>
        <v>0</v>
      </c>
      <c r="CY131" s="5">
        <f t="shared" si="77"/>
        <v>0</v>
      </c>
      <c r="CZ131" s="5">
        <f t="shared" si="78"/>
        <v>0</v>
      </c>
      <c r="DA131" s="5">
        <f t="shared" si="79"/>
        <v>0</v>
      </c>
      <c r="DB131" s="5">
        <f t="shared" si="80"/>
        <v>0</v>
      </c>
    </row>
    <row r="132" spans="27:106" x14ac:dyDescent="0.15">
      <c r="AA132" s="5">
        <v>128</v>
      </c>
      <c r="AB132" s="5">
        <f>求节点(T$6:T$44,$C$67:$C$105,$AA132)</f>
        <v>0</v>
      </c>
      <c r="AC132" s="5">
        <f>求节点(U$6:U$44,$C$67:$C$105,$AA132)</f>
        <v>0</v>
      </c>
      <c r="AD132" s="5">
        <f>求节点(V$6:V$44,$C$67:$C$105,$AA132)</f>
        <v>0</v>
      </c>
      <c r="AE132" s="5">
        <f>求节点(W$6:W$44,$C$67:$C$105,$AA132)</f>
        <v>0</v>
      </c>
      <c r="AF132" s="5">
        <f>求节点(X$6:X$44,$C$67:$C$105,$AA132)</f>
        <v>0</v>
      </c>
      <c r="AG132" s="5">
        <f>求节点(T$6:T$44,$D$67:$D$105,$AA132)+求节点(T$67:T$105,$Q$67:$Q$105,$AA132)</f>
        <v>102728760</v>
      </c>
      <c r="AH132" s="5">
        <f>求节点(U$6:U$44,$D$67:$D$105,$AA132)+求节点(U$67:U$105,$Q$67:$Q$105,$AA132)</f>
        <v>102728760</v>
      </c>
      <c r="AI132" s="5">
        <f>求节点(V$6:V$44,$D$67:$D$105,$AA132)+求节点(V$67:V$105,$Q$67:$Q$105,$AA132)</f>
        <v>102728760</v>
      </c>
      <c r="AJ132" s="5">
        <f>求节点(W$6:W$44,$D$67:$D$105,$AA132)+求节点(W$67:W$105,$Q$67:$Q$105,$AA132)</f>
        <v>102728760</v>
      </c>
      <c r="AK132" s="5">
        <f>求节点(X$6:X$44,$D$67:$D$105,$AA132)+求节点(X$67:X$105,$Q$67:$Q$105,$AA132)</f>
        <v>102728760</v>
      </c>
      <c r="AL132" s="5">
        <f>求节点(T$6:T$44,$F$67:$F$105,$AA132)+求节点(T$67:T$105,$P$67:$P$105,$AA132)</f>
        <v>1848000</v>
      </c>
      <c r="AM132" s="5">
        <f>求节点(U$6:U$44,$F$67:$F$105,$AA132)+求节点(U$67:U$105,$P$67:$P$105,$AA132)</f>
        <v>1848000</v>
      </c>
      <c r="AN132" s="5">
        <f>求节点(V$6:V$44,$F$67:$F$105,$AA132)+求节点(V$67:V$105,$P$67:$P$105,$AA132)</f>
        <v>1848000</v>
      </c>
      <c r="AO132" s="5">
        <f>求节点(W$6:W$44,$F$67:$F$105,$AA132)+求节点(W$67:W$105,$P$67:$P$105,$AA132)</f>
        <v>1848000</v>
      </c>
      <c r="AP132" s="5">
        <f>求节点(X$6:X$44,$F$67:$F$105,$AA132)+求节点(X$67:X$105,$P$67:$P$105,$AA132)</f>
        <v>1848000</v>
      </c>
      <c r="AQ132" s="5">
        <f>求节点(T$6:T$44,$H$67:$H$105,$AA132)</f>
        <v>963600</v>
      </c>
      <c r="AR132" s="5">
        <f>求节点(U$6:U$44,$H$67:$H$105,$AA132)</f>
        <v>963600</v>
      </c>
      <c r="AS132" s="5">
        <f>求节点(V$6:V$44,$H$67:$H$105,$AA132)</f>
        <v>963600</v>
      </c>
      <c r="AT132" s="5">
        <f>求节点(W$6:W$44,$H$67:$H$105,$AA132)</f>
        <v>963600</v>
      </c>
      <c r="AU132" s="5">
        <f>求节点(X$6:X$44,$H$67:$H$105,$AA132)</f>
        <v>963600</v>
      </c>
      <c r="AV132" s="5">
        <f>求节点(T$6:T$44,$I$67:$I$105,$AA132)</f>
        <v>25320000</v>
      </c>
      <c r="AW132" s="5">
        <f>求节点(U$6:U$44,$I$67:$I$105,$AA132)</f>
        <v>25320000</v>
      </c>
      <c r="AX132" s="5">
        <f>求节点(V$6:V$44,$I$67:$I$105,$AA132)</f>
        <v>25320000</v>
      </c>
      <c r="AY132" s="5">
        <f>求节点(W$6:W$44,$I$67:$I$105,$AA132)</f>
        <v>25320000</v>
      </c>
      <c r="AZ132" s="5">
        <f>求节点(X$6:X$44,$I$67:$I$105,$AA132)</f>
        <v>25320000</v>
      </c>
      <c r="BA132" s="5">
        <f>求节点(T$6:T$44,$E$67:$E$105,$AA132)+求节点(T$6:T$44,$K$67:$K$105,$AA132)+求节点(T$67:T$105,$O$67:$O$105,$AA132)</f>
        <v>8112</v>
      </c>
      <c r="BB132" s="5">
        <f>求节点(U$6:U$44,$E$67:$E$105,$AA132)+求节点(U$6:U$44,$K$67:$K$105,$AA132)+求节点(U$67:U$105,$O$67:$O$105,$AA132)</f>
        <v>8112</v>
      </c>
      <c r="BC132" s="5">
        <f>求节点(V$6:V$44,$E$67:$E$105,$AA132)+求节点(V$6:V$44,$K$67:$K$105,$AA132)+求节点(V$67:V$105,$O$67:$O$105,$AA132)</f>
        <v>8112</v>
      </c>
      <c r="BD132" s="5">
        <f>求节点(W$6:W$44,$E$67:$E$105,$AA132)+求节点(W$6:W$44,$K$67:$K$105,$AA132)+求节点(W$67:W$105,$O$67:$O$105,$AA132)</f>
        <v>8112</v>
      </c>
      <c r="BE132" s="5">
        <f>求节点(X$6:X$44,$E$67:$E$105,$AA132)+求节点(X$6:X$44,$K$67:$K$105,$AA132)+求节点(X$67:X$105,$O$67:$O$105,$AA132)</f>
        <v>8112</v>
      </c>
      <c r="BF132" s="5">
        <f>求节点(T$6:T$44,$G$67:$G$105,$AA132)</f>
        <v>0</v>
      </c>
      <c r="BG132" s="5">
        <f>求节点(U$6:U$44,$G$67:$G$105,$AA132)</f>
        <v>0</v>
      </c>
      <c r="BH132" s="5">
        <f>求节点(V$6:V$44,$G$67:$G$105,$AA132)</f>
        <v>0</v>
      </c>
      <c r="BI132" s="5">
        <f>求节点(W$6:W$44,$G$67:$G$105,$AA132)</f>
        <v>0</v>
      </c>
      <c r="BJ132" s="5">
        <f>求节点(X$6:X$44,$G$67:$G$105,$AA132)</f>
        <v>0</v>
      </c>
      <c r="BK132" s="5">
        <f>求节点(T$6:T$44,$M$67:$M$105,$AA132)</f>
        <v>78</v>
      </c>
      <c r="BL132" s="5">
        <f>求节点(U$6:U$44,$M$67:$M$105,$AA132)</f>
        <v>78</v>
      </c>
      <c r="BM132" s="5">
        <f>求节点(V$6:V$44,$M$67:$M$105,$AA132)</f>
        <v>78</v>
      </c>
      <c r="BN132" s="5">
        <f>求节点(W$6:W$44,$M$67:$M$105,$AA132)</f>
        <v>78</v>
      </c>
      <c r="BO132" s="5">
        <f>求节点(X$6:X$44,$M$67:$M$105,$AA132)</f>
        <v>78</v>
      </c>
      <c r="BP132" s="5">
        <f>求节点(T$67:T$105,$L$67:$L$105,$AA132)</f>
        <v>0</v>
      </c>
      <c r="BQ132" s="5">
        <f>求节点(U$67:U$105,$L$67:$L$105,$AA132)</f>
        <v>0</v>
      </c>
      <c r="BR132" s="5">
        <f>求节点(V$67:V$105,$L$67:$L$105,$AA132)</f>
        <v>0</v>
      </c>
      <c r="BS132" s="5">
        <f>求节点(W$67:W$105,$L$67:$L$105,$AA132)</f>
        <v>0</v>
      </c>
      <c r="BT132" s="5">
        <f>求节点(X$67:X$105,$L$67:$L$105,$AA132)</f>
        <v>0</v>
      </c>
      <c r="BZ132" s="5">
        <v>128</v>
      </c>
      <c r="CA132" s="5">
        <f t="shared" si="60"/>
        <v>8112</v>
      </c>
      <c r="CB132" s="5">
        <f t="shared" si="61"/>
        <v>8112</v>
      </c>
      <c r="CC132" s="5">
        <f t="shared" si="62"/>
        <v>8112</v>
      </c>
      <c r="CD132" s="5">
        <f t="shared" si="63"/>
        <v>8112</v>
      </c>
      <c r="CE132" s="5">
        <f t="shared" si="64"/>
        <v>8112</v>
      </c>
      <c r="CF132" s="5">
        <f>(CA132-CA131)/节奏总纲!W131</f>
        <v>0</v>
      </c>
      <c r="CI132" s="5">
        <v>128</v>
      </c>
      <c r="CJ132" s="5">
        <f t="shared" si="65"/>
        <v>18720</v>
      </c>
      <c r="CK132" s="5">
        <f t="shared" si="66"/>
        <v>18720</v>
      </c>
      <c r="CL132" s="5">
        <f t="shared" si="67"/>
        <v>18720</v>
      </c>
      <c r="CM132" s="5">
        <f t="shared" si="68"/>
        <v>18720</v>
      </c>
      <c r="CN132" s="5">
        <f t="shared" si="69"/>
        <v>18720</v>
      </c>
      <c r="CO132" s="5">
        <f>(CJ132-CJ131)/节奏总纲!W131</f>
        <v>0</v>
      </c>
      <c r="CP132" s="5">
        <f t="shared" si="70"/>
        <v>0</v>
      </c>
      <c r="CR132" s="5">
        <v>128</v>
      </c>
      <c r="CS132" s="5">
        <f t="shared" si="71"/>
        <v>0</v>
      </c>
      <c r="CT132" s="5">
        <f t="shared" si="72"/>
        <v>0</v>
      </c>
      <c r="CU132" s="5">
        <f t="shared" si="73"/>
        <v>0</v>
      </c>
      <c r="CV132" s="5">
        <f t="shared" si="74"/>
        <v>0</v>
      </c>
      <c r="CW132" s="5">
        <f t="shared" si="75"/>
        <v>0</v>
      </c>
      <c r="CX132" s="5">
        <f t="shared" si="76"/>
        <v>0</v>
      </c>
      <c r="CY132" s="5">
        <f t="shared" si="77"/>
        <v>0</v>
      </c>
      <c r="CZ132" s="5">
        <f t="shared" si="78"/>
        <v>0</v>
      </c>
      <c r="DA132" s="5">
        <f t="shared" si="79"/>
        <v>0</v>
      </c>
      <c r="DB132" s="5">
        <f t="shared" si="80"/>
        <v>0</v>
      </c>
    </row>
    <row r="133" spans="27:106" x14ac:dyDescent="0.15">
      <c r="AA133" s="5">
        <v>129</v>
      </c>
      <c r="AB133" s="5">
        <f>求节点(T$6:T$44,$C$67:$C$105,$AA133)</f>
        <v>0</v>
      </c>
      <c r="AC133" s="5">
        <f>求节点(U$6:U$44,$C$67:$C$105,$AA133)</f>
        <v>0</v>
      </c>
      <c r="AD133" s="5">
        <f>求节点(V$6:V$44,$C$67:$C$105,$AA133)</f>
        <v>0</v>
      </c>
      <c r="AE133" s="5">
        <f>求节点(W$6:W$44,$C$67:$C$105,$AA133)</f>
        <v>0</v>
      </c>
      <c r="AF133" s="5">
        <f>求节点(X$6:X$44,$C$67:$C$105,$AA133)</f>
        <v>0</v>
      </c>
      <c r="AG133" s="5">
        <f>求节点(T$6:T$44,$D$67:$D$105,$AA133)+求节点(T$67:T$105,$Q$67:$Q$105,$AA133)</f>
        <v>102728760</v>
      </c>
      <c r="AH133" s="5">
        <f>求节点(U$6:U$44,$D$67:$D$105,$AA133)+求节点(U$67:U$105,$Q$67:$Q$105,$AA133)</f>
        <v>102728760</v>
      </c>
      <c r="AI133" s="5">
        <f>求节点(V$6:V$44,$D$67:$D$105,$AA133)+求节点(V$67:V$105,$Q$67:$Q$105,$AA133)</f>
        <v>102728760</v>
      </c>
      <c r="AJ133" s="5">
        <f>求节点(W$6:W$44,$D$67:$D$105,$AA133)+求节点(W$67:W$105,$Q$67:$Q$105,$AA133)</f>
        <v>102728760</v>
      </c>
      <c r="AK133" s="5">
        <f>求节点(X$6:X$44,$D$67:$D$105,$AA133)+求节点(X$67:X$105,$Q$67:$Q$105,$AA133)</f>
        <v>102728760</v>
      </c>
      <c r="AL133" s="5">
        <f>求节点(T$6:T$44,$F$67:$F$105,$AA133)+求节点(T$67:T$105,$P$67:$P$105,$AA133)</f>
        <v>1848000</v>
      </c>
      <c r="AM133" s="5">
        <f>求节点(U$6:U$44,$F$67:$F$105,$AA133)+求节点(U$67:U$105,$P$67:$P$105,$AA133)</f>
        <v>1848000</v>
      </c>
      <c r="AN133" s="5">
        <f>求节点(V$6:V$44,$F$67:$F$105,$AA133)+求节点(V$67:V$105,$P$67:$P$105,$AA133)</f>
        <v>1848000</v>
      </c>
      <c r="AO133" s="5">
        <f>求节点(W$6:W$44,$F$67:$F$105,$AA133)+求节点(W$67:W$105,$P$67:$P$105,$AA133)</f>
        <v>1848000</v>
      </c>
      <c r="AP133" s="5">
        <f>求节点(X$6:X$44,$F$67:$F$105,$AA133)+求节点(X$67:X$105,$P$67:$P$105,$AA133)</f>
        <v>1848000</v>
      </c>
      <c r="AQ133" s="5">
        <f>求节点(T$6:T$44,$H$67:$H$105,$AA133)</f>
        <v>963600</v>
      </c>
      <c r="AR133" s="5">
        <f>求节点(U$6:U$44,$H$67:$H$105,$AA133)</f>
        <v>963600</v>
      </c>
      <c r="AS133" s="5">
        <f>求节点(V$6:V$44,$H$67:$H$105,$AA133)</f>
        <v>963600</v>
      </c>
      <c r="AT133" s="5">
        <f>求节点(W$6:W$44,$H$67:$H$105,$AA133)</f>
        <v>963600</v>
      </c>
      <c r="AU133" s="5">
        <f>求节点(X$6:X$44,$H$67:$H$105,$AA133)</f>
        <v>963600</v>
      </c>
      <c r="AV133" s="5">
        <f>求节点(T$6:T$44,$I$67:$I$105,$AA133)</f>
        <v>25320000</v>
      </c>
      <c r="AW133" s="5">
        <f>求节点(U$6:U$44,$I$67:$I$105,$AA133)</f>
        <v>25320000</v>
      </c>
      <c r="AX133" s="5">
        <f>求节点(V$6:V$44,$I$67:$I$105,$AA133)</f>
        <v>25320000</v>
      </c>
      <c r="AY133" s="5">
        <f>求节点(W$6:W$44,$I$67:$I$105,$AA133)</f>
        <v>25320000</v>
      </c>
      <c r="AZ133" s="5">
        <f>求节点(X$6:X$44,$I$67:$I$105,$AA133)</f>
        <v>25320000</v>
      </c>
      <c r="BA133" s="5">
        <f>求节点(T$6:T$44,$E$67:$E$105,$AA133)+求节点(T$6:T$44,$K$67:$K$105,$AA133)+求节点(T$67:T$105,$O$67:$O$105,$AA133)</f>
        <v>8112</v>
      </c>
      <c r="BB133" s="5">
        <f>求节点(U$6:U$44,$E$67:$E$105,$AA133)+求节点(U$6:U$44,$K$67:$K$105,$AA133)+求节点(U$67:U$105,$O$67:$O$105,$AA133)</f>
        <v>8112</v>
      </c>
      <c r="BC133" s="5">
        <f>求节点(V$6:V$44,$E$67:$E$105,$AA133)+求节点(V$6:V$44,$K$67:$K$105,$AA133)+求节点(V$67:V$105,$O$67:$O$105,$AA133)</f>
        <v>8112</v>
      </c>
      <c r="BD133" s="5">
        <f>求节点(W$6:W$44,$E$67:$E$105,$AA133)+求节点(W$6:W$44,$K$67:$K$105,$AA133)+求节点(W$67:W$105,$O$67:$O$105,$AA133)</f>
        <v>8112</v>
      </c>
      <c r="BE133" s="5">
        <f>求节点(X$6:X$44,$E$67:$E$105,$AA133)+求节点(X$6:X$44,$K$67:$K$105,$AA133)+求节点(X$67:X$105,$O$67:$O$105,$AA133)</f>
        <v>8112</v>
      </c>
      <c r="BF133" s="5">
        <f>求节点(T$6:T$44,$G$67:$G$105,$AA133)</f>
        <v>0</v>
      </c>
      <c r="BG133" s="5">
        <f>求节点(U$6:U$44,$G$67:$G$105,$AA133)</f>
        <v>0</v>
      </c>
      <c r="BH133" s="5">
        <f>求节点(V$6:V$44,$G$67:$G$105,$AA133)</f>
        <v>0</v>
      </c>
      <c r="BI133" s="5">
        <f>求节点(W$6:W$44,$G$67:$G$105,$AA133)</f>
        <v>0</v>
      </c>
      <c r="BJ133" s="5">
        <f>求节点(X$6:X$44,$G$67:$G$105,$AA133)</f>
        <v>0</v>
      </c>
      <c r="BK133" s="5">
        <f>求节点(T$6:T$44,$M$67:$M$105,$AA133)</f>
        <v>78</v>
      </c>
      <c r="BL133" s="5">
        <f>求节点(U$6:U$44,$M$67:$M$105,$AA133)</f>
        <v>78</v>
      </c>
      <c r="BM133" s="5">
        <f>求节点(V$6:V$44,$M$67:$M$105,$AA133)</f>
        <v>78</v>
      </c>
      <c r="BN133" s="5">
        <f>求节点(W$6:W$44,$M$67:$M$105,$AA133)</f>
        <v>78</v>
      </c>
      <c r="BO133" s="5">
        <f>求节点(X$6:X$44,$M$67:$M$105,$AA133)</f>
        <v>78</v>
      </c>
      <c r="BP133" s="5">
        <f>求节点(T$67:T$105,$L$67:$L$105,$AA133)</f>
        <v>0</v>
      </c>
      <c r="BQ133" s="5">
        <f>求节点(U$67:U$105,$L$67:$L$105,$AA133)</f>
        <v>0</v>
      </c>
      <c r="BR133" s="5">
        <f>求节点(V$67:V$105,$L$67:$L$105,$AA133)</f>
        <v>0</v>
      </c>
      <c r="BS133" s="5">
        <f>求节点(W$67:W$105,$L$67:$L$105,$AA133)</f>
        <v>0</v>
      </c>
      <c r="BT133" s="5">
        <f>求节点(X$67:X$105,$L$67:$L$105,$AA133)</f>
        <v>0</v>
      </c>
      <c r="BZ133" s="5">
        <v>129</v>
      </c>
      <c r="CA133" s="5">
        <f t="shared" si="60"/>
        <v>8112</v>
      </c>
      <c r="CB133" s="5">
        <f t="shared" si="61"/>
        <v>8112</v>
      </c>
      <c r="CC133" s="5">
        <f t="shared" si="62"/>
        <v>8112</v>
      </c>
      <c r="CD133" s="5">
        <f t="shared" si="63"/>
        <v>8112</v>
      </c>
      <c r="CE133" s="5">
        <f t="shared" si="64"/>
        <v>8112</v>
      </c>
      <c r="CF133" s="5">
        <f>(CA133-CA132)/节奏总纲!W132</f>
        <v>0</v>
      </c>
      <c r="CI133" s="5">
        <v>129</v>
      </c>
      <c r="CJ133" s="5">
        <f t="shared" si="65"/>
        <v>18720</v>
      </c>
      <c r="CK133" s="5">
        <f t="shared" si="66"/>
        <v>18720</v>
      </c>
      <c r="CL133" s="5">
        <f t="shared" si="67"/>
        <v>18720</v>
      </c>
      <c r="CM133" s="5">
        <f t="shared" si="68"/>
        <v>18720</v>
      </c>
      <c r="CN133" s="5">
        <f t="shared" si="69"/>
        <v>18720</v>
      </c>
      <c r="CO133" s="5">
        <f>(CJ133-CJ132)/节奏总纲!W132</f>
        <v>0</v>
      </c>
      <c r="CP133" s="5">
        <f t="shared" si="70"/>
        <v>0</v>
      </c>
      <c r="CR133" s="5">
        <v>129</v>
      </c>
      <c r="CS133" s="5">
        <f t="shared" si="71"/>
        <v>0</v>
      </c>
      <c r="CT133" s="5">
        <f t="shared" si="72"/>
        <v>0</v>
      </c>
      <c r="CU133" s="5">
        <f t="shared" si="73"/>
        <v>0</v>
      </c>
      <c r="CV133" s="5">
        <f t="shared" si="74"/>
        <v>0</v>
      </c>
      <c r="CW133" s="5">
        <f t="shared" si="75"/>
        <v>0</v>
      </c>
      <c r="CX133" s="5">
        <f t="shared" si="76"/>
        <v>0</v>
      </c>
      <c r="CY133" s="5">
        <f t="shared" si="77"/>
        <v>0</v>
      </c>
      <c r="CZ133" s="5">
        <f t="shared" si="78"/>
        <v>0</v>
      </c>
      <c r="DA133" s="5">
        <f t="shared" si="79"/>
        <v>0</v>
      </c>
      <c r="DB133" s="5">
        <f t="shared" si="80"/>
        <v>0</v>
      </c>
    </row>
    <row r="134" spans="27:106" x14ac:dyDescent="0.15">
      <c r="AA134" s="5">
        <v>130</v>
      </c>
      <c r="AB134" s="5">
        <f>求节点(T$6:T$44,$C$67:$C$105,$AA134)</f>
        <v>0</v>
      </c>
      <c r="AC134" s="5">
        <f>求节点(U$6:U$44,$C$67:$C$105,$AA134)</f>
        <v>0</v>
      </c>
      <c r="AD134" s="5">
        <f>求节点(V$6:V$44,$C$67:$C$105,$AA134)</f>
        <v>0</v>
      </c>
      <c r="AE134" s="5">
        <f>求节点(W$6:W$44,$C$67:$C$105,$AA134)</f>
        <v>0</v>
      </c>
      <c r="AF134" s="5">
        <f>求节点(X$6:X$44,$C$67:$C$105,$AA134)</f>
        <v>0</v>
      </c>
      <c r="AG134" s="5">
        <f>求节点(T$6:T$44,$D$67:$D$105,$AA134)+求节点(T$67:T$105,$Q$67:$Q$105,$AA134)</f>
        <v>102728760</v>
      </c>
      <c r="AH134" s="5">
        <f>求节点(U$6:U$44,$D$67:$D$105,$AA134)+求节点(U$67:U$105,$Q$67:$Q$105,$AA134)</f>
        <v>102728760</v>
      </c>
      <c r="AI134" s="5">
        <f>求节点(V$6:V$44,$D$67:$D$105,$AA134)+求节点(V$67:V$105,$Q$67:$Q$105,$AA134)</f>
        <v>102728760</v>
      </c>
      <c r="AJ134" s="5">
        <f>求节点(W$6:W$44,$D$67:$D$105,$AA134)+求节点(W$67:W$105,$Q$67:$Q$105,$AA134)</f>
        <v>102728760</v>
      </c>
      <c r="AK134" s="5">
        <f>求节点(X$6:X$44,$D$67:$D$105,$AA134)+求节点(X$67:X$105,$Q$67:$Q$105,$AA134)</f>
        <v>102728760</v>
      </c>
      <c r="AL134" s="5">
        <f>求节点(T$6:T$44,$F$67:$F$105,$AA134)+求节点(T$67:T$105,$P$67:$P$105,$AA134)</f>
        <v>1848000</v>
      </c>
      <c r="AM134" s="5">
        <f>求节点(U$6:U$44,$F$67:$F$105,$AA134)+求节点(U$67:U$105,$P$67:$P$105,$AA134)</f>
        <v>1848000</v>
      </c>
      <c r="AN134" s="5">
        <f>求节点(V$6:V$44,$F$67:$F$105,$AA134)+求节点(V$67:V$105,$P$67:$P$105,$AA134)</f>
        <v>1848000</v>
      </c>
      <c r="AO134" s="5">
        <f>求节点(W$6:W$44,$F$67:$F$105,$AA134)+求节点(W$67:W$105,$P$67:$P$105,$AA134)</f>
        <v>1848000</v>
      </c>
      <c r="AP134" s="5">
        <f>求节点(X$6:X$44,$F$67:$F$105,$AA134)+求节点(X$67:X$105,$P$67:$P$105,$AA134)</f>
        <v>1848000</v>
      </c>
      <c r="AQ134" s="5">
        <f>求节点(T$6:T$44,$H$67:$H$105,$AA134)</f>
        <v>963600</v>
      </c>
      <c r="AR134" s="5">
        <f>求节点(U$6:U$44,$H$67:$H$105,$AA134)</f>
        <v>963600</v>
      </c>
      <c r="AS134" s="5">
        <f>求节点(V$6:V$44,$H$67:$H$105,$AA134)</f>
        <v>963600</v>
      </c>
      <c r="AT134" s="5">
        <f>求节点(W$6:W$44,$H$67:$H$105,$AA134)</f>
        <v>963600</v>
      </c>
      <c r="AU134" s="5">
        <f>求节点(X$6:X$44,$H$67:$H$105,$AA134)</f>
        <v>963600</v>
      </c>
      <c r="AV134" s="5">
        <f>求节点(T$6:T$44,$I$67:$I$105,$AA134)</f>
        <v>25320000</v>
      </c>
      <c r="AW134" s="5">
        <f>求节点(U$6:U$44,$I$67:$I$105,$AA134)</f>
        <v>25320000</v>
      </c>
      <c r="AX134" s="5">
        <f>求节点(V$6:V$44,$I$67:$I$105,$AA134)</f>
        <v>25320000</v>
      </c>
      <c r="AY134" s="5">
        <f>求节点(W$6:W$44,$I$67:$I$105,$AA134)</f>
        <v>25320000</v>
      </c>
      <c r="AZ134" s="5">
        <f>求节点(X$6:X$44,$I$67:$I$105,$AA134)</f>
        <v>25320000</v>
      </c>
      <c r="BA134" s="5">
        <f>求节点(T$6:T$44,$E$67:$E$105,$AA134)+求节点(T$6:T$44,$K$67:$K$105,$AA134)+求节点(T$67:T$105,$O$67:$O$105,$AA134)</f>
        <v>8112</v>
      </c>
      <c r="BB134" s="5">
        <f>求节点(U$6:U$44,$E$67:$E$105,$AA134)+求节点(U$6:U$44,$K$67:$K$105,$AA134)+求节点(U$67:U$105,$O$67:$O$105,$AA134)</f>
        <v>8112</v>
      </c>
      <c r="BC134" s="5">
        <f>求节点(V$6:V$44,$E$67:$E$105,$AA134)+求节点(V$6:V$44,$K$67:$K$105,$AA134)+求节点(V$67:V$105,$O$67:$O$105,$AA134)</f>
        <v>8112</v>
      </c>
      <c r="BD134" s="5">
        <f>求节点(W$6:W$44,$E$67:$E$105,$AA134)+求节点(W$6:W$44,$K$67:$K$105,$AA134)+求节点(W$67:W$105,$O$67:$O$105,$AA134)</f>
        <v>8112</v>
      </c>
      <c r="BE134" s="5">
        <f>求节点(X$6:X$44,$E$67:$E$105,$AA134)+求节点(X$6:X$44,$K$67:$K$105,$AA134)+求节点(X$67:X$105,$O$67:$O$105,$AA134)</f>
        <v>8112</v>
      </c>
      <c r="BF134" s="5">
        <f>求节点(T$6:T$44,$G$67:$G$105,$AA134)</f>
        <v>0</v>
      </c>
      <c r="BG134" s="5">
        <f>求节点(U$6:U$44,$G$67:$G$105,$AA134)</f>
        <v>0</v>
      </c>
      <c r="BH134" s="5">
        <f>求节点(V$6:V$44,$G$67:$G$105,$AA134)</f>
        <v>0</v>
      </c>
      <c r="BI134" s="5">
        <f>求节点(W$6:W$44,$G$67:$G$105,$AA134)</f>
        <v>0</v>
      </c>
      <c r="BJ134" s="5">
        <f>求节点(X$6:X$44,$G$67:$G$105,$AA134)</f>
        <v>0</v>
      </c>
      <c r="BK134" s="5">
        <f>求节点(T$6:T$44,$M$67:$M$105,$AA134)</f>
        <v>78</v>
      </c>
      <c r="BL134" s="5">
        <f>求节点(U$6:U$44,$M$67:$M$105,$AA134)</f>
        <v>78</v>
      </c>
      <c r="BM134" s="5">
        <f>求节点(V$6:V$44,$M$67:$M$105,$AA134)</f>
        <v>78</v>
      </c>
      <c r="BN134" s="5">
        <f>求节点(W$6:W$44,$M$67:$M$105,$AA134)</f>
        <v>78</v>
      </c>
      <c r="BO134" s="5">
        <f>求节点(X$6:X$44,$M$67:$M$105,$AA134)</f>
        <v>78</v>
      </c>
      <c r="BP134" s="5">
        <f>求节点(T$67:T$105,$L$67:$L$105,$AA134)</f>
        <v>0</v>
      </c>
      <c r="BQ134" s="5">
        <f>求节点(U$67:U$105,$L$67:$L$105,$AA134)</f>
        <v>0</v>
      </c>
      <c r="BR134" s="5">
        <f>求节点(V$67:V$105,$L$67:$L$105,$AA134)</f>
        <v>0</v>
      </c>
      <c r="BS134" s="5">
        <f>求节点(W$67:W$105,$L$67:$L$105,$AA134)</f>
        <v>0</v>
      </c>
      <c r="BT134" s="5">
        <f>求节点(X$67:X$105,$L$67:$L$105,$AA134)</f>
        <v>0</v>
      </c>
      <c r="BZ134" s="5">
        <v>130</v>
      </c>
      <c r="CA134" s="5">
        <f t="shared" si="60"/>
        <v>8112</v>
      </c>
      <c r="CB134" s="5">
        <f t="shared" si="61"/>
        <v>8112</v>
      </c>
      <c r="CC134" s="5">
        <f t="shared" si="62"/>
        <v>8112</v>
      </c>
      <c r="CD134" s="5">
        <f t="shared" si="63"/>
        <v>8112</v>
      </c>
      <c r="CE134" s="5">
        <f t="shared" si="64"/>
        <v>8112</v>
      </c>
      <c r="CF134" s="5">
        <f>(CA134-CA133)/节奏总纲!W133</f>
        <v>0</v>
      </c>
      <c r="CI134" s="5">
        <v>130</v>
      </c>
      <c r="CJ134" s="5">
        <f t="shared" si="65"/>
        <v>18720</v>
      </c>
      <c r="CK134" s="5">
        <f t="shared" si="66"/>
        <v>18720</v>
      </c>
      <c r="CL134" s="5">
        <f t="shared" si="67"/>
        <v>18720</v>
      </c>
      <c r="CM134" s="5">
        <f t="shared" si="68"/>
        <v>18720</v>
      </c>
      <c r="CN134" s="5">
        <f t="shared" si="69"/>
        <v>18720</v>
      </c>
      <c r="CO134" s="5">
        <f>(CJ134-CJ133)/节奏总纲!W133</f>
        <v>0</v>
      </c>
      <c r="CP134" s="5">
        <f t="shared" si="70"/>
        <v>0</v>
      </c>
      <c r="CR134" s="5">
        <v>130</v>
      </c>
      <c r="CS134" s="5">
        <f t="shared" si="71"/>
        <v>0</v>
      </c>
      <c r="CT134" s="5">
        <f t="shared" si="72"/>
        <v>0</v>
      </c>
      <c r="CU134" s="5">
        <f t="shared" si="73"/>
        <v>0</v>
      </c>
      <c r="CV134" s="5">
        <f t="shared" si="74"/>
        <v>0</v>
      </c>
      <c r="CW134" s="5">
        <f t="shared" si="75"/>
        <v>0</v>
      </c>
      <c r="CX134" s="5">
        <f t="shared" si="76"/>
        <v>0</v>
      </c>
      <c r="CY134" s="5">
        <f t="shared" si="77"/>
        <v>0</v>
      </c>
      <c r="CZ134" s="5">
        <f t="shared" si="78"/>
        <v>0</v>
      </c>
      <c r="DA134" s="5">
        <f t="shared" si="79"/>
        <v>0</v>
      </c>
      <c r="DB134" s="5">
        <f t="shared" si="80"/>
        <v>0</v>
      </c>
    </row>
    <row r="135" spans="27:106" x14ac:dyDescent="0.15">
      <c r="AA135" s="5">
        <v>131</v>
      </c>
      <c r="AB135" s="5">
        <f>求节点(T$6:T$44,$C$67:$C$105,$AA135)</f>
        <v>0</v>
      </c>
      <c r="AC135" s="5">
        <f>求节点(U$6:U$44,$C$67:$C$105,$AA135)</f>
        <v>0</v>
      </c>
      <c r="AD135" s="5">
        <f>求节点(V$6:V$44,$C$67:$C$105,$AA135)</f>
        <v>0</v>
      </c>
      <c r="AE135" s="5">
        <f>求节点(W$6:W$44,$C$67:$C$105,$AA135)</f>
        <v>0</v>
      </c>
      <c r="AF135" s="5">
        <f>求节点(X$6:X$44,$C$67:$C$105,$AA135)</f>
        <v>0</v>
      </c>
      <c r="AG135" s="5">
        <f>求节点(T$6:T$44,$D$67:$D$105,$AA135)+求节点(T$67:T$105,$Q$67:$Q$105,$AA135)</f>
        <v>102728760</v>
      </c>
      <c r="AH135" s="5">
        <f>求节点(U$6:U$44,$D$67:$D$105,$AA135)+求节点(U$67:U$105,$Q$67:$Q$105,$AA135)</f>
        <v>102728760</v>
      </c>
      <c r="AI135" s="5">
        <f>求节点(V$6:V$44,$D$67:$D$105,$AA135)+求节点(V$67:V$105,$Q$67:$Q$105,$AA135)</f>
        <v>102728760</v>
      </c>
      <c r="AJ135" s="5">
        <f>求节点(W$6:W$44,$D$67:$D$105,$AA135)+求节点(W$67:W$105,$Q$67:$Q$105,$AA135)</f>
        <v>102728760</v>
      </c>
      <c r="AK135" s="5">
        <f>求节点(X$6:X$44,$D$67:$D$105,$AA135)+求节点(X$67:X$105,$Q$67:$Q$105,$AA135)</f>
        <v>102728760</v>
      </c>
      <c r="AL135" s="5">
        <f>求节点(T$6:T$44,$F$67:$F$105,$AA135)+求节点(T$67:T$105,$P$67:$P$105,$AA135)</f>
        <v>1848000</v>
      </c>
      <c r="AM135" s="5">
        <f>求节点(U$6:U$44,$F$67:$F$105,$AA135)+求节点(U$67:U$105,$P$67:$P$105,$AA135)</f>
        <v>1848000</v>
      </c>
      <c r="AN135" s="5">
        <f>求节点(V$6:V$44,$F$67:$F$105,$AA135)+求节点(V$67:V$105,$P$67:$P$105,$AA135)</f>
        <v>1848000</v>
      </c>
      <c r="AO135" s="5">
        <f>求节点(W$6:W$44,$F$67:$F$105,$AA135)+求节点(W$67:W$105,$P$67:$P$105,$AA135)</f>
        <v>1848000</v>
      </c>
      <c r="AP135" s="5">
        <f>求节点(X$6:X$44,$F$67:$F$105,$AA135)+求节点(X$67:X$105,$P$67:$P$105,$AA135)</f>
        <v>1848000</v>
      </c>
      <c r="AQ135" s="5">
        <f>求节点(T$6:T$44,$H$67:$H$105,$AA135)</f>
        <v>963600</v>
      </c>
      <c r="AR135" s="5">
        <f>求节点(U$6:U$44,$H$67:$H$105,$AA135)</f>
        <v>963600</v>
      </c>
      <c r="AS135" s="5">
        <f>求节点(V$6:V$44,$H$67:$H$105,$AA135)</f>
        <v>963600</v>
      </c>
      <c r="AT135" s="5">
        <f>求节点(W$6:W$44,$H$67:$H$105,$AA135)</f>
        <v>963600</v>
      </c>
      <c r="AU135" s="5">
        <f>求节点(X$6:X$44,$H$67:$H$105,$AA135)</f>
        <v>963600</v>
      </c>
      <c r="AV135" s="5">
        <f>求节点(T$6:T$44,$I$67:$I$105,$AA135)</f>
        <v>25320000</v>
      </c>
      <c r="AW135" s="5">
        <f>求节点(U$6:U$44,$I$67:$I$105,$AA135)</f>
        <v>25320000</v>
      </c>
      <c r="AX135" s="5">
        <f>求节点(V$6:V$44,$I$67:$I$105,$AA135)</f>
        <v>25320000</v>
      </c>
      <c r="AY135" s="5">
        <f>求节点(W$6:W$44,$I$67:$I$105,$AA135)</f>
        <v>25320000</v>
      </c>
      <c r="AZ135" s="5">
        <f>求节点(X$6:X$44,$I$67:$I$105,$AA135)</f>
        <v>25320000</v>
      </c>
      <c r="BA135" s="5">
        <f>求节点(T$6:T$44,$E$67:$E$105,$AA135)+求节点(T$6:T$44,$K$67:$K$105,$AA135)+求节点(T$67:T$105,$O$67:$O$105,$AA135)</f>
        <v>8112</v>
      </c>
      <c r="BB135" s="5">
        <f>求节点(U$6:U$44,$E$67:$E$105,$AA135)+求节点(U$6:U$44,$K$67:$K$105,$AA135)+求节点(U$67:U$105,$O$67:$O$105,$AA135)</f>
        <v>8112</v>
      </c>
      <c r="BC135" s="5">
        <f>求节点(V$6:V$44,$E$67:$E$105,$AA135)+求节点(V$6:V$44,$K$67:$K$105,$AA135)+求节点(V$67:V$105,$O$67:$O$105,$AA135)</f>
        <v>8112</v>
      </c>
      <c r="BD135" s="5">
        <f>求节点(W$6:W$44,$E$67:$E$105,$AA135)+求节点(W$6:W$44,$K$67:$K$105,$AA135)+求节点(W$67:W$105,$O$67:$O$105,$AA135)</f>
        <v>8112</v>
      </c>
      <c r="BE135" s="5">
        <f>求节点(X$6:X$44,$E$67:$E$105,$AA135)+求节点(X$6:X$44,$K$67:$K$105,$AA135)+求节点(X$67:X$105,$O$67:$O$105,$AA135)</f>
        <v>8112</v>
      </c>
      <c r="BF135" s="5">
        <f>求节点(T$6:T$44,$G$67:$G$105,$AA135)</f>
        <v>0</v>
      </c>
      <c r="BG135" s="5">
        <f>求节点(U$6:U$44,$G$67:$G$105,$AA135)</f>
        <v>0</v>
      </c>
      <c r="BH135" s="5">
        <f>求节点(V$6:V$44,$G$67:$G$105,$AA135)</f>
        <v>0</v>
      </c>
      <c r="BI135" s="5">
        <f>求节点(W$6:W$44,$G$67:$G$105,$AA135)</f>
        <v>0</v>
      </c>
      <c r="BJ135" s="5">
        <f>求节点(X$6:X$44,$G$67:$G$105,$AA135)</f>
        <v>0</v>
      </c>
      <c r="BK135" s="5">
        <f>求节点(T$6:T$44,$M$67:$M$105,$AA135)</f>
        <v>78</v>
      </c>
      <c r="BL135" s="5">
        <f>求节点(U$6:U$44,$M$67:$M$105,$AA135)</f>
        <v>78</v>
      </c>
      <c r="BM135" s="5">
        <f>求节点(V$6:V$44,$M$67:$M$105,$AA135)</f>
        <v>78</v>
      </c>
      <c r="BN135" s="5">
        <f>求节点(W$6:W$44,$M$67:$M$105,$AA135)</f>
        <v>78</v>
      </c>
      <c r="BO135" s="5">
        <f>求节点(X$6:X$44,$M$67:$M$105,$AA135)</f>
        <v>78</v>
      </c>
      <c r="BP135" s="5">
        <f>求节点(T$67:T$105,$L$67:$L$105,$AA135)</f>
        <v>0</v>
      </c>
      <c r="BQ135" s="5">
        <f>求节点(U$67:U$105,$L$67:$L$105,$AA135)</f>
        <v>0</v>
      </c>
      <c r="BR135" s="5">
        <f>求节点(V$67:V$105,$L$67:$L$105,$AA135)</f>
        <v>0</v>
      </c>
      <c r="BS135" s="5">
        <f>求节点(W$67:W$105,$L$67:$L$105,$AA135)</f>
        <v>0</v>
      </c>
      <c r="BT135" s="5">
        <f>求节点(X$67:X$105,$L$67:$L$105,$AA135)</f>
        <v>0</v>
      </c>
      <c r="BZ135" s="5">
        <v>131</v>
      </c>
      <c r="CA135" s="5">
        <f t="shared" si="60"/>
        <v>8112</v>
      </c>
      <c r="CB135" s="5">
        <f t="shared" si="61"/>
        <v>8112</v>
      </c>
      <c r="CC135" s="5">
        <f t="shared" si="62"/>
        <v>8112</v>
      </c>
      <c r="CD135" s="5">
        <f t="shared" si="63"/>
        <v>8112</v>
      </c>
      <c r="CE135" s="5">
        <f t="shared" si="64"/>
        <v>8112</v>
      </c>
      <c r="CF135" s="5">
        <f>(CA135-CA134)/节奏总纲!W134</f>
        <v>0</v>
      </c>
      <c r="CI135" s="5">
        <v>131</v>
      </c>
      <c r="CJ135" s="5">
        <f t="shared" si="65"/>
        <v>18720</v>
      </c>
      <c r="CK135" s="5">
        <f t="shared" si="66"/>
        <v>18720</v>
      </c>
      <c r="CL135" s="5">
        <f t="shared" si="67"/>
        <v>18720</v>
      </c>
      <c r="CM135" s="5">
        <f t="shared" si="68"/>
        <v>18720</v>
      </c>
      <c r="CN135" s="5">
        <f t="shared" si="69"/>
        <v>18720</v>
      </c>
      <c r="CO135" s="5">
        <f>(CJ135-CJ134)/节奏总纲!W134</f>
        <v>0</v>
      </c>
      <c r="CP135" s="5">
        <f t="shared" si="70"/>
        <v>0</v>
      </c>
      <c r="CR135" s="5">
        <v>131</v>
      </c>
      <c r="CS135" s="5">
        <f t="shared" si="71"/>
        <v>0</v>
      </c>
      <c r="CT135" s="5">
        <f t="shared" si="72"/>
        <v>0</v>
      </c>
      <c r="CU135" s="5">
        <f t="shared" si="73"/>
        <v>0</v>
      </c>
      <c r="CV135" s="5">
        <f t="shared" si="74"/>
        <v>0</v>
      </c>
      <c r="CW135" s="5">
        <f t="shared" si="75"/>
        <v>0</v>
      </c>
      <c r="CX135" s="5">
        <f t="shared" si="76"/>
        <v>0</v>
      </c>
      <c r="CY135" s="5">
        <f t="shared" si="77"/>
        <v>0</v>
      </c>
      <c r="CZ135" s="5">
        <f t="shared" si="78"/>
        <v>0</v>
      </c>
      <c r="DA135" s="5">
        <f t="shared" si="79"/>
        <v>0</v>
      </c>
      <c r="DB135" s="5">
        <f t="shared" si="80"/>
        <v>0</v>
      </c>
    </row>
    <row r="136" spans="27:106" x14ac:dyDescent="0.15">
      <c r="AA136" s="5">
        <v>132</v>
      </c>
      <c r="AB136" s="5">
        <f>求节点(T$6:T$44,$C$67:$C$105,$AA136)</f>
        <v>0</v>
      </c>
      <c r="AC136" s="5">
        <f>求节点(U$6:U$44,$C$67:$C$105,$AA136)</f>
        <v>0</v>
      </c>
      <c r="AD136" s="5">
        <f>求节点(V$6:V$44,$C$67:$C$105,$AA136)</f>
        <v>0</v>
      </c>
      <c r="AE136" s="5">
        <f>求节点(W$6:W$44,$C$67:$C$105,$AA136)</f>
        <v>0</v>
      </c>
      <c r="AF136" s="5">
        <f>求节点(X$6:X$44,$C$67:$C$105,$AA136)</f>
        <v>0</v>
      </c>
      <c r="AG136" s="5">
        <f>求节点(T$6:T$44,$D$67:$D$105,$AA136)+求节点(T$67:T$105,$Q$67:$Q$105,$AA136)</f>
        <v>102728760</v>
      </c>
      <c r="AH136" s="5">
        <f>求节点(U$6:U$44,$D$67:$D$105,$AA136)+求节点(U$67:U$105,$Q$67:$Q$105,$AA136)</f>
        <v>102728760</v>
      </c>
      <c r="AI136" s="5">
        <f>求节点(V$6:V$44,$D$67:$D$105,$AA136)+求节点(V$67:V$105,$Q$67:$Q$105,$AA136)</f>
        <v>102728760</v>
      </c>
      <c r="AJ136" s="5">
        <f>求节点(W$6:W$44,$D$67:$D$105,$AA136)+求节点(W$67:W$105,$Q$67:$Q$105,$AA136)</f>
        <v>102728760</v>
      </c>
      <c r="AK136" s="5">
        <f>求节点(X$6:X$44,$D$67:$D$105,$AA136)+求节点(X$67:X$105,$Q$67:$Q$105,$AA136)</f>
        <v>102728760</v>
      </c>
      <c r="AL136" s="5">
        <f>求节点(T$6:T$44,$F$67:$F$105,$AA136)+求节点(T$67:T$105,$P$67:$P$105,$AA136)</f>
        <v>1848000</v>
      </c>
      <c r="AM136" s="5">
        <f>求节点(U$6:U$44,$F$67:$F$105,$AA136)+求节点(U$67:U$105,$P$67:$P$105,$AA136)</f>
        <v>1848000</v>
      </c>
      <c r="AN136" s="5">
        <f>求节点(V$6:V$44,$F$67:$F$105,$AA136)+求节点(V$67:V$105,$P$67:$P$105,$AA136)</f>
        <v>1848000</v>
      </c>
      <c r="AO136" s="5">
        <f>求节点(W$6:W$44,$F$67:$F$105,$AA136)+求节点(W$67:W$105,$P$67:$P$105,$AA136)</f>
        <v>1848000</v>
      </c>
      <c r="AP136" s="5">
        <f>求节点(X$6:X$44,$F$67:$F$105,$AA136)+求节点(X$67:X$105,$P$67:$P$105,$AA136)</f>
        <v>1848000</v>
      </c>
      <c r="AQ136" s="5">
        <f>求节点(T$6:T$44,$H$67:$H$105,$AA136)</f>
        <v>963600</v>
      </c>
      <c r="AR136" s="5">
        <f>求节点(U$6:U$44,$H$67:$H$105,$AA136)</f>
        <v>963600</v>
      </c>
      <c r="AS136" s="5">
        <f>求节点(V$6:V$44,$H$67:$H$105,$AA136)</f>
        <v>963600</v>
      </c>
      <c r="AT136" s="5">
        <f>求节点(W$6:W$44,$H$67:$H$105,$AA136)</f>
        <v>963600</v>
      </c>
      <c r="AU136" s="5">
        <f>求节点(X$6:X$44,$H$67:$H$105,$AA136)</f>
        <v>963600</v>
      </c>
      <c r="AV136" s="5">
        <f>求节点(T$6:T$44,$I$67:$I$105,$AA136)</f>
        <v>25320000</v>
      </c>
      <c r="AW136" s="5">
        <f>求节点(U$6:U$44,$I$67:$I$105,$AA136)</f>
        <v>25320000</v>
      </c>
      <c r="AX136" s="5">
        <f>求节点(V$6:V$44,$I$67:$I$105,$AA136)</f>
        <v>25320000</v>
      </c>
      <c r="AY136" s="5">
        <f>求节点(W$6:W$44,$I$67:$I$105,$AA136)</f>
        <v>25320000</v>
      </c>
      <c r="AZ136" s="5">
        <f>求节点(X$6:X$44,$I$67:$I$105,$AA136)</f>
        <v>25320000</v>
      </c>
      <c r="BA136" s="5">
        <f>求节点(T$6:T$44,$E$67:$E$105,$AA136)+求节点(T$6:T$44,$K$67:$K$105,$AA136)+求节点(T$67:T$105,$O$67:$O$105,$AA136)</f>
        <v>8112</v>
      </c>
      <c r="BB136" s="5">
        <f>求节点(U$6:U$44,$E$67:$E$105,$AA136)+求节点(U$6:U$44,$K$67:$K$105,$AA136)+求节点(U$67:U$105,$O$67:$O$105,$AA136)</f>
        <v>8112</v>
      </c>
      <c r="BC136" s="5">
        <f>求节点(V$6:V$44,$E$67:$E$105,$AA136)+求节点(V$6:V$44,$K$67:$K$105,$AA136)+求节点(V$67:V$105,$O$67:$O$105,$AA136)</f>
        <v>8112</v>
      </c>
      <c r="BD136" s="5">
        <f>求节点(W$6:W$44,$E$67:$E$105,$AA136)+求节点(W$6:W$44,$K$67:$K$105,$AA136)+求节点(W$67:W$105,$O$67:$O$105,$AA136)</f>
        <v>8112</v>
      </c>
      <c r="BE136" s="5">
        <f>求节点(X$6:X$44,$E$67:$E$105,$AA136)+求节点(X$6:X$44,$K$67:$K$105,$AA136)+求节点(X$67:X$105,$O$67:$O$105,$AA136)</f>
        <v>8112</v>
      </c>
      <c r="BF136" s="5">
        <f>求节点(T$6:T$44,$G$67:$G$105,$AA136)</f>
        <v>0</v>
      </c>
      <c r="BG136" s="5">
        <f>求节点(U$6:U$44,$G$67:$G$105,$AA136)</f>
        <v>0</v>
      </c>
      <c r="BH136" s="5">
        <f>求节点(V$6:V$44,$G$67:$G$105,$AA136)</f>
        <v>0</v>
      </c>
      <c r="BI136" s="5">
        <f>求节点(W$6:W$44,$G$67:$G$105,$AA136)</f>
        <v>0</v>
      </c>
      <c r="BJ136" s="5">
        <f>求节点(X$6:X$44,$G$67:$G$105,$AA136)</f>
        <v>0</v>
      </c>
      <c r="BK136" s="5">
        <f>求节点(T$6:T$44,$M$67:$M$105,$AA136)</f>
        <v>78</v>
      </c>
      <c r="BL136" s="5">
        <f>求节点(U$6:U$44,$M$67:$M$105,$AA136)</f>
        <v>78</v>
      </c>
      <c r="BM136" s="5">
        <f>求节点(V$6:V$44,$M$67:$M$105,$AA136)</f>
        <v>78</v>
      </c>
      <c r="BN136" s="5">
        <f>求节点(W$6:W$44,$M$67:$M$105,$AA136)</f>
        <v>78</v>
      </c>
      <c r="BO136" s="5">
        <f>求节点(X$6:X$44,$M$67:$M$105,$AA136)</f>
        <v>78</v>
      </c>
      <c r="BP136" s="5">
        <f>求节点(T$67:T$105,$L$67:$L$105,$AA136)</f>
        <v>0</v>
      </c>
      <c r="BQ136" s="5">
        <f>求节点(U$67:U$105,$L$67:$L$105,$AA136)</f>
        <v>0</v>
      </c>
      <c r="BR136" s="5">
        <f>求节点(V$67:V$105,$L$67:$L$105,$AA136)</f>
        <v>0</v>
      </c>
      <c r="BS136" s="5">
        <f>求节点(W$67:W$105,$L$67:$L$105,$AA136)</f>
        <v>0</v>
      </c>
      <c r="BT136" s="5">
        <f>求节点(X$67:X$105,$L$67:$L$105,$AA136)</f>
        <v>0</v>
      </c>
      <c r="BZ136" s="5">
        <v>132</v>
      </c>
      <c r="CA136" s="5">
        <f t="shared" si="60"/>
        <v>8112</v>
      </c>
      <c r="CB136" s="5">
        <f t="shared" si="61"/>
        <v>8112</v>
      </c>
      <c r="CC136" s="5">
        <f t="shared" si="62"/>
        <v>8112</v>
      </c>
      <c r="CD136" s="5">
        <f t="shared" si="63"/>
        <v>8112</v>
      </c>
      <c r="CE136" s="5">
        <f t="shared" si="64"/>
        <v>8112</v>
      </c>
      <c r="CF136" s="5">
        <f>(CA136-CA135)/节奏总纲!W135</f>
        <v>0</v>
      </c>
      <c r="CI136" s="5">
        <v>132</v>
      </c>
      <c r="CJ136" s="5">
        <f t="shared" si="65"/>
        <v>18720</v>
      </c>
      <c r="CK136" s="5">
        <f t="shared" si="66"/>
        <v>18720</v>
      </c>
      <c r="CL136" s="5">
        <f t="shared" si="67"/>
        <v>18720</v>
      </c>
      <c r="CM136" s="5">
        <f t="shared" si="68"/>
        <v>18720</v>
      </c>
      <c r="CN136" s="5">
        <f t="shared" si="69"/>
        <v>18720</v>
      </c>
      <c r="CO136" s="5">
        <f>(CJ136-CJ135)/节奏总纲!W135</f>
        <v>0</v>
      </c>
      <c r="CP136" s="5">
        <f t="shared" si="70"/>
        <v>0</v>
      </c>
      <c r="CR136" s="5">
        <v>132</v>
      </c>
      <c r="CS136" s="5">
        <f t="shared" si="71"/>
        <v>0</v>
      </c>
      <c r="CT136" s="5">
        <f>BQ136</f>
        <v>0</v>
      </c>
      <c r="CU136" s="5">
        <f t="shared" si="73"/>
        <v>0</v>
      </c>
      <c r="CV136" s="5">
        <f t="shared" si="74"/>
        <v>0</v>
      </c>
      <c r="CW136" s="5">
        <f t="shared" si="75"/>
        <v>0</v>
      </c>
      <c r="CX136" s="5">
        <f t="shared" si="76"/>
        <v>0</v>
      </c>
      <c r="CY136" s="5">
        <f t="shared" si="77"/>
        <v>0</v>
      </c>
      <c r="CZ136" s="5">
        <f t="shared" si="78"/>
        <v>0</v>
      </c>
      <c r="DA136" s="5">
        <f t="shared" si="79"/>
        <v>0</v>
      </c>
      <c r="DB136" s="5">
        <f t="shared" si="80"/>
        <v>0</v>
      </c>
    </row>
    <row r="137" spans="27:106" x14ac:dyDescent="0.15">
      <c r="AA137" s="5">
        <v>133</v>
      </c>
      <c r="AB137" s="5">
        <f>求节点(T$6:T$44,$C$67:$C$105,$AA137)</f>
        <v>0</v>
      </c>
      <c r="AC137" s="5">
        <f>求节点(U$6:U$44,$C$67:$C$105,$AA137)</f>
        <v>0</v>
      </c>
      <c r="AD137" s="5">
        <f>求节点(V$6:V$44,$C$67:$C$105,$AA137)</f>
        <v>0</v>
      </c>
      <c r="AE137" s="5">
        <f>求节点(W$6:W$44,$C$67:$C$105,$AA137)</f>
        <v>0</v>
      </c>
      <c r="AF137" s="5">
        <f>求节点(X$6:X$44,$C$67:$C$105,$AA137)</f>
        <v>0</v>
      </c>
      <c r="AG137" s="5">
        <f>求节点(T$6:T$44,$D$67:$D$105,$AA137)+求节点(T$67:T$105,$Q$67:$Q$105,$AA137)</f>
        <v>102728760</v>
      </c>
      <c r="AH137" s="5">
        <f>求节点(U$6:U$44,$D$67:$D$105,$AA137)+求节点(U$67:U$105,$Q$67:$Q$105,$AA137)</f>
        <v>102728760</v>
      </c>
      <c r="AI137" s="5">
        <f>求节点(V$6:V$44,$D$67:$D$105,$AA137)+求节点(V$67:V$105,$Q$67:$Q$105,$AA137)</f>
        <v>102728760</v>
      </c>
      <c r="AJ137" s="5">
        <f>求节点(W$6:W$44,$D$67:$D$105,$AA137)+求节点(W$67:W$105,$Q$67:$Q$105,$AA137)</f>
        <v>102728760</v>
      </c>
      <c r="AK137" s="5">
        <f>求节点(X$6:X$44,$D$67:$D$105,$AA137)+求节点(X$67:X$105,$Q$67:$Q$105,$AA137)</f>
        <v>102728760</v>
      </c>
      <c r="AL137" s="5">
        <f>求节点(T$6:T$44,$F$67:$F$105,$AA137)+求节点(T$67:T$105,$P$67:$P$105,$AA137)</f>
        <v>1848000</v>
      </c>
      <c r="AM137" s="5">
        <f>求节点(U$6:U$44,$F$67:$F$105,$AA137)+求节点(U$67:U$105,$P$67:$P$105,$AA137)</f>
        <v>1848000</v>
      </c>
      <c r="AN137" s="5">
        <f>求节点(V$6:V$44,$F$67:$F$105,$AA137)+求节点(V$67:V$105,$P$67:$P$105,$AA137)</f>
        <v>1848000</v>
      </c>
      <c r="AO137" s="5">
        <f>求节点(W$6:W$44,$F$67:$F$105,$AA137)+求节点(W$67:W$105,$P$67:$P$105,$AA137)</f>
        <v>1848000</v>
      </c>
      <c r="AP137" s="5">
        <f>求节点(X$6:X$44,$F$67:$F$105,$AA137)+求节点(X$67:X$105,$P$67:$P$105,$AA137)</f>
        <v>1848000</v>
      </c>
      <c r="AQ137" s="5">
        <f>求节点(T$6:T$44,$H$67:$H$105,$AA137)</f>
        <v>963600</v>
      </c>
      <c r="AR137" s="5">
        <f>求节点(U$6:U$44,$H$67:$H$105,$AA137)</f>
        <v>963600</v>
      </c>
      <c r="AS137" s="5">
        <f>求节点(V$6:V$44,$H$67:$H$105,$AA137)</f>
        <v>963600</v>
      </c>
      <c r="AT137" s="5">
        <f>求节点(W$6:W$44,$H$67:$H$105,$AA137)</f>
        <v>963600</v>
      </c>
      <c r="AU137" s="5">
        <f>求节点(X$6:X$44,$H$67:$H$105,$AA137)</f>
        <v>963600</v>
      </c>
      <c r="AV137" s="5">
        <f>求节点(T$6:T$44,$I$67:$I$105,$AA137)</f>
        <v>25320000</v>
      </c>
      <c r="AW137" s="5">
        <f>求节点(U$6:U$44,$I$67:$I$105,$AA137)</f>
        <v>25320000</v>
      </c>
      <c r="AX137" s="5">
        <f>求节点(V$6:V$44,$I$67:$I$105,$AA137)</f>
        <v>25320000</v>
      </c>
      <c r="AY137" s="5">
        <f>求节点(W$6:W$44,$I$67:$I$105,$AA137)</f>
        <v>25320000</v>
      </c>
      <c r="AZ137" s="5">
        <f>求节点(X$6:X$44,$I$67:$I$105,$AA137)</f>
        <v>25320000</v>
      </c>
      <c r="BA137" s="5">
        <f>求节点(T$6:T$44,$E$67:$E$105,$AA137)+求节点(T$6:T$44,$K$67:$K$105,$AA137)+求节点(T$67:T$105,$O$67:$O$105,$AA137)</f>
        <v>8112</v>
      </c>
      <c r="BB137" s="5">
        <f>求节点(U$6:U$44,$E$67:$E$105,$AA137)+求节点(U$6:U$44,$K$67:$K$105,$AA137)+求节点(U$67:U$105,$O$67:$O$105,$AA137)</f>
        <v>8112</v>
      </c>
      <c r="BC137" s="5">
        <f>求节点(V$6:V$44,$E$67:$E$105,$AA137)+求节点(V$6:V$44,$K$67:$K$105,$AA137)+求节点(V$67:V$105,$O$67:$O$105,$AA137)</f>
        <v>8112</v>
      </c>
      <c r="BD137" s="5">
        <f>求节点(W$6:W$44,$E$67:$E$105,$AA137)+求节点(W$6:W$44,$K$67:$K$105,$AA137)+求节点(W$67:W$105,$O$67:$O$105,$AA137)</f>
        <v>8112</v>
      </c>
      <c r="BE137" s="5">
        <f>求节点(X$6:X$44,$E$67:$E$105,$AA137)+求节点(X$6:X$44,$K$67:$K$105,$AA137)+求节点(X$67:X$105,$O$67:$O$105,$AA137)</f>
        <v>8112</v>
      </c>
      <c r="BF137" s="5">
        <f>求节点(T$6:T$44,$G$67:$G$105,$AA137)</f>
        <v>0</v>
      </c>
      <c r="BG137" s="5">
        <f>求节点(U$6:U$44,$G$67:$G$105,$AA137)</f>
        <v>0</v>
      </c>
      <c r="BH137" s="5">
        <f>求节点(V$6:V$44,$G$67:$G$105,$AA137)</f>
        <v>0</v>
      </c>
      <c r="BI137" s="5">
        <f>求节点(W$6:W$44,$G$67:$G$105,$AA137)</f>
        <v>0</v>
      </c>
      <c r="BJ137" s="5">
        <f>求节点(X$6:X$44,$G$67:$G$105,$AA137)</f>
        <v>0</v>
      </c>
      <c r="BK137" s="5">
        <f>求节点(T$6:T$44,$M$67:$M$105,$AA137)</f>
        <v>78</v>
      </c>
      <c r="BL137" s="5">
        <f>求节点(U$6:U$44,$M$67:$M$105,$AA137)</f>
        <v>78</v>
      </c>
      <c r="BM137" s="5">
        <f>求节点(V$6:V$44,$M$67:$M$105,$AA137)</f>
        <v>78</v>
      </c>
      <c r="BN137" s="5">
        <f>求节点(W$6:W$44,$M$67:$M$105,$AA137)</f>
        <v>78</v>
      </c>
      <c r="BO137" s="5">
        <f>求节点(X$6:X$44,$M$67:$M$105,$AA137)</f>
        <v>78</v>
      </c>
      <c r="BP137" s="5">
        <f>求节点(T$67:T$105,$L$67:$L$105,$AA137)</f>
        <v>0</v>
      </c>
      <c r="BQ137" s="5">
        <f>求节点(U$67:U$105,$L$67:$L$105,$AA137)</f>
        <v>0</v>
      </c>
      <c r="BR137" s="5">
        <f>求节点(V$67:V$105,$L$67:$L$105,$AA137)</f>
        <v>0</v>
      </c>
      <c r="BS137" s="5">
        <f>求节点(W$67:W$105,$L$67:$L$105,$AA137)</f>
        <v>0</v>
      </c>
      <c r="BT137" s="5">
        <f>求节点(X$67:X$105,$L$67:$L$105,$AA137)</f>
        <v>0</v>
      </c>
      <c r="BZ137" s="5">
        <v>133</v>
      </c>
      <c r="CA137" s="5">
        <f t="shared" si="60"/>
        <v>8112</v>
      </c>
      <c r="CB137" s="5">
        <f t="shared" si="61"/>
        <v>8112</v>
      </c>
      <c r="CC137" s="5">
        <f t="shared" si="62"/>
        <v>8112</v>
      </c>
      <c r="CD137" s="5">
        <f t="shared" si="63"/>
        <v>8112</v>
      </c>
      <c r="CE137" s="5">
        <f t="shared" si="64"/>
        <v>8112</v>
      </c>
      <c r="CF137" s="5">
        <f>(CA137-CA136)/节奏总纲!W136</f>
        <v>0</v>
      </c>
      <c r="CI137" s="5">
        <v>133</v>
      </c>
      <c r="CJ137" s="5">
        <f t="shared" si="65"/>
        <v>18720</v>
      </c>
      <c r="CK137" s="5">
        <f t="shared" si="66"/>
        <v>18720</v>
      </c>
      <c r="CL137" s="5">
        <f t="shared" si="67"/>
        <v>18720</v>
      </c>
      <c r="CM137" s="5">
        <f t="shared" si="68"/>
        <v>18720</v>
      </c>
      <c r="CN137" s="5">
        <f t="shared" si="69"/>
        <v>18720</v>
      </c>
      <c r="CO137" s="5">
        <f>(CJ137-CJ136)/节奏总纲!W136</f>
        <v>0</v>
      </c>
      <c r="CP137" s="5">
        <f t="shared" si="70"/>
        <v>0</v>
      </c>
      <c r="CR137" s="5">
        <v>133</v>
      </c>
      <c r="CS137" s="5">
        <f t="shared" si="71"/>
        <v>0</v>
      </c>
      <c r="CT137" s="5">
        <f t="shared" si="72"/>
        <v>0</v>
      </c>
      <c r="CU137" s="5">
        <f t="shared" si="73"/>
        <v>0</v>
      </c>
      <c r="CV137" s="5">
        <f t="shared" si="74"/>
        <v>0</v>
      </c>
      <c r="CW137" s="5">
        <f t="shared" si="75"/>
        <v>0</v>
      </c>
      <c r="CX137" s="5">
        <f t="shared" si="76"/>
        <v>0</v>
      </c>
      <c r="CY137" s="5">
        <f t="shared" si="77"/>
        <v>0</v>
      </c>
      <c r="CZ137" s="5">
        <f t="shared" si="78"/>
        <v>0</v>
      </c>
      <c r="DA137" s="5">
        <f t="shared" si="79"/>
        <v>0</v>
      </c>
      <c r="DB137" s="5">
        <f t="shared" si="80"/>
        <v>0</v>
      </c>
    </row>
    <row r="138" spans="27:106" x14ac:dyDescent="0.15">
      <c r="AA138" s="5">
        <v>134</v>
      </c>
      <c r="AB138" s="5">
        <f>求节点(T$6:T$44,$C$67:$C$105,$AA138)</f>
        <v>0</v>
      </c>
      <c r="AC138" s="5">
        <f>求节点(U$6:U$44,$C$67:$C$105,$AA138)</f>
        <v>0</v>
      </c>
      <c r="AD138" s="5">
        <f>求节点(V$6:V$44,$C$67:$C$105,$AA138)</f>
        <v>0</v>
      </c>
      <c r="AE138" s="5">
        <f>求节点(W$6:W$44,$C$67:$C$105,$AA138)</f>
        <v>0</v>
      </c>
      <c r="AF138" s="5">
        <f>求节点(X$6:X$44,$C$67:$C$105,$AA138)</f>
        <v>0</v>
      </c>
      <c r="AG138" s="5">
        <f>求节点(T$6:T$44,$D$67:$D$105,$AA138)+求节点(T$67:T$105,$Q$67:$Q$105,$AA138)</f>
        <v>102728760</v>
      </c>
      <c r="AH138" s="5">
        <f>求节点(U$6:U$44,$D$67:$D$105,$AA138)+求节点(U$67:U$105,$Q$67:$Q$105,$AA138)</f>
        <v>102728760</v>
      </c>
      <c r="AI138" s="5">
        <f>求节点(V$6:V$44,$D$67:$D$105,$AA138)+求节点(V$67:V$105,$Q$67:$Q$105,$AA138)</f>
        <v>102728760</v>
      </c>
      <c r="AJ138" s="5">
        <f>求节点(W$6:W$44,$D$67:$D$105,$AA138)+求节点(W$67:W$105,$Q$67:$Q$105,$AA138)</f>
        <v>102728760</v>
      </c>
      <c r="AK138" s="5">
        <f>求节点(X$6:X$44,$D$67:$D$105,$AA138)+求节点(X$67:X$105,$Q$67:$Q$105,$AA138)</f>
        <v>102728760</v>
      </c>
      <c r="AL138" s="5">
        <f>求节点(T$6:T$44,$F$67:$F$105,$AA138)+求节点(T$67:T$105,$P$67:$P$105,$AA138)</f>
        <v>1848000</v>
      </c>
      <c r="AM138" s="5">
        <f>求节点(U$6:U$44,$F$67:$F$105,$AA138)+求节点(U$67:U$105,$P$67:$P$105,$AA138)</f>
        <v>1848000</v>
      </c>
      <c r="AN138" s="5">
        <f>求节点(V$6:V$44,$F$67:$F$105,$AA138)+求节点(V$67:V$105,$P$67:$P$105,$AA138)</f>
        <v>1848000</v>
      </c>
      <c r="AO138" s="5">
        <f>求节点(W$6:W$44,$F$67:$F$105,$AA138)+求节点(W$67:W$105,$P$67:$P$105,$AA138)</f>
        <v>1848000</v>
      </c>
      <c r="AP138" s="5">
        <f>求节点(X$6:X$44,$F$67:$F$105,$AA138)+求节点(X$67:X$105,$P$67:$P$105,$AA138)</f>
        <v>1848000</v>
      </c>
      <c r="AQ138" s="5">
        <f>求节点(T$6:T$44,$H$67:$H$105,$AA138)</f>
        <v>963600</v>
      </c>
      <c r="AR138" s="5">
        <f>求节点(U$6:U$44,$H$67:$H$105,$AA138)</f>
        <v>963600</v>
      </c>
      <c r="AS138" s="5">
        <f>求节点(V$6:V$44,$H$67:$H$105,$AA138)</f>
        <v>963600</v>
      </c>
      <c r="AT138" s="5">
        <f>求节点(W$6:W$44,$H$67:$H$105,$AA138)</f>
        <v>963600</v>
      </c>
      <c r="AU138" s="5">
        <f>求节点(X$6:X$44,$H$67:$H$105,$AA138)</f>
        <v>963600</v>
      </c>
      <c r="AV138" s="5">
        <f>求节点(T$6:T$44,$I$67:$I$105,$AA138)</f>
        <v>25320000</v>
      </c>
      <c r="AW138" s="5">
        <f>求节点(U$6:U$44,$I$67:$I$105,$AA138)</f>
        <v>25320000</v>
      </c>
      <c r="AX138" s="5">
        <f>求节点(V$6:V$44,$I$67:$I$105,$AA138)</f>
        <v>25320000</v>
      </c>
      <c r="AY138" s="5">
        <f>求节点(W$6:W$44,$I$67:$I$105,$AA138)</f>
        <v>25320000</v>
      </c>
      <c r="AZ138" s="5">
        <f>求节点(X$6:X$44,$I$67:$I$105,$AA138)</f>
        <v>25320000</v>
      </c>
      <c r="BA138" s="5">
        <f>求节点(T$6:T$44,$E$67:$E$105,$AA138)+求节点(T$6:T$44,$K$67:$K$105,$AA138)+求节点(T$67:T$105,$O$67:$O$105,$AA138)</f>
        <v>8112</v>
      </c>
      <c r="BB138" s="5">
        <f>求节点(U$6:U$44,$E$67:$E$105,$AA138)+求节点(U$6:U$44,$K$67:$K$105,$AA138)+求节点(U$67:U$105,$O$67:$O$105,$AA138)</f>
        <v>8112</v>
      </c>
      <c r="BC138" s="5">
        <f>求节点(V$6:V$44,$E$67:$E$105,$AA138)+求节点(V$6:V$44,$K$67:$K$105,$AA138)+求节点(V$67:V$105,$O$67:$O$105,$AA138)</f>
        <v>8112</v>
      </c>
      <c r="BD138" s="5">
        <f>求节点(W$6:W$44,$E$67:$E$105,$AA138)+求节点(W$6:W$44,$K$67:$K$105,$AA138)+求节点(W$67:W$105,$O$67:$O$105,$AA138)</f>
        <v>8112</v>
      </c>
      <c r="BE138" s="5">
        <f>求节点(X$6:X$44,$E$67:$E$105,$AA138)+求节点(X$6:X$44,$K$67:$K$105,$AA138)+求节点(X$67:X$105,$O$67:$O$105,$AA138)</f>
        <v>8112</v>
      </c>
      <c r="BF138" s="5">
        <f>求节点(T$6:T$44,$G$67:$G$105,$AA138)</f>
        <v>0</v>
      </c>
      <c r="BG138" s="5">
        <f>求节点(U$6:U$44,$G$67:$G$105,$AA138)</f>
        <v>0</v>
      </c>
      <c r="BH138" s="5">
        <f>求节点(V$6:V$44,$G$67:$G$105,$AA138)</f>
        <v>0</v>
      </c>
      <c r="BI138" s="5">
        <f>求节点(W$6:W$44,$G$67:$G$105,$AA138)</f>
        <v>0</v>
      </c>
      <c r="BJ138" s="5">
        <f>求节点(X$6:X$44,$G$67:$G$105,$AA138)</f>
        <v>0</v>
      </c>
      <c r="BK138" s="5">
        <f>求节点(T$6:T$44,$M$67:$M$105,$AA138)</f>
        <v>78</v>
      </c>
      <c r="BL138" s="5">
        <f>求节点(U$6:U$44,$M$67:$M$105,$AA138)</f>
        <v>78</v>
      </c>
      <c r="BM138" s="5">
        <f>求节点(V$6:V$44,$M$67:$M$105,$AA138)</f>
        <v>78</v>
      </c>
      <c r="BN138" s="5">
        <f>求节点(W$6:W$44,$M$67:$M$105,$AA138)</f>
        <v>78</v>
      </c>
      <c r="BO138" s="5">
        <f>求节点(X$6:X$44,$M$67:$M$105,$AA138)</f>
        <v>78</v>
      </c>
      <c r="BP138" s="5">
        <f>求节点(T$67:T$105,$L$67:$L$105,$AA138)</f>
        <v>0</v>
      </c>
      <c r="BQ138" s="5">
        <f>求节点(U$67:U$105,$L$67:$L$105,$AA138)</f>
        <v>0</v>
      </c>
      <c r="BR138" s="5">
        <f>求节点(V$67:V$105,$L$67:$L$105,$AA138)</f>
        <v>0</v>
      </c>
      <c r="BS138" s="5">
        <f>求节点(W$67:W$105,$L$67:$L$105,$AA138)</f>
        <v>0</v>
      </c>
      <c r="BT138" s="5">
        <f>求节点(X$67:X$105,$L$67:$L$105,$AA138)</f>
        <v>0</v>
      </c>
      <c r="BZ138" s="5">
        <v>134</v>
      </c>
      <c r="CA138" s="5">
        <f t="shared" si="60"/>
        <v>8112</v>
      </c>
      <c r="CB138" s="5">
        <f t="shared" si="61"/>
        <v>8112</v>
      </c>
      <c r="CC138" s="5">
        <f t="shared" si="62"/>
        <v>8112</v>
      </c>
      <c r="CD138" s="5">
        <f t="shared" si="63"/>
        <v>8112</v>
      </c>
      <c r="CE138" s="5">
        <f t="shared" si="64"/>
        <v>8112</v>
      </c>
      <c r="CF138" s="5">
        <f>(CA138-CA137)/节奏总纲!W137</f>
        <v>0</v>
      </c>
      <c r="CI138" s="5">
        <v>134</v>
      </c>
      <c r="CJ138" s="5">
        <f t="shared" si="65"/>
        <v>18720</v>
      </c>
      <c r="CK138" s="5">
        <f t="shared" si="66"/>
        <v>18720</v>
      </c>
      <c r="CL138" s="5">
        <f t="shared" si="67"/>
        <v>18720</v>
      </c>
      <c r="CM138" s="5">
        <f t="shared" si="68"/>
        <v>18720</v>
      </c>
      <c r="CN138" s="5">
        <f t="shared" si="69"/>
        <v>18720</v>
      </c>
      <c r="CO138" s="5">
        <f>(CJ138-CJ137)/节奏总纲!W137</f>
        <v>0</v>
      </c>
      <c r="CP138" s="5">
        <f t="shared" si="70"/>
        <v>0</v>
      </c>
      <c r="CR138" s="5">
        <v>134</v>
      </c>
      <c r="CS138" s="5">
        <f t="shared" si="71"/>
        <v>0</v>
      </c>
      <c r="CT138" s="5">
        <f t="shared" si="72"/>
        <v>0</v>
      </c>
      <c r="CU138" s="5">
        <f t="shared" si="73"/>
        <v>0</v>
      </c>
      <c r="CV138" s="5">
        <f t="shared" si="74"/>
        <v>0</v>
      </c>
      <c r="CW138" s="5">
        <f t="shared" si="75"/>
        <v>0</v>
      </c>
      <c r="CX138" s="5">
        <f t="shared" si="76"/>
        <v>0</v>
      </c>
      <c r="CY138" s="5">
        <f t="shared" si="77"/>
        <v>0</v>
      </c>
      <c r="CZ138" s="5">
        <f t="shared" si="78"/>
        <v>0</v>
      </c>
      <c r="DA138" s="5">
        <f t="shared" si="79"/>
        <v>0</v>
      </c>
      <c r="DB138" s="5">
        <f t="shared" si="80"/>
        <v>0</v>
      </c>
    </row>
    <row r="139" spans="27:106" x14ac:dyDescent="0.15">
      <c r="AA139" s="5">
        <v>135</v>
      </c>
      <c r="AB139" s="5">
        <f>求节点(T$6:T$44,$C$67:$C$105,$AA139)</f>
        <v>0</v>
      </c>
      <c r="AC139" s="5">
        <f>求节点(U$6:U$44,$C$67:$C$105,$AA139)</f>
        <v>0</v>
      </c>
      <c r="AD139" s="5">
        <f>求节点(V$6:V$44,$C$67:$C$105,$AA139)</f>
        <v>0</v>
      </c>
      <c r="AE139" s="5">
        <f>求节点(W$6:W$44,$C$67:$C$105,$AA139)</f>
        <v>0</v>
      </c>
      <c r="AF139" s="5">
        <f>求节点(X$6:X$44,$C$67:$C$105,$AA139)</f>
        <v>0</v>
      </c>
      <c r="AG139" s="5">
        <f>求节点(T$6:T$44,$D$67:$D$105,$AA139)+求节点(T$67:T$105,$Q$67:$Q$105,$AA139)</f>
        <v>102728760</v>
      </c>
      <c r="AH139" s="5">
        <f>求节点(U$6:U$44,$D$67:$D$105,$AA139)+求节点(U$67:U$105,$Q$67:$Q$105,$AA139)</f>
        <v>102728760</v>
      </c>
      <c r="AI139" s="5">
        <f>求节点(V$6:V$44,$D$67:$D$105,$AA139)+求节点(V$67:V$105,$Q$67:$Q$105,$AA139)</f>
        <v>102728760</v>
      </c>
      <c r="AJ139" s="5">
        <f>求节点(W$6:W$44,$D$67:$D$105,$AA139)+求节点(W$67:W$105,$Q$67:$Q$105,$AA139)</f>
        <v>102728760</v>
      </c>
      <c r="AK139" s="5">
        <f>求节点(X$6:X$44,$D$67:$D$105,$AA139)+求节点(X$67:X$105,$Q$67:$Q$105,$AA139)</f>
        <v>102728760</v>
      </c>
      <c r="AL139" s="5">
        <f>求节点(T$6:T$44,$F$67:$F$105,$AA139)+求节点(T$67:T$105,$P$67:$P$105,$AA139)</f>
        <v>1848000</v>
      </c>
      <c r="AM139" s="5">
        <f>求节点(U$6:U$44,$F$67:$F$105,$AA139)+求节点(U$67:U$105,$P$67:$P$105,$AA139)</f>
        <v>1848000</v>
      </c>
      <c r="AN139" s="5">
        <f>求节点(V$6:V$44,$F$67:$F$105,$AA139)+求节点(V$67:V$105,$P$67:$P$105,$AA139)</f>
        <v>1848000</v>
      </c>
      <c r="AO139" s="5">
        <f>求节点(W$6:W$44,$F$67:$F$105,$AA139)+求节点(W$67:W$105,$P$67:$P$105,$AA139)</f>
        <v>1848000</v>
      </c>
      <c r="AP139" s="5">
        <f>求节点(X$6:X$44,$F$67:$F$105,$AA139)+求节点(X$67:X$105,$P$67:$P$105,$AA139)</f>
        <v>1848000</v>
      </c>
      <c r="AQ139" s="5">
        <f>求节点(T$6:T$44,$H$67:$H$105,$AA139)</f>
        <v>963600</v>
      </c>
      <c r="AR139" s="5">
        <f>求节点(U$6:U$44,$H$67:$H$105,$AA139)</f>
        <v>963600</v>
      </c>
      <c r="AS139" s="5">
        <f>求节点(V$6:V$44,$H$67:$H$105,$AA139)</f>
        <v>963600</v>
      </c>
      <c r="AT139" s="5">
        <f>求节点(W$6:W$44,$H$67:$H$105,$AA139)</f>
        <v>963600</v>
      </c>
      <c r="AU139" s="5">
        <f>求节点(X$6:X$44,$H$67:$H$105,$AA139)</f>
        <v>963600</v>
      </c>
      <c r="AV139" s="5">
        <f>求节点(T$6:T$44,$I$67:$I$105,$AA139)</f>
        <v>25320000</v>
      </c>
      <c r="AW139" s="5">
        <f>求节点(U$6:U$44,$I$67:$I$105,$AA139)</f>
        <v>25320000</v>
      </c>
      <c r="AX139" s="5">
        <f>求节点(V$6:V$44,$I$67:$I$105,$AA139)</f>
        <v>25320000</v>
      </c>
      <c r="AY139" s="5">
        <f>求节点(W$6:W$44,$I$67:$I$105,$AA139)</f>
        <v>25320000</v>
      </c>
      <c r="AZ139" s="5">
        <f>求节点(X$6:X$44,$I$67:$I$105,$AA139)</f>
        <v>25320000</v>
      </c>
      <c r="BA139" s="5">
        <f>求节点(T$6:T$44,$E$67:$E$105,$AA139)+求节点(T$6:T$44,$K$67:$K$105,$AA139)+求节点(T$67:T$105,$O$67:$O$105,$AA139)</f>
        <v>8112</v>
      </c>
      <c r="BB139" s="5">
        <f>求节点(U$6:U$44,$E$67:$E$105,$AA139)+求节点(U$6:U$44,$K$67:$K$105,$AA139)+求节点(U$67:U$105,$O$67:$O$105,$AA139)</f>
        <v>8112</v>
      </c>
      <c r="BC139" s="5">
        <f>求节点(V$6:V$44,$E$67:$E$105,$AA139)+求节点(V$6:V$44,$K$67:$K$105,$AA139)+求节点(V$67:V$105,$O$67:$O$105,$AA139)</f>
        <v>8112</v>
      </c>
      <c r="BD139" s="5">
        <f>求节点(W$6:W$44,$E$67:$E$105,$AA139)+求节点(W$6:W$44,$K$67:$K$105,$AA139)+求节点(W$67:W$105,$O$67:$O$105,$AA139)</f>
        <v>8112</v>
      </c>
      <c r="BE139" s="5">
        <f>求节点(X$6:X$44,$E$67:$E$105,$AA139)+求节点(X$6:X$44,$K$67:$K$105,$AA139)+求节点(X$67:X$105,$O$67:$O$105,$AA139)</f>
        <v>8112</v>
      </c>
      <c r="BF139" s="5">
        <f>求节点(T$6:T$44,$G$67:$G$105,$AA139)</f>
        <v>0</v>
      </c>
      <c r="BG139" s="5">
        <f>求节点(U$6:U$44,$G$67:$G$105,$AA139)</f>
        <v>0</v>
      </c>
      <c r="BH139" s="5">
        <f>求节点(V$6:V$44,$G$67:$G$105,$AA139)</f>
        <v>0</v>
      </c>
      <c r="BI139" s="5">
        <f>求节点(W$6:W$44,$G$67:$G$105,$AA139)</f>
        <v>0</v>
      </c>
      <c r="BJ139" s="5">
        <f>求节点(X$6:X$44,$G$67:$G$105,$AA139)</f>
        <v>0</v>
      </c>
      <c r="BK139" s="5">
        <f>求节点(T$6:T$44,$M$67:$M$105,$AA139)</f>
        <v>78</v>
      </c>
      <c r="BL139" s="5">
        <f>求节点(U$6:U$44,$M$67:$M$105,$AA139)</f>
        <v>78</v>
      </c>
      <c r="BM139" s="5">
        <f>求节点(V$6:V$44,$M$67:$M$105,$AA139)</f>
        <v>78</v>
      </c>
      <c r="BN139" s="5">
        <f>求节点(W$6:W$44,$M$67:$M$105,$AA139)</f>
        <v>78</v>
      </c>
      <c r="BO139" s="5">
        <f>求节点(X$6:X$44,$M$67:$M$105,$AA139)</f>
        <v>78</v>
      </c>
      <c r="BP139" s="5">
        <f>求节点(T$67:T$105,$L$67:$L$105,$AA139)</f>
        <v>0</v>
      </c>
      <c r="BQ139" s="5">
        <f>求节点(U$67:U$105,$L$67:$L$105,$AA139)</f>
        <v>0</v>
      </c>
      <c r="BR139" s="5">
        <f>求节点(V$67:V$105,$L$67:$L$105,$AA139)</f>
        <v>0</v>
      </c>
      <c r="BS139" s="5">
        <f>求节点(W$67:W$105,$L$67:$L$105,$AA139)</f>
        <v>0</v>
      </c>
      <c r="BT139" s="5">
        <f>求节点(X$67:X$105,$L$67:$L$105,$AA139)</f>
        <v>0</v>
      </c>
      <c r="BZ139" s="5">
        <v>135</v>
      </c>
      <c r="CA139" s="5">
        <f t="shared" si="60"/>
        <v>8112</v>
      </c>
      <c r="CB139" s="5">
        <f t="shared" si="61"/>
        <v>8112</v>
      </c>
      <c r="CC139" s="5">
        <f t="shared" si="62"/>
        <v>8112</v>
      </c>
      <c r="CD139" s="5">
        <f t="shared" si="63"/>
        <v>8112</v>
      </c>
      <c r="CE139" s="5">
        <f t="shared" si="64"/>
        <v>8112</v>
      </c>
      <c r="CF139" s="5">
        <f>(CA139-CA138)/节奏总纲!W138</f>
        <v>0</v>
      </c>
      <c r="CI139" s="5">
        <v>135</v>
      </c>
      <c r="CJ139" s="5">
        <f t="shared" si="65"/>
        <v>18720</v>
      </c>
      <c r="CK139" s="5">
        <f t="shared" si="66"/>
        <v>18720</v>
      </c>
      <c r="CL139" s="5">
        <f t="shared" si="67"/>
        <v>18720</v>
      </c>
      <c r="CM139" s="5">
        <f t="shared" si="68"/>
        <v>18720</v>
      </c>
      <c r="CN139" s="5">
        <f t="shared" si="69"/>
        <v>18720</v>
      </c>
      <c r="CO139" s="5">
        <f>(CJ139-CJ138)/节奏总纲!W138</f>
        <v>0</v>
      </c>
      <c r="CP139" s="5">
        <f t="shared" si="70"/>
        <v>0</v>
      </c>
      <c r="CR139" s="5">
        <v>135</v>
      </c>
      <c r="CS139" s="5">
        <f t="shared" si="71"/>
        <v>0</v>
      </c>
      <c r="CT139" s="5">
        <f t="shared" si="72"/>
        <v>0</v>
      </c>
      <c r="CU139" s="5">
        <f t="shared" si="73"/>
        <v>0</v>
      </c>
      <c r="CV139" s="5">
        <f t="shared" si="74"/>
        <v>0</v>
      </c>
      <c r="CW139" s="5">
        <f t="shared" si="75"/>
        <v>0</v>
      </c>
      <c r="CX139" s="5">
        <f t="shared" si="76"/>
        <v>0</v>
      </c>
      <c r="CY139" s="5">
        <f t="shared" si="77"/>
        <v>0</v>
      </c>
      <c r="CZ139" s="5">
        <f t="shared" si="78"/>
        <v>0</v>
      </c>
      <c r="DA139" s="5">
        <f t="shared" si="79"/>
        <v>0</v>
      </c>
      <c r="DB139" s="5">
        <f t="shared" si="80"/>
        <v>0</v>
      </c>
    </row>
    <row r="140" spans="27:106" x14ac:dyDescent="0.15">
      <c r="AA140" s="5">
        <v>136</v>
      </c>
      <c r="AB140" s="5">
        <f>求节点(T$6:T$44,$C$67:$C$105,$AA140)</f>
        <v>0</v>
      </c>
      <c r="AC140" s="5">
        <f>求节点(U$6:U$44,$C$67:$C$105,$AA140)</f>
        <v>0</v>
      </c>
      <c r="AD140" s="5">
        <f>求节点(V$6:V$44,$C$67:$C$105,$AA140)</f>
        <v>0</v>
      </c>
      <c r="AE140" s="5">
        <f>求节点(W$6:W$44,$C$67:$C$105,$AA140)</f>
        <v>0</v>
      </c>
      <c r="AF140" s="5">
        <f>求节点(X$6:X$44,$C$67:$C$105,$AA140)</f>
        <v>0</v>
      </c>
      <c r="AG140" s="5">
        <f>求节点(T$6:T$44,$D$67:$D$105,$AA140)+求节点(T$67:T$105,$Q$67:$Q$105,$AA140)</f>
        <v>102728760</v>
      </c>
      <c r="AH140" s="5">
        <f>求节点(U$6:U$44,$D$67:$D$105,$AA140)+求节点(U$67:U$105,$Q$67:$Q$105,$AA140)</f>
        <v>102728760</v>
      </c>
      <c r="AI140" s="5">
        <f>求节点(V$6:V$44,$D$67:$D$105,$AA140)+求节点(V$67:V$105,$Q$67:$Q$105,$AA140)</f>
        <v>102728760</v>
      </c>
      <c r="AJ140" s="5">
        <f>求节点(W$6:W$44,$D$67:$D$105,$AA140)+求节点(W$67:W$105,$Q$67:$Q$105,$AA140)</f>
        <v>102728760</v>
      </c>
      <c r="AK140" s="5">
        <f>求节点(X$6:X$44,$D$67:$D$105,$AA140)+求节点(X$67:X$105,$Q$67:$Q$105,$AA140)</f>
        <v>102728760</v>
      </c>
      <c r="AL140" s="5">
        <f>求节点(T$6:T$44,$F$67:$F$105,$AA140)+求节点(T$67:T$105,$P$67:$P$105,$AA140)</f>
        <v>1848000</v>
      </c>
      <c r="AM140" s="5">
        <f>求节点(U$6:U$44,$F$67:$F$105,$AA140)+求节点(U$67:U$105,$P$67:$P$105,$AA140)</f>
        <v>1848000</v>
      </c>
      <c r="AN140" s="5">
        <f>求节点(V$6:V$44,$F$67:$F$105,$AA140)+求节点(V$67:V$105,$P$67:$P$105,$AA140)</f>
        <v>1848000</v>
      </c>
      <c r="AO140" s="5">
        <f>求节点(W$6:W$44,$F$67:$F$105,$AA140)+求节点(W$67:W$105,$P$67:$P$105,$AA140)</f>
        <v>1848000</v>
      </c>
      <c r="AP140" s="5">
        <f>求节点(X$6:X$44,$F$67:$F$105,$AA140)+求节点(X$67:X$105,$P$67:$P$105,$AA140)</f>
        <v>1848000</v>
      </c>
      <c r="AQ140" s="5">
        <f>求节点(T$6:T$44,$H$67:$H$105,$AA140)</f>
        <v>963600</v>
      </c>
      <c r="AR140" s="5">
        <f>求节点(U$6:U$44,$H$67:$H$105,$AA140)</f>
        <v>963600</v>
      </c>
      <c r="AS140" s="5">
        <f>求节点(V$6:V$44,$H$67:$H$105,$AA140)</f>
        <v>963600</v>
      </c>
      <c r="AT140" s="5">
        <f>求节点(W$6:W$44,$H$67:$H$105,$AA140)</f>
        <v>963600</v>
      </c>
      <c r="AU140" s="5">
        <f>求节点(X$6:X$44,$H$67:$H$105,$AA140)</f>
        <v>963600</v>
      </c>
      <c r="AV140" s="5">
        <f>求节点(T$6:T$44,$I$67:$I$105,$AA140)</f>
        <v>25320000</v>
      </c>
      <c r="AW140" s="5">
        <f>求节点(U$6:U$44,$I$67:$I$105,$AA140)</f>
        <v>25320000</v>
      </c>
      <c r="AX140" s="5">
        <f>求节点(V$6:V$44,$I$67:$I$105,$AA140)</f>
        <v>25320000</v>
      </c>
      <c r="AY140" s="5">
        <f>求节点(W$6:W$44,$I$67:$I$105,$AA140)</f>
        <v>25320000</v>
      </c>
      <c r="AZ140" s="5">
        <f>求节点(X$6:X$44,$I$67:$I$105,$AA140)</f>
        <v>25320000</v>
      </c>
      <c r="BA140" s="5">
        <f>求节点(T$6:T$44,$E$67:$E$105,$AA140)+求节点(T$6:T$44,$K$67:$K$105,$AA140)+求节点(T$67:T$105,$O$67:$O$105,$AA140)</f>
        <v>8112</v>
      </c>
      <c r="BB140" s="5">
        <f>求节点(U$6:U$44,$E$67:$E$105,$AA140)+求节点(U$6:U$44,$K$67:$K$105,$AA140)+求节点(U$67:U$105,$O$67:$O$105,$AA140)</f>
        <v>8112</v>
      </c>
      <c r="BC140" s="5">
        <f>求节点(V$6:V$44,$E$67:$E$105,$AA140)+求节点(V$6:V$44,$K$67:$K$105,$AA140)+求节点(V$67:V$105,$O$67:$O$105,$AA140)</f>
        <v>8112</v>
      </c>
      <c r="BD140" s="5">
        <f>求节点(W$6:W$44,$E$67:$E$105,$AA140)+求节点(W$6:W$44,$K$67:$K$105,$AA140)+求节点(W$67:W$105,$O$67:$O$105,$AA140)</f>
        <v>8112</v>
      </c>
      <c r="BE140" s="5">
        <f>求节点(X$6:X$44,$E$67:$E$105,$AA140)+求节点(X$6:X$44,$K$67:$K$105,$AA140)+求节点(X$67:X$105,$O$67:$O$105,$AA140)</f>
        <v>8112</v>
      </c>
      <c r="BF140" s="5">
        <f>求节点(T$6:T$44,$G$67:$G$105,$AA140)</f>
        <v>0</v>
      </c>
      <c r="BG140" s="5">
        <f>求节点(U$6:U$44,$G$67:$G$105,$AA140)</f>
        <v>0</v>
      </c>
      <c r="BH140" s="5">
        <f>求节点(V$6:V$44,$G$67:$G$105,$AA140)</f>
        <v>0</v>
      </c>
      <c r="BI140" s="5">
        <f>求节点(W$6:W$44,$G$67:$G$105,$AA140)</f>
        <v>0</v>
      </c>
      <c r="BJ140" s="5">
        <f>求节点(X$6:X$44,$G$67:$G$105,$AA140)</f>
        <v>0</v>
      </c>
      <c r="BK140" s="5">
        <f>求节点(T$6:T$44,$M$67:$M$105,$AA140)</f>
        <v>78</v>
      </c>
      <c r="BL140" s="5">
        <f>求节点(U$6:U$44,$M$67:$M$105,$AA140)</f>
        <v>78</v>
      </c>
      <c r="BM140" s="5">
        <f>求节点(V$6:V$44,$M$67:$M$105,$AA140)</f>
        <v>78</v>
      </c>
      <c r="BN140" s="5">
        <f>求节点(W$6:W$44,$M$67:$M$105,$AA140)</f>
        <v>78</v>
      </c>
      <c r="BO140" s="5">
        <f>求节点(X$6:X$44,$M$67:$M$105,$AA140)</f>
        <v>78</v>
      </c>
      <c r="BP140" s="5">
        <f>求节点(T$67:T$105,$L$67:$L$105,$AA140)</f>
        <v>0</v>
      </c>
      <c r="BQ140" s="5">
        <f>求节点(U$67:U$105,$L$67:$L$105,$AA140)</f>
        <v>0</v>
      </c>
      <c r="BR140" s="5">
        <f>求节点(V$67:V$105,$L$67:$L$105,$AA140)</f>
        <v>0</v>
      </c>
      <c r="BS140" s="5">
        <f>求节点(W$67:W$105,$L$67:$L$105,$AA140)</f>
        <v>0</v>
      </c>
      <c r="BT140" s="5">
        <f>求节点(X$67:X$105,$L$67:$L$105,$AA140)</f>
        <v>0</v>
      </c>
      <c r="BZ140" s="5">
        <v>136</v>
      </c>
      <c r="CA140" s="5">
        <f t="shared" si="60"/>
        <v>8112</v>
      </c>
      <c r="CB140" s="5">
        <f t="shared" si="61"/>
        <v>8112</v>
      </c>
      <c r="CC140" s="5">
        <f t="shared" si="62"/>
        <v>8112</v>
      </c>
      <c r="CD140" s="5">
        <f t="shared" si="63"/>
        <v>8112</v>
      </c>
      <c r="CE140" s="5">
        <f t="shared" si="64"/>
        <v>8112</v>
      </c>
      <c r="CF140" s="5">
        <f>(CA140-CA139)/节奏总纲!W139</f>
        <v>0</v>
      </c>
      <c r="CI140" s="5">
        <v>136</v>
      </c>
      <c r="CJ140" s="5">
        <f t="shared" si="65"/>
        <v>18720</v>
      </c>
      <c r="CK140" s="5">
        <f t="shared" si="66"/>
        <v>18720</v>
      </c>
      <c r="CL140" s="5">
        <f t="shared" si="67"/>
        <v>18720</v>
      </c>
      <c r="CM140" s="5">
        <f t="shared" si="68"/>
        <v>18720</v>
      </c>
      <c r="CN140" s="5">
        <f t="shared" si="69"/>
        <v>18720</v>
      </c>
      <c r="CO140" s="5">
        <f>(CJ140-CJ139)/节奏总纲!W139</f>
        <v>0</v>
      </c>
      <c r="CP140" s="5">
        <f t="shared" si="70"/>
        <v>0</v>
      </c>
      <c r="CR140" s="5">
        <v>136</v>
      </c>
      <c r="CS140" s="5">
        <f t="shared" si="71"/>
        <v>0</v>
      </c>
      <c r="CT140" s="5">
        <f t="shared" si="72"/>
        <v>0</v>
      </c>
      <c r="CU140" s="5">
        <f t="shared" si="73"/>
        <v>0</v>
      </c>
      <c r="CV140" s="5">
        <f t="shared" si="74"/>
        <v>0</v>
      </c>
      <c r="CW140" s="5">
        <f t="shared" si="75"/>
        <v>0</v>
      </c>
      <c r="CX140" s="5">
        <f t="shared" si="76"/>
        <v>0</v>
      </c>
      <c r="CY140" s="5">
        <f t="shared" si="77"/>
        <v>0</v>
      </c>
      <c r="CZ140" s="5">
        <f t="shared" si="78"/>
        <v>0</v>
      </c>
      <c r="DA140" s="5">
        <f t="shared" si="79"/>
        <v>0</v>
      </c>
      <c r="DB140" s="5">
        <f t="shared" si="80"/>
        <v>0</v>
      </c>
    </row>
    <row r="141" spans="27:106" x14ac:dyDescent="0.15">
      <c r="AA141" s="5">
        <v>137</v>
      </c>
      <c r="AB141" s="5">
        <f>求节点(T$6:T$44,$C$67:$C$105,$AA141)</f>
        <v>0</v>
      </c>
      <c r="AC141" s="5">
        <f>求节点(U$6:U$44,$C$67:$C$105,$AA141)</f>
        <v>0</v>
      </c>
      <c r="AD141" s="5">
        <f>求节点(V$6:V$44,$C$67:$C$105,$AA141)</f>
        <v>0</v>
      </c>
      <c r="AE141" s="5">
        <f>求节点(W$6:W$44,$C$67:$C$105,$AA141)</f>
        <v>0</v>
      </c>
      <c r="AF141" s="5">
        <f>求节点(X$6:X$44,$C$67:$C$105,$AA141)</f>
        <v>0</v>
      </c>
      <c r="AG141" s="5">
        <f>求节点(T$6:T$44,$D$67:$D$105,$AA141)+求节点(T$67:T$105,$Q$67:$Q$105,$AA141)</f>
        <v>102728760</v>
      </c>
      <c r="AH141" s="5">
        <f>求节点(U$6:U$44,$D$67:$D$105,$AA141)+求节点(U$67:U$105,$Q$67:$Q$105,$AA141)</f>
        <v>102728760</v>
      </c>
      <c r="AI141" s="5">
        <f>求节点(V$6:V$44,$D$67:$D$105,$AA141)+求节点(V$67:V$105,$Q$67:$Q$105,$AA141)</f>
        <v>102728760</v>
      </c>
      <c r="AJ141" s="5">
        <f>求节点(W$6:W$44,$D$67:$D$105,$AA141)+求节点(W$67:W$105,$Q$67:$Q$105,$AA141)</f>
        <v>102728760</v>
      </c>
      <c r="AK141" s="5">
        <f>求节点(X$6:X$44,$D$67:$D$105,$AA141)+求节点(X$67:X$105,$Q$67:$Q$105,$AA141)</f>
        <v>102728760</v>
      </c>
      <c r="AL141" s="5">
        <f>求节点(T$6:T$44,$F$67:$F$105,$AA141)+求节点(T$67:T$105,$P$67:$P$105,$AA141)</f>
        <v>1848000</v>
      </c>
      <c r="AM141" s="5">
        <f>求节点(U$6:U$44,$F$67:$F$105,$AA141)+求节点(U$67:U$105,$P$67:$P$105,$AA141)</f>
        <v>1848000</v>
      </c>
      <c r="AN141" s="5">
        <f>求节点(V$6:V$44,$F$67:$F$105,$AA141)+求节点(V$67:V$105,$P$67:$P$105,$AA141)</f>
        <v>1848000</v>
      </c>
      <c r="AO141" s="5">
        <f>求节点(W$6:W$44,$F$67:$F$105,$AA141)+求节点(W$67:W$105,$P$67:$P$105,$AA141)</f>
        <v>1848000</v>
      </c>
      <c r="AP141" s="5">
        <f>求节点(X$6:X$44,$F$67:$F$105,$AA141)+求节点(X$67:X$105,$P$67:$P$105,$AA141)</f>
        <v>1848000</v>
      </c>
      <c r="AQ141" s="5">
        <f>求节点(T$6:T$44,$H$67:$H$105,$AA141)</f>
        <v>963600</v>
      </c>
      <c r="AR141" s="5">
        <f>求节点(U$6:U$44,$H$67:$H$105,$AA141)</f>
        <v>963600</v>
      </c>
      <c r="AS141" s="5">
        <f>求节点(V$6:V$44,$H$67:$H$105,$AA141)</f>
        <v>963600</v>
      </c>
      <c r="AT141" s="5">
        <f>求节点(W$6:W$44,$H$67:$H$105,$AA141)</f>
        <v>963600</v>
      </c>
      <c r="AU141" s="5">
        <f>求节点(X$6:X$44,$H$67:$H$105,$AA141)</f>
        <v>963600</v>
      </c>
      <c r="AV141" s="5">
        <f>求节点(T$6:T$44,$I$67:$I$105,$AA141)</f>
        <v>25320000</v>
      </c>
      <c r="AW141" s="5">
        <f>求节点(U$6:U$44,$I$67:$I$105,$AA141)</f>
        <v>25320000</v>
      </c>
      <c r="AX141" s="5">
        <f>求节点(V$6:V$44,$I$67:$I$105,$AA141)</f>
        <v>25320000</v>
      </c>
      <c r="AY141" s="5">
        <f>求节点(W$6:W$44,$I$67:$I$105,$AA141)</f>
        <v>25320000</v>
      </c>
      <c r="AZ141" s="5">
        <f>求节点(X$6:X$44,$I$67:$I$105,$AA141)</f>
        <v>25320000</v>
      </c>
      <c r="BA141" s="5">
        <f>求节点(T$6:T$44,$E$67:$E$105,$AA141)+求节点(T$6:T$44,$K$67:$K$105,$AA141)+求节点(T$67:T$105,$O$67:$O$105,$AA141)</f>
        <v>8112</v>
      </c>
      <c r="BB141" s="5">
        <f>求节点(U$6:U$44,$E$67:$E$105,$AA141)+求节点(U$6:U$44,$K$67:$K$105,$AA141)+求节点(U$67:U$105,$O$67:$O$105,$AA141)</f>
        <v>8112</v>
      </c>
      <c r="BC141" s="5">
        <f>求节点(V$6:V$44,$E$67:$E$105,$AA141)+求节点(V$6:V$44,$K$67:$K$105,$AA141)+求节点(V$67:V$105,$O$67:$O$105,$AA141)</f>
        <v>8112</v>
      </c>
      <c r="BD141" s="5">
        <f>求节点(W$6:W$44,$E$67:$E$105,$AA141)+求节点(W$6:W$44,$K$67:$K$105,$AA141)+求节点(W$67:W$105,$O$67:$O$105,$AA141)</f>
        <v>8112</v>
      </c>
      <c r="BE141" s="5">
        <f>求节点(X$6:X$44,$E$67:$E$105,$AA141)+求节点(X$6:X$44,$K$67:$K$105,$AA141)+求节点(X$67:X$105,$O$67:$O$105,$AA141)</f>
        <v>8112</v>
      </c>
      <c r="BF141" s="5">
        <f>求节点(T$6:T$44,$G$67:$G$105,$AA141)</f>
        <v>0</v>
      </c>
      <c r="BG141" s="5">
        <f>求节点(U$6:U$44,$G$67:$G$105,$AA141)</f>
        <v>0</v>
      </c>
      <c r="BH141" s="5">
        <f>求节点(V$6:V$44,$G$67:$G$105,$AA141)</f>
        <v>0</v>
      </c>
      <c r="BI141" s="5">
        <f>求节点(W$6:W$44,$G$67:$G$105,$AA141)</f>
        <v>0</v>
      </c>
      <c r="BJ141" s="5">
        <f>求节点(X$6:X$44,$G$67:$G$105,$AA141)</f>
        <v>0</v>
      </c>
      <c r="BK141" s="5">
        <f>求节点(T$6:T$44,$M$67:$M$105,$AA141)</f>
        <v>78</v>
      </c>
      <c r="BL141" s="5">
        <f>求节点(U$6:U$44,$M$67:$M$105,$AA141)</f>
        <v>78</v>
      </c>
      <c r="BM141" s="5">
        <f>求节点(V$6:V$44,$M$67:$M$105,$AA141)</f>
        <v>78</v>
      </c>
      <c r="BN141" s="5">
        <f>求节点(W$6:W$44,$M$67:$M$105,$AA141)</f>
        <v>78</v>
      </c>
      <c r="BO141" s="5">
        <f>求节点(X$6:X$44,$M$67:$M$105,$AA141)</f>
        <v>78</v>
      </c>
      <c r="BP141" s="5">
        <f>求节点(T$67:T$105,$L$67:$L$105,$AA141)</f>
        <v>0</v>
      </c>
      <c r="BQ141" s="5">
        <f>求节点(U$67:U$105,$L$67:$L$105,$AA141)</f>
        <v>0</v>
      </c>
      <c r="BR141" s="5">
        <f>求节点(V$67:V$105,$L$67:$L$105,$AA141)</f>
        <v>0</v>
      </c>
      <c r="BS141" s="5">
        <f>求节点(W$67:W$105,$L$67:$L$105,$AA141)</f>
        <v>0</v>
      </c>
      <c r="BT141" s="5">
        <f>求节点(X$67:X$105,$L$67:$L$105,$AA141)</f>
        <v>0</v>
      </c>
      <c r="BZ141" s="5">
        <v>137</v>
      </c>
      <c r="CA141" s="5">
        <f t="shared" si="60"/>
        <v>8112</v>
      </c>
      <c r="CB141" s="5">
        <f t="shared" si="61"/>
        <v>8112</v>
      </c>
      <c r="CC141" s="5">
        <f t="shared" si="62"/>
        <v>8112</v>
      </c>
      <c r="CD141" s="5">
        <f t="shared" si="63"/>
        <v>8112</v>
      </c>
      <c r="CE141" s="5">
        <f t="shared" si="64"/>
        <v>8112</v>
      </c>
      <c r="CF141" s="5">
        <f>(CA141-CA140)/节奏总纲!W140</f>
        <v>0</v>
      </c>
      <c r="CI141" s="5">
        <v>137</v>
      </c>
      <c r="CJ141" s="5">
        <f t="shared" si="65"/>
        <v>18720</v>
      </c>
      <c r="CK141" s="5">
        <f t="shared" si="66"/>
        <v>18720</v>
      </c>
      <c r="CL141" s="5">
        <f t="shared" si="67"/>
        <v>18720</v>
      </c>
      <c r="CM141" s="5">
        <f t="shared" si="68"/>
        <v>18720</v>
      </c>
      <c r="CN141" s="5">
        <f t="shared" si="69"/>
        <v>18720</v>
      </c>
      <c r="CO141" s="5">
        <f>(CJ141-CJ140)/节奏总纲!W140</f>
        <v>0</v>
      </c>
      <c r="CP141" s="5">
        <f t="shared" si="70"/>
        <v>0</v>
      </c>
      <c r="CR141" s="5">
        <v>137</v>
      </c>
      <c r="CS141" s="5">
        <f t="shared" si="71"/>
        <v>0</v>
      </c>
      <c r="CT141" s="5">
        <f t="shared" si="72"/>
        <v>0</v>
      </c>
      <c r="CU141" s="5">
        <f t="shared" si="73"/>
        <v>0</v>
      </c>
      <c r="CV141" s="5">
        <f t="shared" si="74"/>
        <v>0</v>
      </c>
      <c r="CW141" s="5">
        <f t="shared" si="75"/>
        <v>0</v>
      </c>
      <c r="CX141" s="5">
        <f t="shared" si="76"/>
        <v>0</v>
      </c>
      <c r="CY141" s="5">
        <f t="shared" si="77"/>
        <v>0</v>
      </c>
      <c r="CZ141" s="5">
        <f t="shared" si="78"/>
        <v>0</v>
      </c>
      <c r="DA141" s="5">
        <f t="shared" si="79"/>
        <v>0</v>
      </c>
      <c r="DB141" s="5">
        <f t="shared" si="80"/>
        <v>0</v>
      </c>
    </row>
    <row r="142" spans="27:106" x14ac:dyDescent="0.15">
      <c r="AA142" s="5">
        <v>138</v>
      </c>
      <c r="AB142" s="5">
        <f>求节点(T$6:T$44,$C$67:$C$105,$AA142)</f>
        <v>0</v>
      </c>
      <c r="AC142" s="5">
        <f>求节点(U$6:U$44,$C$67:$C$105,$AA142)</f>
        <v>0</v>
      </c>
      <c r="AD142" s="5">
        <f>求节点(V$6:V$44,$C$67:$C$105,$AA142)</f>
        <v>0</v>
      </c>
      <c r="AE142" s="5">
        <f>求节点(W$6:W$44,$C$67:$C$105,$AA142)</f>
        <v>0</v>
      </c>
      <c r="AF142" s="5">
        <f>求节点(X$6:X$44,$C$67:$C$105,$AA142)</f>
        <v>0</v>
      </c>
      <c r="AG142" s="5">
        <f>求节点(T$6:T$44,$D$67:$D$105,$AA142)+求节点(T$67:T$105,$Q$67:$Q$105,$AA142)</f>
        <v>102728760</v>
      </c>
      <c r="AH142" s="5">
        <f>求节点(U$6:U$44,$D$67:$D$105,$AA142)+求节点(U$67:U$105,$Q$67:$Q$105,$AA142)</f>
        <v>102728760</v>
      </c>
      <c r="AI142" s="5">
        <f>求节点(V$6:V$44,$D$67:$D$105,$AA142)+求节点(V$67:V$105,$Q$67:$Q$105,$AA142)</f>
        <v>102728760</v>
      </c>
      <c r="AJ142" s="5">
        <f>求节点(W$6:W$44,$D$67:$D$105,$AA142)+求节点(W$67:W$105,$Q$67:$Q$105,$AA142)</f>
        <v>102728760</v>
      </c>
      <c r="AK142" s="5">
        <f>求节点(X$6:X$44,$D$67:$D$105,$AA142)+求节点(X$67:X$105,$Q$67:$Q$105,$AA142)</f>
        <v>102728760</v>
      </c>
      <c r="AL142" s="5">
        <f>求节点(T$6:T$44,$F$67:$F$105,$AA142)+求节点(T$67:T$105,$P$67:$P$105,$AA142)</f>
        <v>1848000</v>
      </c>
      <c r="AM142" s="5">
        <f>求节点(U$6:U$44,$F$67:$F$105,$AA142)+求节点(U$67:U$105,$P$67:$P$105,$AA142)</f>
        <v>1848000</v>
      </c>
      <c r="AN142" s="5">
        <f>求节点(V$6:V$44,$F$67:$F$105,$AA142)+求节点(V$67:V$105,$P$67:$P$105,$AA142)</f>
        <v>1848000</v>
      </c>
      <c r="AO142" s="5">
        <f>求节点(W$6:W$44,$F$67:$F$105,$AA142)+求节点(W$67:W$105,$P$67:$P$105,$AA142)</f>
        <v>1848000</v>
      </c>
      <c r="AP142" s="5">
        <f>求节点(X$6:X$44,$F$67:$F$105,$AA142)+求节点(X$67:X$105,$P$67:$P$105,$AA142)</f>
        <v>1848000</v>
      </c>
      <c r="AQ142" s="5">
        <f>求节点(T$6:T$44,$H$67:$H$105,$AA142)</f>
        <v>963600</v>
      </c>
      <c r="AR142" s="5">
        <f>求节点(U$6:U$44,$H$67:$H$105,$AA142)</f>
        <v>963600</v>
      </c>
      <c r="AS142" s="5">
        <f>求节点(V$6:V$44,$H$67:$H$105,$AA142)</f>
        <v>963600</v>
      </c>
      <c r="AT142" s="5">
        <f>求节点(W$6:W$44,$H$67:$H$105,$AA142)</f>
        <v>963600</v>
      </c>
      <c r="AU142" s="5">
        <f>求节点(X$6:X$44,$H$67:$H$105,$AA142)</f>
        <v>963600</v>
      </c>
      <c r="AV142" s="5">
        <f>求节点(T$6:T$44,$I$67:$I$105,$AA142)</f>
        <v>25320000</v>
      </c>
      <c r="AW142" s="5">
        <f>求节点(U$6:U$44,$I$67:$I$105,$AA142)</f>
        <v>25320000</v>
      </c>
      <c r="AX142" s="5">
        <f>求节点(V$6:V$44,$I$67:$I$105,$AA142)</f>
        <v>25320000</v>
      </c>
      <c r="AY142" s="5">
        <f>求节点(W$6:W$44,$I$67:$I$105,$AA142)</f>
        <v>25320000</v>
      </c>
      <c r="AZ142" s="5">
        <f>求节点(X$6:X$44,$I$67:$I$105,$AA142)</f>
        <v>25320000</v>
      </c>
      <c r="BA142" s="5">
        <f>求节点(T$6:T$44,$E$67:$E$105,$AA142)+求节点(T$6:T$44,$K$67:$K$105,$AA142)+求节点(T$67:T$105,$O$67:$O$105,$AA142)</f>
        <v>8112</v>
      </c>
      <c r="BB142" s="5">
        <f>求节点(U$6:U$44,$E$67:$E$105,$AA142)+求节点(U$6:U$44,$K$67:$K$105,$AA142)+求节点(U$67:U$105,$O$67:$O$105,$AA142)</f>
        <v>8112</v>
      </c>
      <c r="BC142" s="5">
        <f>求节点(V$6:V$44,$E$67:$E$105,$AA142)+求节点(V$6:V$44,$K$67:$K$105,$AA142)+求节点(V$67:V$105,$O$67:$O$105,$AA142)</f>
        <v>8112</v>
      </c>
      <c r="BD142" s="5">
        <f>求节点(W$6:W$44,$E$67:$E$105,$AA142)+求节点(W$6:W$44,$K$67:$K$105,$AA142)+求节点(W$67:W$105,$O$67:$O$105,$AA142)</f>
        <v>8112</v>
      </c>
      <c r="BE142" s="5">
        <f>求节点(X$6:X$44,$E$67:$E$105,$AA142)+求节点(X$6:X$44,$K$67:$K$105,$AA142)+求节点(X$67:X$105,$O$67:$O$105,$AA142)</f>
        <v>8112</v>
      </c>
      <c r="BF142" s="5">
        <f>求节点(T$6:T$44,$G$67:$G$105,$AA142)</f>
        <v>0</v>
      </c>
      <c r="BG142" s="5">
        <f>求节点(U$6:U$44,$G$67:$G$105,$AA142)</f>
        <v>0</v>
      </c>
      <c r="BH142" s="5">
        <f>求节点(V$6:V$44,$G$67:$G$105,$AA142)</f>
        <v>0</v>
      </c>
      <c r="BI142" s="5">
        <f>求节点(W$6:W$44,$G$67:$G$105,$AA142)</f>
        <v>0</v>
      </c>
      <c r="BJ142" s="5">
        <f>求节点(X$6:X$44,$G$67:$G$105,$AA142)</f>
        <v>0</v>
      </c>
      <c r="BK142" s="5">
        <f>求节点(T$6:T$44,$M$67:$M$105,$AA142)</f>
        <v>78</v>
      </c>
      <c r="BL142" s="5">
        <f>求节点(U$6:U$44,$M$67:$M$105,$AA142)</f>
        <v>78</v>
      </c>
      <c r="BM142" s="5">
        <f>求节点(V$6:V$44,$M$67:$M$105,$AA142)</f>
        <v>78</v>
      </c>
      <c r="BN142" s="5">
        <f>求节点(W$6:W$44,$M$67:$M$105,$AA142)</f>
        <v>78</v>
      </c>
      <c r="BO142" s="5">
        <f>求节点(X$6:X$44,$M$67:$M$105,$AA142)</f>
        <v>78</v>
      </c>
      <c r="BP142" s="5">
        <f>求节点(T$67:T$105,$L$67:$L$105,$AA142)</f>
        <v>0</v>
      </c>
      <c r="BQ142" s="5">
        <f>求节点(U$67:U$105,$L$67:$L$105,$AA142)</f>
        <v>0</v>
      </c>
      <c r="BR142" s="5">
        <f>求节点(V$67:V$105,$L$67:$L$105,$AA142)</f>
        <v>0</v>
      </c>
      <c r="BS142" s="5">
        <f>求节点(W$67:W$105,$L$67:$L$105,$AA142)</f>
        <v>0</v>
      </c>
      <c r="BT142" s="5">
        <f>求节点(X$67:X$105,$L$67:$L$105,$AA142)</f>
        <v>0</v>
      </c>
      <c r="BZ142" s="5">
        <v>138</v>
      </c>
      <c r="CA142" s="5">
        <f t="shared" si="60"/>
        <v>8112</v>
      </c>
      <c r="CB142" s="5">
        <f t="shared" si="61"/>
        <v>8112</v>
      </c>
      <c r="CC142" s="5">
        <f t="shared" si="62"/>
        <v>8112</v>
      </c>
      <c r="CD142" s="5">
        <f t="shared" si="63"/>
        <v>8112</v>
      </c>
      <c r="CE142" s="5">
        <f t="shared" si="64"/>
        <v>8112</v>
      </c>
      <c r="CF142" s="5">
        <f>(CA142-CA141)/节奏总纲!W141</f>
        <v>0</v>
      </c>
      <c r="CI142" s="5">
        <v>138</v>
      </c>
      <c r="CJ142" s="5">
        <f t="shared" si="65"/>
        <v>18720</v>
      </c>
      <c r="CK142" s="5">
        <f t="shared" si="66"/>
        <v>18720</v>
      </c>
      <c r="CL142" s="5">
        <f t="shared" si="67"/>
        <v>18720</v>
      </c>
      <c r="CM142" s="5">
        <f t="shared" si="68"/>
        <v>18720</v>
      </c>
      <c r="CN142" s="5">
        <f t="shared" si="69"/>
        <v>18720</v>
      </c>
      <c r="CO142" s="5">
        <f>(CJ142-CJ141)/节奏总纲!W141</f>
        <v>0</v>
      </c>
      <c r="CP142" s="5">
        <f t="shared" si="70"/>
        <v>0</v>
      </c>
      <c r="CR142" s="5">
        <v>138</v>
      </c>
      <c r="CS142" s="5">
        <f t="shared" si="71"/>
        <v>0</v>
      </c>
      <c r="CT142" s="5">
        <f t="shared" si="72"/>
        <v>0</v>
      </c>
      <c r="CU142" s="5">
        <f t="shared" si="73"/>
        <v>0</v>
      </c>
      <c r="CV142" s="5">
        <f t="shared" si="74"/>
        <v>0</v>
      </c>
      <c r="CW142" s="5">
        <f t="shared" si="75"/>
        <v>0</v>
      </c>
      <c r="CX142" s="5">
        <f t="shared" si="76"/>
        <v>0</v>
      </c>
      <c r="CY142" s="5">
        <f t="shared" si="77"/>
        <v>0</v>
      </c>
      <c r="CZ142" s="5">
        <f t="shared" si="78"/>
        <v>0</v>
      </c>
      <c r="DA142" s="5">
        <f t="shared" si="79"/>
        <v>0</v>
      </c>
      <c r="DB142" s="5">
        <f t="shared" si="80"/>
        <v>0</v>
      </c>
    </row>
    <row r="143" spans="27:106" x14ac:dyDescent="0.15">
      <c r="AA143" s="5">
        <v>139</v>
      </c>
      <c r="AB143" s="5">
        <f>求节点(T$6:T$44,$C$67:$C$105,$AA143)</f>
        <v>0</v>
      </c>
      <c r="AC143" s="5">
        <f>求节点(U$6:U$44,$C$67:$C$105,$AA143)</f>
        <v>0</v>
      </c>
      <c r="AD143" s="5">
        <f>求节点(V$6:V$44,$C$67:$C$105,$AA143)</f>
        <v>0</v>
      </c>
      <c r="AE143" s="5">
        <f>求节点(W$6:W$44,$C$67:$C$105,$AA143)</f>
        <v>0</v>
      </c>
      <c r="AF143" s="5">
        <f>求节点(X$6:X$44,$C$67:$C$105,$AA143)</f>
        <v>0</v>
      </c>
      <c r="AG143" s="5">
        <f>求节点(T$6:T$44,$D$67:$D$105,$AA143)+求节点(T$67:T$105,$Q$67:$Q$105,$AA143)</f>
        <v>102728760</v>
      </c>
      <c r="AH143" s="5">
        <f>求节点(U$6:U$44,$D$67:$D$105,$AA143)+求节点(U$67:U$105,$Q$67:$Q$105,$AA143)</f>
        <v>102728760</v>
      </c>
      <c r="AI143" s="5">
        <f>求节点(V$6:V$44,$D$67:$D$105,$AA143)+求节点(V$67:V$105,$Q$67:$Q$105,$AA143)</f>
        <v>102728760</v>
      </c>
      <c r="AJ143" s="5">
        <f>求节点(W$6:W$44,$D$67:$D$105,$AA143)+求节点(W$67:W$105,$Q$67:$Q$105,$AA143)</f>
        <v>102728760</v>
      </c>
      <c r="AK143" s="5">
        <f>求节点(X$6:X$44,$D$67:$D$105,$AA143)+求节点(X$67:X$105,$Q$67:$Q$105,$AA143)</f>
        <v>102728760</v>
      </c>
      <c r="AL143" s="5">
        <f>求节点(T$6:T$44,$F$67:$F$105,$AA143)+求节点(T$67:T$105,$P$67:$P$105,$AA143)</f>
        <v>1848000</v>
      </c>
      <c r="AM143" s="5">
        <f>求节点(U$6:U$44,$F$67:$F$105,$AA143)+求节点(U$67:U$105,$P$67:$P$105,$AA143)</f>
        <v>1848000</v>
      </c>
      <c r="AN143" s="5">
        <f>求节点(V$6:V$44,$F$67:$F$105,$AA143)+求节点(V$67:V$105,$P$67:$P$105,$AA143)</f>
        <v>1848000</v>
      </c>
      <c r="AO143" s="5">
        <f>求节点(W$6:W$44,$F$67:$F$105,$AA143)+求节点(W$67:W$105,$P$67:$P$105,$AA143)</f>
        <v>1848000</v>
      </c>
      <c r="AP143" s="5">
        <f>求节点(X$6:X$44,$F$67:$F$105,$AA143)+求节点(X$67:X$105,$P$67:$P$105,$AA143)</f>
        <v>1848000</v>
      </c>
      <c r="AQ143" s="5">
        <f>求节点(T$6:T$44,$H$67:$H$105,$AA143)</f>
        <v>963600</v>
      </c>
      <c r="AR143" s="5">
        <f>求节点(U$6:U$44,$H$67:$H$105,$AA143)</f>
        <v>963600</v>
      </c>
      <c r="AS143" s="5">
        <f>求节点(V$6:V$44,$H$67:$H$105,$AA143)</f>
        <v>963600</v>
      </c>
      <c r="AT143" s="5">
        <f>求节点(W$6:W$44,$H$67:$H$105,$AA143)</f>
        <v>963600</v>
      </c>
      <c r="AU143" s="5">
        <f>求节点(X$6:X$44,$H$67:$H$105,$AA143)</f>
        <v>963600</v>
      </c>
      <c r="AV143" s="5">
        <f>求节点(T$6:T$44,$I$67:$I$105,$AA143)</f>
        <v>25320000</v>
      </c>
      <c r="AW143" s="5">
        <f>求节点(U$6:U$44,$I$67:$I$105,$AA143)</f>
        <v>25320000</v>
      </c>
      <c r="AX143" s="5">
        <f>求节点(V$6:V$44,$I$67:$I$105,$AA143)</f>
        <v>25320000</v>
      </c>
      <c r="AY143" s="5">
        <f>求节点(W$6:W$44,$I$67:$I$105,$AA143)</f>
        <v>25320000</v>
      </c>
      <c r="AZ143" s="5">
        <f>求节点(X$6:X$44,$I$67:$I$105,$AA143)</f>
        <v>25320000</v>
      </c>
      <c r="BA143" s="5">
        <f>求节点(T$6:T$44,$E$67:$E$105,$AA143)+求节点(T$6:T$44,$K$67:$K$105,$AA143)+求节点(T$67:T$105,$O$67:$O$105,$AA143)</f>
        <v>8112</v>
      </c>
      <c r="BB143" s="5">
        <f>求节点(U$6:U$44,$E$67:$E$105,$AA143)+求节点(U$6:U$44,$K$67:$K$105,$AA143)+求节点(U$67:U$105,$O$67:$O$105,$AA143)</f>
        <v>8112</v>
      </c>
      <c r="BC143" s="5">
        <f>求节点(V$6:V$44,$E$67:$E$105,$AA143)+求节点(V$6:V$44,$K$67:$K$105,$AA143)+求节点(V$67:V$105,$O$67:$O$105,$AA143)</f>
        <v>8112</v>
      </c>
      <c r="BD143" s="5">
        <f>求节点(W$6:W$44,$E$67:$E$105,$AA143)+求节点(W$6:W$44,$K$67:$K$105,$AA143)+求节点(W$67:W$105,$O$67:$O$105,$AA143)</f>
        <v>8112</v>
      </c>
      <c r="BE143" s="5">
        <f>求节点(X$6:X$44,$E$67:$E$105,$AA143)+求节点(X$6:X$44,$K$67:$K$105,$AA143)+求节点(X$67:X$105,$O$67:$O$105,$AA143)</f>
        <v>8112</v>
      </c>
      <c r="BF143" s="5">
        <f>求节点(T$6:T$44,$G$67:$G$105,$AA143)</f>
        <v>0</v>
      </c>
      <c r="BG143" s="5">
        <f>求节点(U$6:U$44,$G$67:$G$105,$AA143)</f>
        <v>0</v>
      </c>
      <c r="BH143" s="5">
        <f>求节点(V$6:V$44,$G$67:$G$105,$AA143)</f>
        <v>0</v>
      </c>
      <c r="BI143" s="5">
        <f>求节点(W$6:W$44,$G$67:$G$105,$AA143)</f>
        <v>0</v>
      </c>
      <c r="BJ143" s="5">
        <f>求节点(X$6:X$44,$G$67:$G$105,$AA143)</f>
        <v>0</v>
      </c>
      <c r="BK143" s="5">
        <f>求节点(T$6:T$44,$M$67:$M$105,$AA143)</f>
        <v>78</v>
      </c>
      <c r="BL143" s="5">
        <f>求节点(U$6:U$44,$M$67:$M$105,$AA143)</f>
        <v>78</v>
      </c>
      <c r="BM143" s="5">
        <f>求节点(V$6:V$44,$M$67:$M$105,$AA143)</f>
        <v>78</v>
      </c>
      <c r="BN143" s="5">
        <f>求节点(W$6:W$44,$M$67:$M$105,$AA143)</f>
        <v>78</v>
      </c>
      <c r="BO143" s="5">
        <f>求节点(X$6:X$44,$M$67:$M$105,$AA143)</f>
        <v>78</v>
      </c>
      <c r="BP143" s="5">
        <f>求节点(T$67:T$105,$L$67:$L$105,$AA143)</f>
        <v>0</v>
      </c>
      <c r="BQ143" s="5">
        <f>求节点(U$67:U$105,$L$67:$L$105,$AA143)</f>
        <v>0</v>
      </c>
      <c r="BR143" s="5">
        <f>求节点(V$67:V$105,$L$67:$L$105,$AA143)</f>
        <v>0</v>
      </c>
      <c r="BS143" s="5">
        <f>求节点(W$67:W$105,$L$67:$L$105,$AA143)</f>
        <v>0</v>
      </c>
      <c r="BT143" s="5">
        <f>求节点(X$67:X$105,$L$67:$L$105,$AA143)</f>
        <v>0</v>
      </c>
      <c r="BZ143" s="5">
        <v>139</v>
      </c>
      <c r="CA143" s="5">
        <f t="shared" si="60"/>
        <v>8112</v>
      </c>
      <c r="CB143" s="5">
        <f t="shared" si="61"/>
        <v>8112</v>
      </c>
      <c r="CC143" s="5">
        <f t="shared" si="62"/>
        <v>8112</v>
      </c>
      <c r="CD143" s="5">
        <f t="shared" si="63"/>
        <v>8112</v>
      </c>
      <c r="CE143" s="5">
        <f t="shared" si="64"/>
        <v>8112</v>
      </c>
      <c r="CF143" s="5">
        <f>(CA143-CA142)/节奏总纲!W142</f>
        <v>0</v>
      </c>
      <c r="CI143" s="5">
        <v>139</v>
      </c>
      <c r="CJ143" s="5">
        <f t="shared" si="65"/>
        <v>18720</v>
      </c>
      <c r="CK143" s="5">
        <f t="shared" si="66"/>
        <v>18720</v>
      </c>
      <c r="CL143" s="5">
        <f t="shared" si="67"/>
        <v>18720</v>
      </c>
      <c r="CM143" s="5">
        <f t="shared" si="68"/>
        <v>18720</v>
      </c>
      <c r="CN143" s="5">
        <f t="shared" si="69"/>
        <v>18720</v>
      </c>
      <c r="CO143" s="5">
        <f>(CJ143-CJ142)/节奏总纲!W142</f>
        <v>0</v>
      </c>
      <c r="CP143" s="5">
        <f t="shared" si="70"/>
        <v>0</v>
      </c>
      <c r="CR143" s="5">
        <v>139</v>
      </c>
      <c r="CS143" s="5">
        <f t="shared" si="71"/>
        <v>0</v>
      </c>
      <c r="CT143" s="5">
        <f t="shared" si="72"/>
        <v>0</v>
      </c>
      <c r="CU143" s="5">
        <f t="shared" si="73"/>
        <v>0</v>
      </c>
      <c r="CV143" s="5">
        <f t="shared" si="74"/>
        <v>0</v>
      </c>
      <c r="CW143" s="5">
        <f t="shared" si="75"/>
        <v>0</v>
      </c>
      <c r="CX143" s="5">
        <f t="shared" si="76"/>
        <v>0</v>
      </c>
      <c r="CY143" s="5">
        <f t="shared" si="77"/>
        <v>0</v>
      </c>
      <c r="CZ143" s="5">
        <f t="shared" si="78"/>
        <v>0</v>
      </c>
      <c r="DA143" s="5">
        <f t="shared" si="79"/>
        <v>0</v>
      </c>
      <c r="DB143" s="5">
        <f t="shared" si="80"/>
        <v>0</v>
      </c>
    </row>
    <row r="144" spans="27:106" x14ac:dyDescent="0.15">
      <c r="AA144" s="5">
        <v>140</v>
      </c>
      <c r="AB144" s="5">
        <f>求节点(T$6:T$44,$C$67:$C$105,$AA144)</f>
        <v>0</v>
      </c>
      <c r="AC144" s="5">
        <f>求节点(U$6:U$44,$C$67:$C$105,$AA144)</f>
        <v>0</v>
      </c>
      <c r="AD144" s="5">
        <f>求节点(V$6:V$44,$C$67:$C$105,$AA144)</f>
        <v>0</v>
      </c>
      <c r="AE144" s="5">
        <f>求节点(W$6:W$44,$C$67:$C$105,$AA144)</f>
        <v>0</v>
      </c>
      <c r="AF144" s="5">
        <f>求节点(X$6:X$44,$C$67:$C$105,$AA144)</f>
        <v>0</v>
      </c>
      <c r="AG144" s="5">
        <f>求节点(T$6:T$44,$D$67:$D$105,$AA144)+求节点(T$67:T$105,$Q$67:$Q$105,$AA144)</f>
        <v>102728760</v>
      </c>
      <c r="AH144" s="5">
        <f>求节点(U$6:U$44,$D$67:$D$105,$AA144)+求节点(U$67:U$105,$Q$67:$Q$105,$AA144)</f>
        <v>102728760</v>
      </c>
      <c r="AI144" s="5">
        <f>求节点(V$6:V$44,$D$67:$D$105,$AA144)+求节点(V$67:V$105,$Q$67:$Q$105,$AA144)</f>
        <v>102728760</v>
      </c>
      <c r="AJ144" s="5">
        <f>求节点(W$6:W$44,$D$67:$D$105,$AA144)+求节点(W$67:W$105,$Q$67:$Q$105,$AA144)</f>
        <v>102728760</v>
      </c>
      <c r="AK144" s="5">
        <f>求节点(X$6:X$44,$D$67:$D$105,$AA144)+求节点(X$67:X$105,$Q$67:$Q$105,$AA144)</f>
        <v>102728760</v>
      </c>
      <c r="AL144" s="5">
        <f>求节点(T$6:T$44,$F$67:$F$105,$AA144)+求节点(T$67:T$105,$P$67:$P$105,$AA144)</f>
        <v>1848000</v>
      </c>
      <c r="AM144" s="5">
        <f>求节点(U$6:U$44,$F$67:$F$105,$AA144)+求节点(U$67:U$105,$P$67:$P$105,$AA144)</f>
        <v>1848000</v>
      </c>
      <c r="AN144" s="5">
        <f>求节点(V$6:V$44,$F$67:$F$105,$AA144)+求节点(V$67:V$105,$P$67:$P$105,$AA144)</f>
        <v>1848000</v>
      </c>
      <c r="AO144" s="5">
        <f>求节点(W$6:W$44,$F$67:$F$105,$AA144)+求节点(W$67:W$105,$P$67:$P$105,$AA144)</f>
        <v>1848000</v>
      </c>
      <c r="AP144" s="5">
        <f>求节点(X$6:X$44,$F$67:$F$105,$AA144)+求节点(X$67:X$105,$P$67:$P$105,$AA144)</f>
        <v>1848000</v>
      </c>
      <c r="AQ144" s="5">
        <f>求节点(T$6:T$44,$H$67:$H$105,$AA144)</f>
        <v>963600</v>
      </c>
      <c r="AR144" s="5">
        <f>求节点(U$6:U$44,$H$67:$H$105,$AA144)</f>
        <v>963600</v>
      </c>
      <c r="AS144" s="5">
        <f>求节点(V$6:V$44,$H$67:$H$105,$AA144)</f>
        <v>963600</v>
      </c>
      <c r="AT144" s="5">
        <f>求节点(W$6:W$44,$H$67:$H$105,$AA144)</f>
        <v>963600</v>
      </c>
      <c r="AU144" s="5">
        <f>求节点(X$6:X$44,$H$67:$H$105,$AA144)</f>
        <v>963600</v>
      </c>
      <c r="AV144" s="5">
        <f>求节点(T$6:T$44,$I$67:$I$105,$AA144)</f>
        <v>25320000</v>
      </c>
      <c r="AW144" s="5">
        <f>求节点(U$6:U$44,$I$67:$I$105,$AA144)</f>
        <v>25320000</v>
      </c>
      <c r="AX144" s="5">
        <f>求节点(V$6:V$44,$I$67:$I$105,$AA144)</f>
        <v>25320000</v>
      </c>
      <c r="AY144" s="5">
        <f>求节点(W$6:W$44,$I$67:$I$105,$AA144)</f>
        <v>25320000</v>
      </c>
      <c r="AZ144" s="5">
        <f>求节点(X$6:X$44,$I$67:$I$105,$AA144)</f>
        <v>25320000</v>
      </c>
      <c r="BA144" s="5">
        <f>求节点(T$6:T$44,$E$67:$E$105,$AA144)+求节点(T$6:T$44,$K$67:$K$105,$AA144)+求节点(T$67:T$105,$O$67:$O$105,$AA144)</f>
        <v>8112</v>
      </c>
      <c r="BB144" s="5">
        <f>求节点(U$6:U$44,$E$67:$E$105,$AA144)+求节点(U$6:U$44,$K$67:$K$105,$AA144)+求节点(U$67:U$105,$O$67:$O$105,$AA144)</f>
        <v>8112</v>
      </c>
      <c r="BC144" s="5">
        <f>求节点(V$6:V$44,$E$67:$E$105,$AA144)+求节点(V$6:V$44,$K$67:$K$105,$AA144)+求节点(V$67:V$105,$O$67:$O$105,$AA144)</f>
        <v>8112</v>
      </c>
      <c r="BD144" s="5">
        <f>求节点(W$6:W$44,$E$67:$E$105,$AA144)+求节点(W$6:W$44,$K$67:$K$105,$AA144)+求节点(W$67:W$105,$O$67:$O$105,$AA144)</f>
        <v>8112</v>
      </c>
      <c r="BE144" s="5">
        <f>求节点(X$6:X$44,$E$67:$E$105,$AA144)+求节点(X$6:X$44,$K$67:$K$105,$AA144)+求节点(X$67:X$105,$O$67:$O$105,$AA144)</f>
        <v>8112</v>
      </c>
      <c r="BF144" s="5">
        <f>求节点(T$6:T$44,$G$67:$G$105,$AA144)</f>
        <v>0</v>
      </c>
      <c r="BG144" s="5">
        <f>求节点(U$6:U$44,$G$67:$G$105,$AA144)</f>
        <v>0</v>
      </c>
      <c r="BH144" s="5">
        <f>求节点(V$6:V$44,$G$67:$G$105,$AA144)</f>
        <v>0</v>
      </c>
      <c r="BI144" s="5">
        <f>求节点(W$6:W$44,$G$67:$G$105,$AA144)</f>
        <v>0</v>
      </c>
      <c r="BJ144" s="5">
        <f>求节点(X$6:X$44,$G$67:$G$105,$AA144)</f>
        <v>0</v>
      </c>
      <c r="BK144" s="5">
        <f>求节点(T$6:T$44,$M$67:$M$105,$AA144)</f>
        <v>78</v>
      </c>
      <c r="BL144" s="5">
        <f>求节点(U$6:U$44,$M$67:$M$105,$AA144)</f>
        <v>78</v>
      </c>
      <c r="BM144" s="5">
        <f>求节点(V$6:V$44,$M$67:$M$105,$AA144)</f>
        <v>78</v>
      </c>
      <c r="BN144" s="5">
        <f>求节点(W$6:W$44,$M$67:$M$105,$AA144)</f>
        <v>78</v>
      </c>
      <c r="BO144" s="5">
        <f>求节点(X$6:X$44,$M$67:$M$105,$AA144)</f>
        <v>78</v>
      </c>
      <c r="BP144" s="5">
        <f>求节点(T$67:T$105,$L$67:$L$105,$AA144)</f>
        <v>0</v>
      </c>
      <c r="BQ144" s="5">
        <f>求节点(U$67:U$105,$L$67:$L$105,$AA144)</f>
        <v>0</v>
      </c>
      <c r="BR144" s="5">
        <f>求节点(V$67:V$105,$L$67:$L$105,$AA144)</f>
        <v>0</v>
      </c>
      <c r="BS144" s="5">
        <f>求节点(W$67:W$105,$L$67:$L$105,$AA144)</f>
        <v>0</v>
      </c>
      <c r="BT144" s="5">
        <f>求节点(X$67:X$105,$L$67:$L$105,$AA144)</f>
        <v>0</v>
      </c>
      <c r="BZ144" s="5">
        <v>140</v>
      </c>
      <c r="CA144" s="5">
        <f t="shared" si="60"/>
        <v>8112</v>
      </c>
      <c r="CB144" s="5">
        <f t="shared" si="61"/>
        <v>8112</v>
      </c>
      <c r="CC144" s="5">
        <f t="shared" si="62"/>
        <v>8112</v>
      </c>
      <c r="CD144" s="5">
        <f t="shared" si="63"/>
        <v>8112</v>
      </c>
      <c r="CE144" s="5">
        <f t="shared" si="64"/>
        <v>8112</v>
      </c>
      <c r="CF144" s="5">
        <f>(CA144-CA143)/节奏总纲!W143</f>
        <v>0</v>
      </c>
      <c r="CI144" s="5">
        <v>140</v>
      </c>
      <c r="CJ144" s="5">
        <f t="shared" si="65"/>
        <v>18720</v>
      </c>
      <c r="CK144" s="5">
        <f t="shared" si="66"/>
        <v>18720</v>
      </c>
      <c r="CL144" s="5">
        <f t="shared" si="67"/>
        <v>18720</v>
      </c>
      <c r="CM144" s="5">
        <f t="shared" si="68"/>
        <v>18720</v>
      </c>
      <c r="CN144" s="5">
        <f t="shared" si="69"/>
        <v>18720</v>
      </c>
      <c r="CO144" s="5">
        <f>(CJ144-CJ143)/节奏总纲!W143</f>
        <v>0</v>
      </c>
      <c r="CP144" s="5">
        <f t="shared" si="70"/>
        <v>0</v>
      </c>
      <c r="CR144" s="5">
        <v>140</v>
      </c>
      <c r="CS144" s="5">
        <f t="shared" si="71"/>
        <v>0</v>
      </c>
      <c r="CT144" s="5">
        <f t="shared" si="72"/>
        <v>0</v>
      </c>
      <c r="CU144" s="5">
        <f t="shared" si="73"/>
        <v>0</v>
      </c>
      <c r="CV144" s="5">
        <f t="shared" si="74"/>
        <v>0</v>
      </c>
      <c r="CW144" s="5">
        <f t="shared" si="75"/>
        <v>0</v>
      </c>
      <c r="CX144" s="5">
        <f t="shared" si="76"/>
        <v>0</v>
      </c>
      <c r="CY144" s="5">
        <f t="shared" si="77"/>
        <v>0</v>
      </c>
      <c r="CZ144" s="5">
        <f t="shared" si="78"/>
        <v>0</v>
      </c>
      <c r="DA144" s="5">
        <f t="shared" si="79"/>
        <v>0</v>
      </c>
      <c r="DB144" s="5">
        <f t="shared" si="80"/>
        <v>0</v>
      </c>
    </row>
    <row r="145" spans="27:106" x14ac:dyDescent="0.15">
      <c r="AA145" s="5">
        <v>141</v>
      </c>
      <c r="AB145" s="5">
        <f>求节点(T$6:T$44,$C$67:$C$105,$AA145)</f>
        <v>0</v>
      </c>
      <c r="AC145" s="5">
        <f>求节点(U$6:U$44,$C$67:$C$105,$AA145)</f>
        <v>0</v>
      </c>
      <c r="AD145" s="5">
        <f>求节点(V$6:V$44,$C$67:$C$105,$AA145)</f>
        <v>0</v>
      </c>
      <c r="AE145" s="5">
        <f>求节点(W$6:W$44,$C$67:$C$105,$AA145)</f>
        <v>0</v>
      </c>
      <c r="AF145" s="5">
        <f>求节点(X$6:X$44,$C$67:$C$105,$AA145)</f>
        <v>0</v>
      </c>
      <c r="AG145" s="5">
        <f>求节点(T$6:T$44,$D$67:$D$105,$AA145)+求节点(T$67:T$105,$Q$67:$Q$105,$AA145)</f>
        <v>102728760</v>
      </c>
      <c r="AH145" s="5">
        <f>求节点(U$6:U$44,$D$67:$D$105,$AA145)+求节点(U$67:U$105,$Q$67:$Q$105,$AA145)</f>
        <v>102728760</v>
      </c>
      <c r="AI145" s="5">
        <f>求节点(V$6:V$44,$D$67:$D$105,$AA145)+求节点(V$67:V$105,$Q$67:$Q$105,$AA145)</f>
        <v>102728760</v>
      </c>
      <c r="AJ145" s="5">
        <f>求节点(W$6:W$44,$D$67:$D$105,$AA145)+求节点(W$67:W$105,$Q$67:$Q$105,$AA145)</f>
        <v>102728760</v>
      </c>
      <c r="AK145" s="5">
        <f>求节点(X$6:X$44,$D$67:$D$105,$AA145)+求节点(X$67:X$105,$Q$67:$Q$105,$AA145)</f>
        <v>102728760</v>
      </c>
      <c r="AL145" s="5">
        <f>求节点(T$6:T$44,$F$67:$F$105,$AA145)+求节点(T$67:T$105,$P$67:$P$105,$AA145)</f>
        <v>1848000</v>
      </c>
      <c r="AM145" s="5">
        <f>求节点(U$6:U$44,$F$67:$F$105,$AA145)+求节点(U$67:U$105,$P$67:$P$105,$AA145)</f>
        <v>1848000</v>
      </c>
      <c r="AN145" s="5">
        <f>求节点(V$6:V$44,$F$67:$F$105,$AA145)+求节点(V$67:V$105,$P$67:$P$105,$AA145)</f>
        <v>1848000</v>
      </c>
      <c r="AO145" s="5">
        <f>求节点(W$6:W$44,$F$67:$F$105,$AA145)+求节点(W$67:W$105,$P$67:$P$105,$AA145)</f>
        <v>1848000</v>
      </c>
      <c r="AP145" s="5">
        <f>求节点(X$6:X$44,$F$67:$F$105,$AA145)+求节点(X$67:X$105,$P$67:$P$105,$AA145)</f>
        <v>1848000</v>
      </c>
      <c r="AQ145" s="5">
        <f>求节点(T$6:T$44,$H$67:$H$105,$AA145)</f>
        <v>963600</v>
      </c>
      <c r="AR145" s="5">
        <f>求节点(U$6:U$44,$H$67:$H$105,$AA145)</f>
        <v>963600</v>
      </c>
      <c r="AS145" s="5">
        <f>求节点(V$6:V$44,$H$67:$H$105,$AA145)</f>
        <v>963600</v>
      </c>
      <c r="AT145" s="5">
        <f>求节点(W$6:W$44,$H$67:$H$105,$AA145)</f>
        <v>963600</v>
      </c>
      <c r="AU145" s="5">
        <f>求节点(X$6:X$44,$H$67:$H$105,$AA145)</f>
        <v>963600</v>
      </c>
      <c r="AV145" s="5">
        <f>求节点(T$6:T$44,$I$67:$I$105,$AA145)</f>
        <v>25320000</v>
      </c>
      <c r="AW145" s="5">
        <f>求节点(U$6:U$44,$I$67:$I$105,$AA145)</f>
        <v>25320000</v>
      </c>
      <c r="AX145" s="5">
        <f>求节点(V$6:V$44,$I$67:$I$105,$AA145)</f>
        <v>25320000</v>
      </c>
      <c r="AY145" s="5">
        <f>求节点(W$6:W$44,$I$67:$I$105,$AA145)</f>
        <v>25320000</v>
      </c>
      <c r="AZ145" s="5">
        <f>求节点(X$6:X$44,$I$67:$I$105,$AA145)</f>
        <v>25320000</v>
      </c>
      <c r="BA145" s="5">
        <f>求节点(T$6:T$44,$E$67:$E$105,$AA145)+求节点(T$6:T$44,$K$67:$K$105,$AA145)+求节点(T$67:T$105,$O$67:$O$105,$AA145)</f>
        <v>8112</v>
      </c>
      <c r="BB145" s="5">
        <f>求节点(U$6:U$44,$E$67:$E$105,$AA145)+求节点(U$6:U$44,$K$67:$K$105,$AA145)+求节点(U$67:U$105,$O$67:$O$105,$AA145)</f>
        <v>8112</v>
      </c>
      <c r="BC145" s="5">
        <f>求节点(V$6:V$44,$E$67:$E$105,$AA145)+求节点(V$6:V$44,$K$67:$K$105,$AA145)+求节点(V$67:V$105,$O$67:$O$105,$AA145)</f>
        <v>8112</v>
      </c>
      <c r="BD145" s="5">
        <f>求节点(W$6:W$44,$E$67:$E$105,$AA145)+求节点(W$6:W$44,$K$67:$K$105,$AA145)+求节点(W$67:W$105,$O$67:$O$105,$AA145)</f>
        <v>8112</v>
      </c>
      <c r="BE145" s="5">
        <f>求节点(X$6:X$44,$E$67:$E$105,$AA145)+求节点(X$6:X$44,$K$67:$K$105,$AA145)+求节点(X$67:X$105,$O$67:$O$105,$AA145)</f>
        <v>8112</v>
      </c>
      <c r="BF145" s="5">
        <f>求节点(T$6:T$44,$G$67:$G$105,$AA145)</f>
        <v>0</v>
      </c>
      <c r="BG145" s="5">
        <f>求节点(U$6:U$44,$G$67:$G$105,$AA145)</f>
        <v>0</v>
      </c>
      <c r="BH145" s="5">
        <f>求节点(V$6:V$44,$G$67:$G$105,$AA145)</f>
        <v>0</v>
      </c>
      <c r="BI145" s="5">
        <f>求节点(W$6:W$44,$G$67:$G$105,$AA145)</f>
        <v>0</v>
      </c>
      <c r="BJ145" s="5">
        <f>求节点(X$6:X$44,$G$67:$G$105,$AA145)</f>
        <v>0</v>
      </c>
      <c r="BK145" s="5">
        <f>求节点(T$6:T$44,$M$67:$M$105,$AA145)</f>
        <v>78</v>
      </c>
      <c r="BL145" s="5">
        <f>求节点(U$6:U$44,$M$67:$M$105,$AA145)</f>
        <v>78</v>
      </c>
      <c r="BM145" s="5">
        <f>求节点(V$6:V$44,$M$67:$M$105,$AA145)</f>
        <v>78</v>
      </c>
      <c r="BN145" s="5">
        <f>求节点(W$6:W$44,$M$67:$M$105,$AA145)</f>
        <v>78</v>
      </c>
      <c r="BO145" s="5">
        <f>求节点(X$6:X$44,$M$67:$M$105,$AA145)</f>
        <v>78</v>
      </c>
      <c r="BP145" s="5">
        <f>求节点(T$67:T$105,$L$67:$L$105,$AA145)</f>
        <v>0</v>
      </c>
      <c r="BQ145" s="5">
        <f>求节点(U$67:U$105,$L$67:$L$105,$AA145)</f>
        <v>0</v>
      </c>
      <c r="BR145" s="5">
        <f>求节点(V$67:V$105,$L$67:$L$105,$AA145)</f>
        <v>0</v>
      </c>
      <c r="BS145" s="5">
        <f>求节点(W$67:W$105,$L$67:$L$105,$AA145)</f>
        <v>0</v>
      </c>
      <c r="BT145" s="5">
        <f>求节点(X$67:X$105,$L$67:$L$105,$AA145)</f>
        <v>0</v>
      </c>
      <c r="BZ145" s="5">
        <v>141</v>
      </c>
      <c r="CA145" s="5">
        <f t="shared" ref="CA145:CA164" si="81">BA145</f>
        <v>8112</v>
      </c>
      <c r="CB145" s="5">
        <f t="shared" ref="CB145:CB164" si="82">BB145</f>
        <v>8112</v>
      </c>
      <c r="CC145" s="5">
        <f t="shared" ref="CC145:CC164" si="83">BC145</f>
        <v>8112</v>
      </c>
      <c r="CD145" s="5">
        <f t="shared" ref="CD145:CD164" si="84">BD145</f>
        <v>8112</v>
      </c>
      <c r="CE145" s="5">
        <f t="shared" ref="CE145:CE164" si="85">BE145</f>
        <v>8112</v>
      </c>
      <c r="CF145" s="5">
        <f>(CA145-CA144)/节奏总纲!W144</f>
        <v>0</v>
      </c>
      <c r="CI145" s="5">
        <v>141</v>
      </c>
      <c r="CJ145" s="5">
        <f t="shared" ref="CJ145:CJ164" si="86">BK145*240</f>
        <v>18720</v>
      </c>
      <c r="CK145" s="5">
        <f t="shared" ref="CK145:CK164" si="87">BL145*240</f>
        <v>18720</v>
      </c>
      <c r="CL145" s="5">
        <f t="shared" ref="CL145:CL164" si="88">BM145*240</f>
        <v>18720</v>
      </c>
      <c r="CM145" s="5">
        <f t="shared" ref="CM145:CM164" si="89">BN145*240</f>
        <v>18720</v>
      </c>
      <c r="CN145" s="5">
        <f t="shared" ref="CN145:CN164" si="90">BO145*240</f>
        <v>18720</v>
      </c>
      <c r="CO145" s="5">
        <f>(CJ145-CJ144)/节奏总纲!W144</f>
        <v>0</v>
      </c>
      <c r="CP145" s="5">
        <f t="shared" ref="CP145:CP164" si="91">CO145+CF145</f>
        <v>0</v>
      </c>
      <c r="CR145" s="5">
        <v>141</v>
      </c>
      <c r="CS145" s="5">
        <f t="shared" ref="CS145:CS164" si="92">BP145</f>
        <v>0</v>
      </c>
      <c r="CT145" s="5">
        <f t="shared" ref="CT145:CT164" si="93">BQ145</f>
        <v>0</v>
      </c>
      <c r="CU145" s="5">
        <f t="shared" ref="CU145:CU164" si="94">BR145</f>
        <v>0</v>
      </c>
      <c r="CV145" s="5">
        <f t="shared" ref="CV145:CV164" si="95">BS145</f>
        <v>0</v>
      </c>
      <c r="CW145" s="5">
        <f t="shared" ref="CW145:CW164" si="96">BT145</f>
        <v>0</v>
      </c>
      <c r="CX145" s="5">
        <f t="shared" ref="CX145:CX164" si="97">CS145-CS144</f>
        <v>0</v>
      </c>
      <c r="CY145" s="5">
        <f t="shared" ref="CY145:CY164" si="98">CT145-CT144</f>
        <v>0</v>
      </c>
      <c r="CZ145" s="5">
        <f t="shared" ref="CZ145:CZ164" si="99">CU145-CU144</f>
        <v>0</v>
      </c>
      <c r="DA145" s="5">
        <f t="shared" ref="DA145:DA164" si="100">CV145-CV144</f>
        <v>0</v>
      </c>
      <c r="DB145" s="5">
        <f t="shared" ref="DB145:DB164" si="101">CW145-CW144</f>
        <v>0</v>
      </c>
    </row>
    <row r="146" spans="27:106" x14ac:dyDescent="0.15">
      <c r="AA146" s="5">
        <v>142</v>
      </c>
      <c r="AB146" s="5">
        <f>求节点(T$6:T$44,$C$67:$C$105,$AA146)</f>
        <v>0</v>
      </c>
      <c r="AC146" s="5">
        <f>求节点(U$6:U$44,$C$67:$C$105,$AA146)</f>
        <v>0</v>
      </c>
      <c r="AD146" s="5">
        <f>求节点(V$6:V$44,$C$67:$C$105,$AA146)</f>
        <v>0</v>
      </c>
      <c r="AE146" s="5">
        <f>求节点(W$6:W$44,$C$67:$C$105,$AA146)</f>
        <v>0</v>
      </c>
      <c r="AF146" s="5">
        <f>求节点(X$6:X$44,$C$67:$C$105,$AA146)</f>
        <v>0</v>
      </c>
      <c r="AG146" s="5">
        <f>求节点(T$6:T$44,$D$67:$D$105,$AA146)+求节点(T$67:T$105,$Q$67:$Q$105,$AA146)</f>
        <v>102728760</v>
      </c>
      <c r="AH146" s="5">
        <f>求节点(U$6:U$44,$D$67:$D$105,$AA146)+求节点(U$67:U$105,$Q$67:$Q$105,$AA146)</f>
        <v>102728760</v>
      </c>
      <c r="AI146" s="5">
        <f>求节点(V$6:V$44,$D$67:$D$105,$AA146)+求节点(V$67:V$105,$Q$67:$Q$105,$AA146)</f>
        <v>102728760</v>
      </c>
      <c r="AJ146" s="5">
        <f>求节点(W$6:W$44,$D$67:$D$105,$AA146)+求节点(W$67:W$105,$Q$67:$Q$105,$AA146)</f>
        <v>102728760</v>
      </c>
      <c r="AK146" s="5">
        <f>求节点(X$6:X$44,$D$67:$D$105,$AA146)+求节点(X$67:X$105,$Q$67:$Q$105,$AA146)</f>
        <v>102728760</v>
      </c>
      <c r="AL146" s="5">
        <f>求节点(T$6:T$44,$F$67:$F$105,$AA146)+求节点(T$67:T$105,$P$67:$P$105,$AA146)</f>
        <v>1848000</v>
      </c>
      <c r="AM146" s="5">
        <f>求节点(U$6:U$44,$F$67:$F$105,$AA146)+求节点(U$67:U$105,$P$67:$P$105,$AA146)</f>
        <v>1848000</v>
      </c>
      <c r="AN146" s="5">
        <f>求节点(V$6:V$44,$F$67:$F$105,$AA146)+求节点(V$67:V$105,$P$67:$P$105,$AA146)</f>
        <v>1848000</v>
      </c>
      <c r="AO146" s="5">
        <f>求节点(W$6:W$44,$F$67:$F$105,$AA146)+求节点(W$67:W$105,$P$67:$P$105,$AA146)</f>
        <v>1848000</v>
      </c>
      <c r="AP146" s="5">
        <f>求节点(X$6:X$44,$F$67:$F$105,$AA146)+求节点(X$67:X$105,$P$67:$P$105,$AA146)</f>
        <v>1848000</v>
      </c>
      <c r="AQ146" s="5">
        <f>求节点(T$6:T$44,$H$67:$H$105,$AA146)</f>
        <v>963600</v>
      </c>
      <c r="AR146" s="5">
        <f>求节点(U$6:U$44,$H$67:$H$105,$AA146)</f>
        <v>963600</v>
      </c>
      <c r="AS146" s="5">
        <f>求节点(V$6:V$44,$H$67:$H$105,$AA146)</f>
        <v>963600</v>
      </c>
      <c r="AT146" s="5">
        <f>求节点(W$6:W$44,$H$67:$H$105,$AA146)</f>
        <v>963600</v>
      </c>
      <c r="AU146" s="5">
        <f>求节点(X$6:X$44,$H$67:$H$105,$AA146)</f>
        <v>963600</v>
      </c>
      <c r="AV146" s="5">
        <f>求节点(T$6:T$44,$I$67:$I$105,$AA146)</f>
        <v>25320000</v>
      </c>
      <c r="AW146" s="5">
        <f>求节点(U$6:U$44,$I$67:$I$105,$AA146)</f>
        <v>25320000</v>
      </c>
      <c r="AX146" s="5">
        <f>求节点(V$6:V$44,$I$67:$I$105,$AA146)</f>
        <v>25320000</v>
      </c>
      <c r="AY146" s="5">
        <f>求节点(W$6:W$44,$I$67:$I$105,$AA146)</f>
        <v>25320000</v>
      </c>
      <c r="AZ146" s="5">
        <f>求节点(X$6:X$44,$I$67:$I$105,$AA146)</f>
        <v>25320000</v>
      </c>
      <c r="BA146" s="5">
        <f>求节点(T$6:T$44,$E$67:$E$105,$AA146)+求节点(T$6:T$44,$K$67:$K$105,$AA146)+求节点(T$67:T$105,$O$67:$O$105,$AA146)</f>
        <v>8112</v>
      </c>
      <c r="BB146" s="5">
        <f>求节点(U$6:U$44,$E$67:$E$105,$AA146)+求节点(U$6:U$44,$K$67:$K$105,$AA146)+求节点(U$67:U$105,$O$67:$O$105,$AA146)</f>
        <v>8112</v>
      </c>
      <c r="BC146" s="5">
        <f>求节点(V$6:V$44,$E$67:$E$105,$AA146)+求节点(V$6:V$44,$K$67:$K$105,$AA146)+求节点(V$67:V$105,$O$67:$O$105,$AA146)</f>
        <v>8112</v>
      </c>
      <c r="BD146" s="5">
        <f>求节点(W$6:W$44,$E$67:$E$105,$AA146)+求节点(W$6:W$44,$K$67:$K$105,$AA146)+求节点(W$67:W$105,$O$67:$O$105,$AA146)</f>
        <v>8112</v>
      </c>
      <c r="BE146" s="5">
        <f>求节点(X$6:X$44,$E$67:$E$105,$AA146)+求节点(X$6:X$44,$K$67:$K$105,$AA146)+求节点(X$67:X$105,$O$67:$O$105,$AA146)</f>
        <v>8112</v>
      </c>
      <c r="BF146" s="5">
        <f>求节点(T$6:T$44,$G$67:$G$105,$AA146)</f>
        <v>0</v>
      </c>
      <c r="BG146" s="5">
        <f>求节点(U$6:U$44,$G$67:$G$105,$AA146)</f>
        <v>0</v>
      </c>
      <c r="BH146" s="5">
        <f>求节点(V$6:V$44,$G$67:$G$105,$AA146)</f>
        <v>0</v>
      </c>
      <c r="BI146" s="5">
        <f>求节点(W$6:W$44,$G$67:$G$105,$AA146)</f>
        <v>0</v>
      </c>
      <c r="BJ146" s="5">
        <f>求节点(X$6:X$44,$G$67:$G$105,$AA146)</f>
        <v>0</v>
      </c>
      <c r="BK146" s="5">
        <f>求节点(T$6:T$44,$M$67:$M$105,$AA146)</f>
        <v>78</v>
      </c>
      <c r="BL146" s="5">
        <f>求节点(U$6:U$44,$M$67:$M$105,$AA146)</f>
        <v>78</v>
      </c>
      <c r="BM146" s="5">
        <f>求节点(V$6:V$44,$M$67:$M$105,$AA146)</f>
        <v>78</v>
      </c>
      <c r="BN146" s="5">
        <f>求节点(W$6:W$44,$M$67:$M$105,$AA146)</f>
        <v>78</v>
      </c>
      <c r="BO146" s="5">
        <f>求节点(X$6:X$44,$M$67:$M$105,$AA146)</f>
        <v>78</v>
      </c>
      <c r="BP146" s="5">
        <f>求节点(T$67:T$105,$L$67:$L$105,$AA146)</f>
        <v>0</v>
      </c>
      <c r="BQ146" s="5">
        <f>求节点(U$67:U$105,$L$67:$L$105,$AA146)</f>
        <v>0</v>
      </c>
      <c r="BR146" s="5">
        <f>求节点(V$67:V$105,$L$67:$L$105,$AA146)</f>
        <v>0</v>
      </c>
      <c r="BS146" s="5">
        <f>求节点(W$67:W$105,$L$67:$L$105,$AA146)</f>
        <v>0</v>
      </c>
      <c r="BT146" s="5">
        <f>求节点(X$67:X$105,$L$67:$L$105,$AA146)</f>
        <v>0</v>
      </c>
      <c r="BZ146" s="5">
        <v>142</v>
      </c>
      <c r="CA146" s="5">
        <f t="shared" si="81"/>
        <v>8112</v>
      </c>
      <c r="CB146" s="5">
        <f t="shared" si="82"/>
        <v>8112</v>
      </c>
      <c r="CC146" s="5">
        <f t="shared" si="83"/>
        <v>8112</v>
      </c>
      <c r="CD146" s="5">
        <f t="shared" si="84"/>
        <v>8112</v>
      </c>
      <c r="CE146" s="5">
        <f t="shared" si="85"/>
        <v>8112</v>
      </c>
      <c r="CF146" s="5">
        <f>(CA146-CA145)/节奏总纲!W145</f>
        <v>0</v>
      </c>
      <c r="CI146" s="5">
        <v>142</v>
      </c>
      <c r="CJ146" s="5">
        <f t="shared" si="86"/>
        <v>18720</v>
      </c>
      <c r="CK146" s="5">
        <f t="shared" si="87"/>
        <v>18720</v>
      </c>
      <c r="CL146" s="5">
        <f t="shared" si="88"/>
        <v>18720</v>
      </c>
      <c r="CM146" s="5">
        <f t="shared" si="89"/>
        <v>18720</v>
      </c>
      <c r="CN146" s="5">
        <f t="shared" si="90"/>
        <v>18720</v>
      </c>
      <c r="CO146" s="5">
        <f>(CJ146-CJ145)/节奏总纲!W145</f>
        <v>0</v>
      </c>
      <c r="CP146" s="5">
        <f t="shared" si="91"/>
        <v>0</v>
      </c>
      <c r="CR146" s="5">
        <v>142</v>
      </c>
      <c r="CS146" s="5">
        <f t="shared" si="92"/>
        <v>0</v>
      </c>
      <c r="CT146" s="5">
        <f t="shared" si="93"/>
        <v>0</v>
      </c>
      <c r="CU146" s="5">
        <f t="shared" si="94"/>
        <v>0</v>
      </c>
      <c r="CV146" s="5">
        <f t="shared" si="95"/>
        <v>0</v>
      </c>
      <c r="CW146" s="5">
        <f t="shared" si="96"/>
        <v>0</v>
      </c>
      <c r="CX146" s="5">
        <f t="shared" si="97"/>
        <v>0</v>
      </c>
      <c r="CY146" s="5">
        <f t="shared" si="98"/>
        <v>0</v>
      </c>
      <c r="CZ146" s="5">
        <f t="shared" si="99"/>
        <v>0</v>
      </c>
      <c r="DA146" s="5">
        <f t="shared" si="100"/>
        <v>0</v>
      </c>
      <c r="DB146" s="5">
        <f t="shared" si="101"/>
        <v>0</v>
      </c>
    </row>
    <row r="147" spans="27:106" x14ac:dyDescent="0.15">
      <c r="AA147" s="5">
        <v>143</v>
      </c>
      <c r="AB147" s="5">
        <f>求节点(T$6:T$44,$C$67:$C$105,$AA147)</f>
        <v>0</v>
      </c>
      <c r="AC147" s="5">
        <f>求节点(U$6:U$44,$C$67:$C$105,$AA147)</f>
        <v>0</v>
      </c>
      <c r="AD147" s="5">
        <f>求节点(V$6:V$44,$C$67:$C$105,$AA147)</f>
        <v>0</v>
      </c>
      <c r="AE147" s="5">
        <f>求节点(W$6:W$44,$C$67:$C$105,$AA147)</f>
        <v>0</v>
      </c>
      <c r="AF147" s="5">
        <f>求节点(X$6:X$44,$C$67:$C$105,$AA147)</f>
        <v>0</v>
      </c>
      <c r="AG147" s="5">
        <f>求节点(T$6:T$44,$D$67:$D$105,$AA147)+求节点(T$67:T$105,$Q$67:$Q$105,$AA147)</f>
        <v>102728760</v>
      </c>
      <c r="AH147" s="5">
        <f>求节点(U$6:U$44,$D$67:$D$105,$AA147)+求节点(U$67:U$105,$Q$67:$Q$105,$AA147)</f>
        <v>102728760</v>
      </c>
      <c r="AI147" s="5">
        <f>求节点(V$6:V$44,$D$67:$D$105,$AA147)+求节点(V$67:V$105,$Q$67:$Q$105,$AA147)</f>
        <v>102728760</v>
      </c>
      <c r="AJ147" s="5">
        <f>求节点(W$6:W$44,$D$67:$D$105,$AA147)+求节点(W$67:W$105,$Q$67:$Q$105,$AA147)</f>
        <v>102728760</v>
      </c>
      <c r="AK147" s="5">
        <f>求节点(X$6:X$44,$D$67:$D$105,$AA147)+求节点(X$67:X$105,$Q$67:$Q$105,$AA147)</f>
        <v>102728760</v>
      </c>
      <c r="AL147" s="5">
        <f>求节点(T$6:T$44,$F$67:$F$105,$AA147)+求节点(T$67:T$105,$P$67:$P$105,$AA147)</f>
        <v>1848000</v>
      </c>
      <c r="AM147" s="5">
        <f>求节点(U$6:U$44,$F$67:$F$105,$AA147)+求节点(U$67:U$105,$P$67:$P$105,$AA147)</f>
        <v>1848000</v>
      </c>
      <c r="AN147" s="5">
        <f>求节点(V$6:V$44,$F$67:$F$105,$AA147)+求节点(V$67:V$105,$P$67:$P$105,$AA147)</f>
        <v>1848000</v>
      </c>
      <c r="AO147" s="5">
        <f>求节点(W$6:W$44,$F$67:$F$105,$AA147)+求节点(W$67:W$105,$P$67:$P$105,$AA147)</f>
        <v>1848000</v>
      </c>
      <c r="AP147" s="5">
        <f>求节点(X$6:X$44,$F$67:$F$105,$AA147)+求节点(X$67:X$105,$P$67:$P$105,$AA147)</f>
        <v>1848000</v>
      </c>
      <c r="AQ147" s="5">
        <f>求节点(T$6:T$44,$H$67:$H$105,$AA147)</f>
        <v>963600</v>
      </c>
      <c r="AR147" s="5">
        <f>求节点(U$6:U$44,$H$67:$H$105,$AA147)</f>
        <v>963600</v>
      </c>
      <c r="AS147" s="5">
        <f>求节点(V$6:V$44,$H$67:$H$105,$AA147)</f>
        <v>963600</v>
      </c>
      <c r="AT147" s="5">
        <f>求节点(W$6:W$44,$H$67:$H$105,$AA147)</f>
        <v>963600</v>
      </c>
      <c r="AU147" s="5">
        <f>求节点(X$6:X$44,$H$67:$H$105,$AA147)</f>
        <v>963600</v>
      </c>
      <c r="AV147" s="5">
        <f>求节点(T$6:T$44,$I$67:$I$105,$AA147)</f>
        <v>25320000</v>
      </c>
      <c r="AW147" s="5">
        <f>求节点(U$6:U$44,$I$67:$I$105,$AA147)</f>
        <v>25320000</v>
      </c>
      <c r="AX147" s="5">
        <f>求节点(V$6:V$44,$I$67:$I$105,$AA147)</f>
        <v>25320000</v>
      </c>
      <c r="AY147" s="5">
        <f>求节点(W$6:W$44,$I$67:$I$105,$AA147)</f>
        <v>25320000</v>
      </c>
      <c r="AZ147" s="5">
        <f>求节点(X$6:X$44,$I$67:$I$105,$AA147)</f>
        <v>25320000</v>
      </c>
      <c r="BA147" s="5">
        <f>求节点(T$6:T$44,$E$67:$E$105,$AA147)+求节点(T$6:T$44,$K$67:$K$105,$AA147)+求节点(T$67:T$105,$O$67:$O$105,$AA147)</f>
        <v>8112</v>
      </c>
      <c r="BB147" s="5">
        <f>求节点(U$6:U$44,$E$67:$E$105,$AA147)+求节点(U$6:U$44,$K$67:$K$105,$AA147)+求节点(U$67:U$105,$O$67:$O$105,$AA147)</f>
        <v>8112</v>
      </c>
      <c r="BC147" s="5">
        <f>求节点(V$6:V$44,$E$67:$E$105,$AA147)+求节点(V$6:V$44,$K$67:$K$105,$AA147)+求节点(V$67:V$105,$O$67:$O$105,$AA147)</f>
        <v>8112</v>
      </c>
      <c r="BD147" s="5">
        <f>求节点(W$6:W$44,$E$67:$E$105,$AA147)+求节点(W$6:W$44,$K$67:$K$105,$AA147)+求节点(W$67:W$105,$O$67:$O$105,$AA147)</f>
        <v>8112</v>
      </c>
      <c r="BE147" s="5">
        <f>求节点(X$6:X$44,$E$67:$E$105,$AA147)+求节点(X$6:X$44,$K$67:$K$105,$AA147)+求节点(X$67:X$105,$O$67:$O$105,$AA147)</f>
        <v>8112</v>
      </c>
      <c r="BF147" s="5">
        <f>求节点(T$6:T$44,$G$67:$G$105,$AA147)</f>
        <v>0</v>
      </c>
      <c r="BG147" s="5">
        <f>求节点(U$6:U$44,$G$67:$G$105,$AA147)</f>
        <v>0</v>
      </c>
      <c r="BH147" s="5">
        <f>求节点(V$6:V$44,$G$67:$G$105,$AA147)</f>
        <v>0</v>
      </c>
      <c r="BI147" s="5">
        <f>求节点(W$6:W$44,$G$67:$G$105,$AA147)</f>
        <v>0</v>
      </c>
      <c r="BJ147" s="5">
        <f>求节点(X$6:X$44,$G$67:$G$105,$AA147)</f>
        <v>0</v>
      </c>
      <c r="BK147" s="5">
        <f>求节点(T$6:T$44,$M$67:$M$105,$AA147)</f>
        <v>78</v>
      </c>
      <c r="BL147" s="5">
        <f>求节点(U$6:U$44,$M$67:$M$105,$AA147)</f>
        <v>78</v>
      </c>
      <c r="BM147" s="5">
        <f>求节点(V$6:V$44,$M$67:$M$105,$AA147)</f>
        <v>78</v>
      </c>
      <c r="BN147" s="5">
        <f>求节点(W$6:W$44,$M$67:$M$105,$AA147)</f>
        <v>78</v>
      </c>
      <c r="BO147" s="5">
        <f>求节点(X$6:X$44,$M$67:$M$105,$AA147)</f>
        <v>78</v>
      </c>
      <c r="BP147" s="5">
        <f>求节点(T$67:T$105,$L$67:$L$105,$AA147)</f>
        <v>0</v>
      </c>
      <c r="BQ147" s="5">
        <f>求节点(U$67:U$105,$L$67:$L$105,$AA147)</f>
        <v>0</v>
      </c>
      <c r="BR147" s="5">
        <f>求节点(V$67:V$105,$L$67:$L$105,$AA147)</f>
        <v>0</v>
      </c>
      <c r="BS147" s="5">
        <f>求节点(W$67:W$105,$L$67:$L$105,$AA147)</f>
        <v>0</v>
      </c>
      <c r="BT147" s="5">
        <f>求节点(X$67:X$105,$L$67:$L$105,$AA147)</f>
        <v>0</v>
      </c>
      <c r="BZ147" s="5">
        <v>143</v>
      </c>
      <c r="CA147" s="5">
        <f t="shared" si="81"/>
        <v>8112</v>
      </c>
      <c r="CB147" s="5">
        <f t="shared" si="82"/>
        <v>8112</v>
      </c>
      <c r="CC147" s="5">
        <f t="shared" si="83"/>
        <v>8112</v>
      </c>
      <c r="CD147" s="5">
        <f t="shared" si="84"/>
        <v>8112</v>
      </c>
      <c r="CE147" s="5">
        <f t="shared" si="85"/>
        <v>8112</v>
      </c>
      <c r="CF147" s="5">
        <f>(CA147-CA146)/节奏总纲!W146</f>
        <v>0</v>
      </c>
      <c r="CI147" s="5">
        <v>143</v>
      </c>
      <c r="CJ147" s="5">
        <f t="shared" si="86"/>
        <v>18720</v>
      </c>
      <c r="CK147" s="5">
        <f t="shared" si="87"/>
        <v>18720</v>
      </c>
      <c r="CL147" s="5">
        <f t="shared" si="88"/>
        <v>18720</v>
      </c>
      <c r="CM147" s="5">
        <f t="shared" si="89"/>
        <v>18720</v>
      </c>
      <c r="CN147" s="5">
        <f t="shared" si="90"/>
        <v>18720</v>
      </c>
      <c r="CO147" s="5">
        <f>(CJ147-CJ146)/节奏总纲!W146</f>
        <v>0</v>
      </c>
      <c r="CP147" s="5">
        <f t="shared" si="91"/>
        <v>0</v>
      </c>
      <c r="CR147" s="5">
        <v>143</v>
      </c>
      <c r="CS147" s="5">
        <f t="shared" si="92"/>
        <v>0</v>
      </c>
      <c r="CT147" s="5">
        <f t="shared" si="93"/>
        <v>0</v>
      </c>
      <c r="CU147" s="5">
        <f t="shared" si="94"/>
        <v>0</v>
      </c>
      <c r="CV147" s="5">
        <f t="shared" si="95"/>
        <v>0</v>
      </c>
      <c r="CW147" s="5">
        <f t="shared" si="96"/>
        <v>0</v>
      </c>
      <c r="CX147" s="5">
        <f t="shared" si="97"/>
        <v>0</v>
      </c>
      <c r="CY147" s="5">
        <f t="shared" si="98"/>
        <v>0</v>
      </c>
      <c r="CZ147" s="5">
        <f t="shared" si="99"/>
        <v>0</v>
      </c>
      <c r="DA147" s="5">
        <f t="shared" si="100"/>
        <v>0</v>
      </c>
      <c r="DB147" s="5">
        <f t="shared" si="101"/>
        <v>0</v>
      </c>
    </row>
    <row r="148" spans="27:106" x14ac:dyDescent="0.15">
      <c r="AA148" s="5">
        <v>144</v>
      </c>
      <c r="AB148" s="5">
        <f>求节点(T$6:T$44,$C$67:$C$105,$AA148)</f>
        <v>0</v>
      </c>
      <c r="AC148" s="5">
        <f>求节点(U$6:U$44,$C$67:$C$105,$AA148)</f>
        <v>0</v>
      </c>
      <c r="AD148" s="5">
        <f>求节点(V$6:V$44,$C$67:$C$105,$AA148)</f>
        <v>0</v>
      </c>
      <c r="AE148" s="5">
        <f>求节点(W$6:W$44,$C$67:$C$105,$AA148)</f>
        <v>0</v>
      </c>
      <c r="AF148" s="5">
        <f>求节点(X$6:X$44,$C$67:$C$105,$AA148)</f>
        <v>0</v>
      </c>
      <c r="AG148" s="5">
        <f>求节点(T$6:T$44,$D$67:$D$105,$AA148)+求节点(T$67:T$105,$Q$67:$Q$105,$AA148)</f>
        <v>102728760</v>
      </c>
      <c r="AH148" s="5">
        <f>求节点(U$6:U$44,$D$67:$D$105,$AA148)+求节点(U$67:U$105,$Q$67:$Q$105,$AA148)</f>
        <v>102728760</v>
      </c>
      <c r="AI148" s="5">
        <f>求节点(V$6:V$44,$D$67:$D$105,$AA148)+求节点(V$67:V$105,$Q$67:$Q$105,$AA148)</f>
        <v>102728760</v>
      </c>
      <c r="AJ148" s="5">
        <f>求节点(W$6:W$44,$D$67:$D$105,$AA148)+求节点(W$67:W$105,$Q$67:$Q$105,$AA148)</f>
        <v>102728760</v>
      </c>
      <c r="AK148" s="5">
        <f>求节点(X$6:X$44,$D$67:$D$105,$AA148)+求节点(X$67:X$105,$Q$67:$Q$105,$AA148)</f>
        <v>102728760</v>
      </c>
      <c r="AL148" s="5">
        <f>求节点(T$6:T$44,$F$67:$F$105,$AA148)+求节点(T$67:T$105,$P$67:$P$105,$AA148)</f>
        <v>1848000</v>
      </c>
      <c r="AM148" s="5">
        <f>求节点(U$6:U$44,$F$67:$F$105,$AA148)+求节点(U$67:U$105,$P$67:$P$105,$AA148)</f>
        <v>1848000</v>
      </c>
      <c r="AN148" s="5">
        <f>求节点(V$6:V$44,$F$67:$F$105,$AA148)+求节点(V$67:V$105,$P$67:$P$105,$AA148)</f>
        <v>1848000</v>
      </c>
      <c r="AO148" s="5">
        <f>求节点(W$6:W$44,$F$67:$F$105,$AA148)+求节点(W$67:W$105,$P$67:$P$105,$AA148)</f>
        <v>1848000</v>
      </c>
      <c r="AP148" s="5">
        <f>求节点(X$6:X$44,$F$67:$F$105,$AA148)+求节点(X$67:X$105,$P$67:$P$105,$AA148)</f>
        <v>1848000</v>
      </c>
      <c r="AQ148" s="5">
        <f>求节点(T$6:T$44,$H$67:$H$105,$AA148)</f>
        <v>963600</v>
      </c>
      <c r="AR148" s="5">
        <f>求节点(U$6:U$44,$H$67:$H$105,$AA148)</f>
        <v>963600</v>
      </c>
      <c r="AS148" s="5">
        <f>求节点(V$6:V$44,$H$67:$H$105,$AA148)</f>
        <v>963600</v>
      </c>
      <c r="AT148" s="5">
        <f>求节点(W$6:W$44,$H$67:$H$105,$AA148)</f>
        <v>963600</v>
      </c>
      <c r="AU148" s="5">
        <f>求节点(X$6:X$44,$H$67:$H$105,$AA148)</f>
        <v>963600</v>
      </c>
      <c r="AV148" s="5">
        <f>求节点(T$6:T$44,$I$67:$I$105,$AA148)</f>
        <v>25320000</v>
      </c>
      <c r="AW148" s="5">
        <f>求节点(U$6:U$44,$I$67:$I$105,$AA148)</f>
        <v>25320000</v>
      </c>
      <c r="AX148" s="5">
        <f>求节点(V$6:V$44,$I$67:$I$105,$AA148)</f>
        <v>25320000</v>
      </c>
      <c r="AY148" s="5">
        <f>求节点(W$6:W$44,$I$67:$I$105,$AA148)</f>
        <v>25320000</v>
      </c>
      <c r="AZ148" s="5">
        <f>求节点(X$6:X$44,$I$67:$I$105,$AA148)</f>
        <v>25320000</v>
      </c>
      <c r="BA148" s="5">
        <f>求节点(T$6:T$44,$E$67:$E$105,$AA148)+求节点(T$6:T$44,$K$67:$K$105,$AA148)+求节点(T$67:T$105,$O$67:$O$105,$AA148)</f>
        <v>8112</v>
      </c>
      <c r="BB148" s="5">
        <f>求节点(U$6:U$44,$E$67:$E$105,$AA148)+求节点(U$6:U$44,$K$67:$K$105,$AA148)+求节点(U$67:U$105,$O$67:$O$105,$AA148)</f>
        <v>8112</v>
      </c>
      <c r="BC148" s="5">
        <f>求节点(V$6:V$44,$E$67:$E$105,$AA148)+求节点(V$6:V$44,$K$67:$K$105,$AA148)+求节点(V$67:V$105,$O$67:$O$105,$AA148)</f>
        <v>8112</v>
      </c>
      <c r="BD148" s="5">
        <f>求节点(W$6:W$44,$E$67:$E$105,$AA148)+求节点(W$6:W$44,$K$67:$K$105,$AA148)+求节点(W$67:W$105,$O$67:$O$105,$AA148)</f>
        <v>8112</v>
      </c>
      <c r="BE148" s="5">
        <f>求节点(X$6:X$44,$E$67:$E$105,$AA148)+求节点(X$6:X$44,$K$67:$K$105,$AA148)+求节点(X$67:X$105,$O$67:$O$105,$AA148)</f>
        <v>8112</v>
      </c>
      <c r="BF148" s="5">
        <f>求节点(T$6:T$44,$G$67:$G$105,$AA148)</f>
        <v>0</v>
      </c>
      <c r="BG148" s="5">
        <f>求节点(U$6:U$44,$G$67:$G$105,$AA148)</f>
        <v>0</v>
      </c>
      <c r="BH148" s="5">
        <f>求节点(V$6:V$44,$G$67:$G$105,$AA148)</f>
        <v>0</v>
      </c>
      <c r="BI148" s="5">
        <f>求节点(W$6:W$44,$G$67:$G$105,$AA148)</f>
        <v>0</v>
      </c>
      <c r="BJ148" s="5">
        <f>求节点(X$6:X$44,$G$67:$G$105,$AA148)</f>
        <v>0</v>
      </c>
      <c r="BK148" s="5">
        <f>求节点(T$6:T$44,$M$67:$M$105,$AA148)</f>
        <v>78</v>
      </c>
      <c r="BL148" s="5">
        <f>求节点(U$6:U$44,$M$67:$M$105,$AA148)</f>
        <v>78</v>
      </c>
      <c r="BM148" s="5">
        <f>求节点(V$6:V$44,$M$67:$M$105,$AA148)</f>
        <v>78</v>
      </c>
      <c r="BN148" s="5">
        <f>求节点(W$6:W$44,$M$67:$M$105,$AA148)</f>
        <v>78</v>
      </c>
      <c r="BO148" s="5">
        <f>求节点(X$6:X$44,$M$67:$M$105,$AA148)</f>
        <v>78</v>
      </c>
      <c r="BP148" s="5">
        <f>求节点(T$67:T$105,$L$67:$L$105,$AA148)</f>
        <v>0</v>
      </c>
      <c r="BQ148" s="5">
        <f>求节点(U$67:U$105,$L$67:$L$105,$AA148)</f>
        <v>0</v>
      </c>
      <c r="BR148" s="5">
        <f>求节点(V$67:V$105,$L$67:$L$105,$AA148)</f>
        <v>0</v>
      </c>
      <c r="BS148" s="5">
        <f>求节点(W$67:W$105,$L$67:$L$105,$AA148)</f>
        <v>0</v>
      </c>
      <c r="BT148" s="5">
        <f>求节点(X$67:X$105,$L$67:$L$105,$AA148)</f>
        <v>0</v>
      </c>
      <c r="BZ148" s="5">
        <v>144</v>
      </c>
      <c r="CA148" s="5">
        <f t="shared" si="81"/>
        <v>8112</v>
      </c>
      <c r="CB148" s="5">
        <f t="shared" si="82"/>
        <v>8112</v>
      </c>
      <c r="CC148" s="5">
        <f t="shared" si="83"/>
        <v>8112</v>
      </c>
      <c r="CD148" s="5">
        <f t="shared" si="84"/>
        <v>8112</v>
      </c>
      <c r="CE148" s="5">
        <f t="shared" si="85"/>
        <v>8112</v>
      </c>
      <c r="CF148" s="5">
        <f>(CA148-CA147)/节奏总纲!W147</f>
        <v>0</v>
      </c>
      <c r="CI148" s="5">
        <v>144</v>
      </c>
      <c r="CJ148" s="5">
        <f t="shared" si="86"/>
        <v>18720</v>
      </c>
      <c r="CK148" s="5">
        <f t="shared" si="87"/>
        <v>18720</v>
      </c>
      <c r="CL148" s="5">
        <f t="shared" si="88"/>
        <v>18720</v>
      </c>
      <c r="CM148" s="5">
        <f t="shared" si="89"/>
        <v>18720</v>
      </c>
      <c r="CN148" s="5">
        <f t="shared" si="90"/>
        <v>18720</v>
      </c>
      <c r="CO148" s="5">
        <f>(CJ148-CJ147)/节奏总纲!W147</f>
        <v>0</v>
      </c>
      <c r="CP148" s="5">
        <f t="shared" si="91"/>
        <v>0</v>
      </c>
      <c r="CR148" s="5">
        <v>144</v>
      </c>
      <c r="CS148" s="5">
        <f t="shared" si="92"/>
        <v>0</v>
      </c>
      <c r="CT148" s="5">
        <f t="shared" si="93"/>
        <v>0</v>
      </c>
      <c r="CU148" s="5">
        <f t="shared" si="94"/>
        <v>0</v>
      </c>
      <c r="CV148" s="5">
        <f t="shared" si="95"/>
        <v>0</v>
      </c>
      <c r="CW148" s="5">
        <f t="shared" si="96"/>
        <v>0</v>
      </c>
      <c r="CX148" s="5">
        <f t="shared" si="97"/>
        <v>0</v>
      </c>
      <c r="CY148" s="5">
        <f t="shared" si="98"/>
        <v>0</v>
      </c>
      <c r="CZ148" s="5">
        <f t="shared" si="99"/>
        <v>0</v>
      </c>
      <c r="DA148" s="5">
        <f t="shared" si="100"/>
        <v>0</v>
      </c>
      <c r="DB148" s="5">
        <f t="shared" si="101"/>
        <v>0</v>
      </c>
    </row>
    <row r="149" spans="27:106" x14ac:dyDescent="0.15">
      <c r="AA149" s="5">
        <v>145</v>
      </c>
      <c r="AB149" s="5">
        <f>求节点(T$6:T$44,$C$67:$C$105,$AA149)</f>
        <v>0</v>
      </c>
      <c r="AC149" s="5">
        <f>求节点(U$6:U$44,$C$67:$C$105,$AA149)</f>
        <v>0</v>
      </c>
      <c r="AD149" s="5">
        <f>求节点(V$6:V$44,$C$67:$C$105,$AA149)</f>
        <v>0</v>
      </c>
      <c r="AE149" s="5">
        <f>求节点(W$6:W$44,$C$67:$C$105,$AA149)</f>
        <v>0</v>
      </c>
      <c r="AF149" s="5">
        <f>求节点(X$6:X$44,$C$67:$C$105,$AA149)</f>
        <v>0</v>
      </c>
      <c r="AG149" s="5">
        <f>求节点(T$6:T$44,$D$67:$D$105,$AA149)+求节点(T$67:T$105,$Q$67:$Q$105,$AA149)</f>
        <v>102728760</v>
      </c>
      <c r="AH149" s="5">
        <f>求节点(U$6:U$44,$D$67:$D$105,$AA149)+求节点(U$67:U$105,$Q$67:$Q$105,$AA149)</f>
        <v>102728760</v>
      </c>
      <c r="AI149" s="5">
        <f>求节点(V$6:V$44,$D$67:$D$105,$AA149)+求节点(V$67:V$105,$Q$67:$Q$105,$AA149)</f>
        <v>102728760</v>
      </c>
      <c r="AJ149" s="5">
        <f>求节点(W$6:W$44,$D$67:$D$105,$AA149)+求节点(W$67:W$105,$Q$67:$Q$105,$AA149)</f>
        <v>102728760</v>
      </c>
      <c r="AK149" s="5">
        <f>求节点(X$6:X$44,$D$67:$D$105,$AA149)+求节点(X$67:X$105,$Q$67:$Q$105,$AA149)</f>
        <v>102728760</v>
      </c>
      <c r="AL149" s="5">
        <f>求节点(T$6:T$44,$F$67:$F$105,$AA149)+求节点(T$67:T$105,$P$67:$P$105,$AA149)</f>
        <v>1848000</v>
      </c>
      <c r="AM149" s="5">
        <f>求节点(U$6:U$44,$F$67:$F$105,$AA149)+求节点(U$67:U$105,$P$67:$P$105,$AA149)</f>
        <v>1848000</v>
      </c>
      <c r="AN149" s="5">
        <f>求节点(V$6:V$44,$F$67:$F$105,$AA149)+求节点(V$67:V$105,$P$67:$P$105,$AA149)</f>
        <v>1848000</v>
      </c>
      <c r="AO149" s="5">
        <f>求节点(W$6:W$44,$F$67:$F$105,$AA149)+求节点(W$67:W$105,$P$67:$P$105,$AA149)</f>
        <v>1848000</v>
      </c>
      <c r="AP149" s="5">
        <f>求节点(X$6:X$44,$F$67:$F$105,$AA149)+求节点(X$67:X$105,$P$67:$P$105,$AA149)</f>
        <v>1848000</v>
      </c>
      <c r="AQ149" s="5">
        <f>求节点(T$6:T$44,$H$67:$H$105,$AA149)</f>
        <v>963600</v>
      </c>
      <c r="AR149" s="5">
        <f>求节点(U$6:U$44,$H$67:$H$105,$AA149)</f>
        <v>963600</v>
      </c>
      <c r="AS149" s="5">
        <f>求节点(V$6:V$44,$H$67:$H$105,$AA149)</f>
        <v>963600</v>
      </c>
      <c r="AT149" s="5">
        <f>求节点(W$6:W$44,$H$67:$H$105,$AA149)</f>
        <v>963600</v>
      </c>
      <c r="AU149" s="5">
        <f>求节点(X$6:X$44,$H$67:$H$105,$AA149)</f>
        <v>963600</v>
      </c>
      <c r="AV149" s="5">
        <f>求节点(T$6:T$44,$I$67:$I$105,$AA149)</f>
        <v>25320000</v>
      </c>
      <c r="AW149" s="5">
        <f>求节点(U$6:U$44,$I$67:$I$105,$AA149)</f>
        <v>25320000</v>
      </c>
      <c r="AX149" s="5">
        <f>求节点(V$6:V$44,$I$67:$I$105,$AA149)</f>
        <v>25320000</v>
      </c>
      <c r="AY149" s="5">
        <f>求节点(W$6:W$44,$I$67:$I$105,$AA149)</f>
        <v>25320000</v>
      </c>
      <c r="AZ149" s="5">
        <f>求节点(X$6:X$44,$I$67:$I$105,$AA149)</f>
        <v>25320000</v>
      </c>
      <c r="BA149" s="5">
        <f>求节点(T$6:T$44,$E$67:$E$105,$AA149)+求节点(T$6:T$44,$K$67:$K$105,$AA149)+求节点(T$67:T$105,$O$67:$O$105,$AA149)</f>
        <v>8112</v>
      </c>
      <c r="BB149" s="5">
        <f>求节点(U$6:U$44,$E$67:$E$105,$AA149)+求节点(U$6:U$44,$K$67:$K$105,$AA149)+求节点(U$67:U$105,$O$67:$O$105,$AA149)</f>
        <v>8112</v>
      </c>
      <c r="BC149" s="5">
        <f>求节点(V$6:V$44,$E$67:$E$105,$AA149)+求节点(V$6:V$44,$K$67:$K$105,$AA149)+求节点(V$67:V$105,$O$67:$O$105,$AA149)</f>
        <v>8112</v>
      </c>
      <c r="BD149" s="5">
        <f>求节点(W$6:W$44,$E$67:$E$105,$AA149)+求节点(W$6:W$44,$K$67:$K$105,$AA149)+求节点(W$67:W$105,$O$67:$O$105,$AA149)</f>
        <v>8112</v>
      </c>
      <c r="BE149" s="5">
        <f>求节点(X$6:X$44,$E$67:$E$105,$AA149)+求节点(X$6:X$44,$K$67:$K$105,$AA149)+求节点(X$67:X$105,$O$67:$O$105,$AA149)</f>
        <v>8112</v>
      </c>
      <c r="BF149" s="5">
        <f>求节点(T$6:T$44,$G$67:$G$105,$AA149)</f>
        <v>0</v>
      </c>
      <c r="BG149" s="5">
        <f>求节点(U$6:U$44,$G$67:$G$105,$AA149)</f>
        <v>0</v>
      </c>
      <c r="BH149" s="5">
        <f>求节点(V$6:V$44,$G$67:$G$105,$AA149)</f>
        <v>0</v>
      </c>
      <c r="BI149" s="5">
        <f>求节点(W$6:W$44,$G$67:$G$105,$AA149)</f>
        <v>0</v>
      </c>
      <c r="BJ149" s="5">
        <f>求节点(X$6:X$44,$G$67:$G$105,$AA149)</f>
        <v>0</v>
      </c>
      <c r="BK149" s="5">
        <f>求节点(T$6:T$44,$M$67:$M$105,$AA149)</f>
        <v>78</v>
      </c>
      <c r="BL149" s="5">
        <f>求节点(U$6:U$44,$M$67:$M$105,$AA149)</f>
        <v>78</v>
      </c>
      <c r="BM149" s="5">
        <f>求节点(V$6:V$44,$M$67:$M$105,$AA149)</f>
        <v>78</v>
      </c>
      <c r="BN149" s="5">
        <f>求节点(W$6:W$44,$M$67:$M$105,$AA149)</f>
        <v>78</v>
      </c>
      <c r="BO149" s="5">
        <f>求节点(X$6:X$44,$M$67:$M$105,$AA149)</f>
        <v>78</v>
      </c>
      <c r="BP149" s="5">
        <f>求节点(T$67:T$105,$L$67:$L$105,$AA149)</f>
        <v>0</v>
      </c>
      <c r="BQ149" s="5">
        <f>求节点(U$67:U$105,$L$67:$L$105,$AA149)</f>
        <v>0</v>
      </c>
      <c r="BR149" s="5">
        <f>求节点(V$67:V$105,$L$67:$L$105,$AA149)</f>
        <v>0</v>
      </c>
      <c r="BS149" s="5">
        <f>求节点(W$67:W$105,$L$67:$L$105,$AA149)</f>
        <v>0</v>
      </c>
      <c r="BT149" s="5">
        <f>求节点(X$67:X$105,$L$67:$L$105,$AA149)</f>
        <v>0</v>
      </c>
      <c r="BZ149" s="5">
        <v>145</v>
      </c>
      <c r="CA149" s="5">
        <f t="shared" si="81"/>
        <v>8112</v>
      </c>
      <c r="CB149" s="5">
        <f t="shared" si="82"/>
        <v>8112</v>
      </c>
      <c r="CC149" s="5">
        <f t="shared" si="83"/>
        <v>8112</v>
      </c>
      <c r="CD149" s="5">
        <f t="shared" si="84"/>
        <v>8112</v>
      </c>
      <c r="CE149" s="5">
        <f t="shared" si="85"/>
        <v>8112</v>
      </c>
      <c r="CF149" s="5">
        <f>(CA149-CA148)/节奏总纲!W148</f>
        <v>0</v>
      </c>
      <c r="CI149" s="5">
        <v>145</v>
      </c>
      <c r="CJ149" s="5">
        <f t="shared" si="86"/>
        <v>18720</v>
      </c>
      <c r="CK149" s="5">
        <f t="shared" si="87"/>
        <v>18720</v>
      </c>
      <c r="CL149" s="5">
        <f t="shared" si="88"/>
        <v>18720</v>
      </c>
      <c r="CM149" s="5">
        <f t="shared" si="89"/>
        <v>18720</v>
      </c>
      <c r="CN149" s="5">
        <f t="shared" si="90"/>
        <v>18720</v>
      </c>
      <c r="CO149" s="5">
        <f>(CJ149-CJ148)/节奏总纲!W148</f>
        <v>0</v>
      </c>
      <c r="CP149" s="5">
        <f t="shared" si="91"/>
        <v>0</v>
      </c>
      <c r="CR149" s="5">
        <v>145</v>
      </c>
      <c r="CS149" s="5">
        <f t="shared" si="92"/>
        <v>0</v>
      </c>
      <c r="CT149" s="5">
        <f t="shared" si="93"/>
        <v>0</v>
      </c>
      <c r="CU149" s="5">
        <f t="shared" si="94"/>
        <v>0</v>
      </c>
      <c r="CV149" s="5">
        <f t="shared" si="95"/>
        <v>0</v>
      </c>
      <c r="CW149" s="5">
        <f t="shared" si="96"/>
        <v>0</v>
      </c>
      <c r="CX149" s="5">
        <f t="shared" si="97"/>
        <v>0</v>
      </c>
      <c r="CY149" s="5">
        <f t="shared" si="98"/>
        <v>0</v>
      </c>
      <c r="CZ149" s="5">
        <f t="shared" si="99"/>
        <v>0</v>
      </c>
      <c r="DA149" s="5">
        <f t="shared" si="100"/>
        <v>0</v>
      </c>
      <c r="DB149" s="5">
        <f t="shared" si="101"/>
        <v>0</v>
      </c>
    </row>
    <row r="150" spans="27:106" x14ac:dyDescent="0.15">
      <c r="AA150" s="5">
        <v>146</v>
      </c>
      <c r="AB150" s="5">
        <f>求节点(T$6:T$44,$C$67:$C$105,$AA150)</f>
        <v>0</v>
      </c>
      <c r="AC150" s="5">
        <f>求节点(U$6:U$44,$C$67:$C$105,$AA150)</f>
        <v>0</v>
      </c>
      <c r="AD150" s="5">
        <f>求节点(V$6:V$44,$C$67:$C$105,$AA150)</f>
        <v>0</v>
      </c>
      <c r="AE150" s="5">
        <f>求节点(W$6:W$44,$C$67:$C$105,$AA150)</f>
        <v>0</v>
      </c>
      <c r="AF150" s="5">
        <f>求节点(X$6:X$44,$C$67:$C$105,$AA150)</f>
        <v>0</v>
      </c>
      <c r="AG150" s="5">
        <f>求节点(T$6:T$44,$D$67:$D$105,$AA150)+求节点(T$67:T$105,$Q$67:$Q$105,$AA150)</f>
        <v>102728760</v>
      </c>
      <c r="AH150" s="5">
        <f>求节点(U$6:U$44,$D$67:$D$105,$AA150)+求节点(U$67:U$105,$Q$67:$Q$105,$AA150)</f>
        <v>102728760</v>
      </c>
      <c r="AI150" s="5">
        <f>求节点(V$6:V$44,$D$67:$D$105,$AA150)+求节点(V$67:V$105,$Q$67:$Q$105,$AA150)</f>
        <v>102728760</v>
      </c>
      <c r="AJ150" s="5">
        <f>求节点(W$6:W$44,$D$67:$D$105,$AA150)+求节点(W$67:W$105,$Q$67:$Q$105,$AA150)</f>
        <v>102728760</v>
      </c>
      <c r="AK150" s="5">
        <f>求节点(X$6:X$44,$D$67:$D$105,$AA150)+求节点(X$67:X$105,$Q$67:$Q$105,$AA150)</f>
        <v>102728760</v>
      </c>
      <c r="AL150" s="5">
        <f>求节点(T$6:T$44,$F$67:$F$105,$AA150)+求节点(T$67:T$105,$P$67:$P$105,$AA150)</f>
        <v>1848000</v>
      </c>
      <c r="AM150" s="5">
        <f>求节点(U$6:U$44,$F$67:$F$105,$AA150)+求节点(U$67:U$105,$P$67:$P$105,$AA150)</f>
        <v>1848000</v>
      </c>
      <c r="AN150" s="5">
        <f>求节点(V$6:V$44,$F$67:$F$105,$AA150)+求节点(V$67:V$105,$P$67:$P$105,$AA150)</f>
        <v>1848000</v>
      </c>
      <c r="AO150" s="5">
        <f>求节点(W$6:W$44,$F$67:$F$105,$AA150)+求节点(W$67:W$105,$P$67:$P$105,$AA150)</f>
        <v>1848000</v>
      </c>
      <c r="AP150" s="5">
        <f>求节点(X$6:X$44,$F$67:$F$105,$AA150)+求节点(X$67:X$105,$P$67:$P$105,$AA150)</f>
        <v>1848000</v>
      </c>
      <c r="AQ150" s="5">
        <f>求节点(T$6:T$44,$H$67:$H$105,$AA150)</f>
        <v>963600</v>
      </c>
      <c r="AR150" s="5">
        <f>求节点(U$6:U$44,$H$67:$H$105,$AA150)</f>
        <v>963600</v>
      </c>
      <c r="AS150" s="5">
        <f>求节点(V$6:V$44,$H$67:$H$105,$AA150)</f>
        <v>963600</v>
      </c>
      <c r="AT150" s="5">
        <f>求节点(W$6:W$44,$H$67:$H$105,$AA150)</f>
        <v>963600</v>
      </c>
      <c r="AU150" s="5">
        <f>求节点(X$6:X$44,$H$67:$H$105,$AA150)</f>
        <v>963600</v>
      </c>
      <c r="AV150" s="5">
        <f>求节点(T$6:T$44,$I$67:$I$105,$AA150)</f>
        <v>25320000</v>
      </c>
      <c r="AW150" s="5">
        <f>求节点(U$6:U$44,$I$67:$I$105,$AA150)</f>
        <v>25320000</v>
      </c>
      <c r="AX150" s="5">
        <f>求节点(V$6:V$44,$I$67:$I$105,$AA150)</f>
        <v>25320000</v>
      </c>
      <c r="AY150" s="5">
        <f>求节点(W$6:W$44,$I$67:$I$105,$AA150)</f>
        <v>25320000</v>
      </c>
      <c r="AZ150" s="5">
        <f>求节点(X$6:X$44,$I$67:$I$105,$AA150)</f>
        <v>25320000</v>
      </c>
      <c r="BA150" s="5">
        <f>求节点(T$6:T$44,$E$67:$E$105,$AA150)+求节点(T$6:T$44,$K$67:$K$105,$AA150)+求节点(T$67:T$105,$O$67:$O$105,$AA150)</f>
        <v>8112</v>
      </c>
      <c r="BB150" s="5">
        <f>求节点(U$6:U$44,$E$67:$E$105,$AA150)+求节点(U$6:U$44,$K$67:$K$105,$AA150)+求节点(U$67:U$105,$O$67:$O$105,$AA150)</f>
        <v>8112</v>
      </c>
      <c r="BC150" s="5">
        <f>求节点(V$6:V$44,$E$67:$E$105,$AA150)+求节点(V$6:V$44,$K$67:$K$105,$AA150)+求节点(V$67:V$105,$O$67:$O$105,$AA150)</f>
        <v>8112</v>
      </c>
      <c r="BD150" s="5">
        <f>求节点(W$6:W$44,$E$67:$E$105,$AA150)+求节点(W$6:W$44,$K$67:$K$105,$AA150)+求节点(W$67:W$105,$O$67:$O$105,$AA150)</f>
        <v>8112</v>
      </c>
      <c r="BE150" s="5">
        <f>求节点(X$6:X$44,$E$67:$E$105,$AA150)+求节点(X$6:X$44,$K$67:$K$105,$AA150)+求节点(X$67:X$105,$O$67:$O$105,$AA150)</f>
        <v>8112</v>
      </c>
      <c r="BF150" s="5">
        <f>求节点(T$6:T$44,$G$67:$G$105,$AA150)</f>
        <v>0</v>
      </c>
      <c r="BG150" s="5">
        <f>求节点(U$6:U$44,$G$67:$G$105,$AA150)</f>
        <v>0</v>
      </c>
      <c r="BH150" s="5">
        <f>求节点(V$6:V$44,$G$67:$G$105,$AA150)</f>
        <v>0</v>
      </c>
      <c r="BI150" s="5">
        <f>求节点(W$6:W$44,$G$67:$G$105,$AA150)</f>
        <v>0</v>
      </c>
      <c r="BJ150" s="5">
        <f>求节点(X$6:X$44,$G$67:$G$105,$AA150)</f>
        <v>0</v>
      </c>
      <c r="BK150" s="5">
        <f>求节点(T$6:T$44,$M$67:$M$105,$AA150)</f>
        <v>78</v>
      </c>
      <c r="BL150" s="5">
        <f>求节点(U$6:U$44,$M$67:$M$105,$AA150)</f>
        <v>78</v>
      </c>
      <c r="BM150" s="5">
        <f>求节点(V$6:V$44,$M$67:$M$105,$AA150)</f>
        <v>78</v>
      </c>
      <c r="BN150" s="5">
        <f>求节点(W$6:W$44,$M$67:$M$105,$AA150)</f>
        <v>78</v>
      </c>
      <c r="BO150" s="5">
        <f>求节点(X$6:X$44,$M$67:$M$105,$AA150)</f>
        <v>78</v>
      </c>
      <c r="BP150" s="5">
        <f>求节点(T$67:T$105,$L$67:$L$105,$AA150)</f>
        <v>0</v>
      </c>
      <c r="BQ150" s="5">
        <f>求节点(U$67:U$105,$L$67:$L$105,$AA150)</f>
        <v>0</v>
      </c>
      <c r="BR150" s="5">
        <f>求节点(V$67:V$105,$L$67:$L$105,$AA150)</f>
        <v>0</v>
      </c>
      <c r="BS150" s="5">
        <f>求节点(W$67:W$105,$L$67:$L$105,$AA150)</f>
        <v>0</v>
      </c>
      <c r="BT150" s="5">
        <f>求节点(X$67:X$105,$L$67:$L$105,$AA150)</f>
        <v>0</v>
      </c>
      <c r="BZ150" s="5">
        <v>146</v>
      </c>
      <c r="CA150" s="5">
        <f t="shared" si="81"/>
        <v>8112</v>
      </c>
      <c r="CB150" s="5">
        <f t="shared" si="82"/>
        <v>8112</v>
      </c>
      <c r="CC150" s="5">
        <f t="shared" si="83"/>
        <v>8112</v>
      </c>
      <c r="CD150" s="5">
        <f t="shared" si="84"/>
        <v>8112</v>
      </c>
      <c r="CE150" s="5">
        <f t="shared" si="85"/>
        <v>8112</v>
      </c>
      <c r="CF150" s="5">
        <f>(CA150-CA149)/节奏总纲!W149</f>
        <v>0</v>
      </c>
      <c r="CI150" s="5">
        <v>146</v>
      </c>
      <c r="CJ150" s="5">
        <f t="shared" si="86"/>
        <v>18720</v>
      </c>
      <c r="CK150" s="5">
        <f t="shared" si="87"/>
        <v>18720</v>
      </c>
      <c r="CL150" s="5">
        <f t="shared" si="88"/>
        <v>18720</v>
      </c>
      <c r="CM150" s="5">
        <f t="shared" si="89"/>
        <v>18720</v>
      </c>
      <c r="CN150" s="5">
        <f t="shared" si="90"/>
        <v>18720</v>
      </c>
      <c r="CO150" s="5">
        <f>(CJ150-CJ149)/节奏总纲!W149</f>
        <v>0</v>
      </c>
      <c r="CP150" s="5">
        <f t="shared" si="91"/>
        <v>0</v>
      </c>
      <c r="CR150" s="5">
        <v>146</v>
      </c>
      <c r="CS150" s="5">
        <f t="shared" si="92"/>
        <v>0</v>
      </c>
      <c r="CT150" s="5">
        <f t="shared" si="93"/>
        <v>0</v>
      </c>
      <c r="CU150" s="5">
        <f t="shared" si="94"/>
        <v>0</v>
      </c>
      <c r="CV150" s="5">
        <f t="shared" si="95"/>
        <v>0</v>
      </c>
      <c r="CW150" s="5">
        <f t="shared" si="96"/>
        <v>0</v>
      </c>
      <c r="CX150" s="5">
        <f t="shared" si="97"/>
        <v>0</v>
      </c>
      <c r="CY150" s="5">
        <f t="shared" si="98"/>
        <v>0</v>
      </c>
      <c r="CZ150" s="5">
        <f t="shared" si="99"/>
        <v>0</v>
      </c>
      <c r="DA150" s="5">
        <f t="shared" si="100"/>
        <v>0</v>
      </c>
      <c r="DB150" s="5">
        <f t="shared" si="101"/>
        <v>0</v>
      </c>
    </row>
    <row r="151" spans="27:106" x14ac:dyDescent="0.15">
      <c r="AA151" s="5">
        <v>147</v>
      </c>
      <c r="AB151" s="5">
        <f>求节点(T$6:T$44,$C$67:$C$105,$AA151)</f>
        <v>0</v>
      </c>
      <c r="AC151" s="5">
        <f>求节点(U$6:U$44,$C$67:$C$105,$AA151)</f>
        <v>0</v>
      </c>
      <c r="AD151" s="5">
        <f>求节点(V$6:V$44,$C$67:$C$105,$AA151)</f>
        <v>0</v>
      </c>
      <c r="AE151" s="5">
        <f>求节点(W$6:W$44,$C$67:$C$105,$AA151)</f>
        <v>0</v>
      </c>
      <c r="AF151" s="5">
        <f>求节点(X$6:X$44,$C$67:$C$105,$AA151)</f>
        <v>0</v>
      </c>
      <c r="AG151" s="5">
        <f>求节点(T$6:T$44,$D$67:$D$105,$AA151)+求节点(T$67:T$105,$Q$67:$Q$105,$AA151)</f>
        <v>102728760</v>
      </c>
      <c r="AH151" s="5">
        <f>求节点(U$6:U$44,$D$67:$D$105,$AA151)+求节点(U$67:U$105,$Q$67:$Q$105,$AA151)</f>
        <v>102728760</v>
      </c>
      <c r="AI151" s="5">
        <f>求节点(V$6:V$44,$D$67:$D$105,$AA151)+求节点(V$67:V$105,$Q$67:$Q$105,$AA151)</f>
        <v>102728760</v>
      </c>
      <c r="AJ151" s="5">
        <f>求节点(W$6:W$44,$D$67:$D$105,$AA151)+求节点(W$67:W$105,$Q$67:$Q$105,$AA151)</f>
        <v>102728760</v>
      </c>
      <c r="AK151" s="5">
        <f>求节点(X$6:X$44,$D$67:$D$105,$AA151)+求节点(X$67:X$105,$Q$67:$Q$105,$AA151)</f>
        <v>102728760</v>
      </c>
      <c r="AL151" s="5">
        <f>求节点(T$6:T$44,$F$67:$F$105,$AA151)+求节点(T$67:T$105,$P$67:$P$105,$AA151)</f>
        <v>1848000</v>
      </c>
      <c r="AM151" s="5">
        <f>求节点(U$6:U$44,$F$67:$F$105,$AA151)+求节点(U$67:U$105,$P$67:$P$105,$AA151)</f>
        <v>1848000</v>
      </c>
      <c r="AN151" s="5">
        <f>求节点(V$6:V$44,$F$67:$F$105,$AA151)+求节点(V$67:V$105,$P$67:$P$105,$AA151)</f>
        <v>1848000</v>
      </c>
      <c r="AO151" s="5">
        <f>求节点(W$6:W$44,$F$67:$F$105,$AA151)+求节点(W$67:W$105,$P$67:$P$105,$AA151)</f>
        <v>1848000</v>
      </c>
      <c r="AP151" s="5">
        <f>求节点(X$6:X$44,$F$67:$F$105,$AA151)+求节点(X$67:X$105,$P$67:$P$105,$AA151)</f>
        <v>1848000</v>
      </c>
      <c r="AQ151" s="5">
        <f>求节点(T$6:T$44,$H$67:$H$105,$AA151)</f>
        <v>963600</v>
      </c>
      <c r="AR151" s="5">
        <f>求节点(U$6:U$44,$H$67:$H$105,$AA151)</f>
        <v>963600</v>
      </c>
      <c r="AS151" s="5">
        <f>求节点(V$6:V$44,$H$67:$H$105,$AA151)</f>
        <v>963600</v>
      </c>
      <c r="AT151" s="5">
        <f>求节点(W$6:W$44,$H$67:$H$105,$AA151)</f>
        <v>963600</v>
      </c>
      <c r="AU151" s="5">
        <f>求节点(X$6:X$44,$H$67:$H$105,$AA151)</f>
        <v>963600</v>
      </c>
      <c r="AV151" s="5">
        <f>求节点(T$6:T$44,$I$67:$I$105,$AA151)</f>
        <v>25320000</v>
      </c>
      <c r="AW151" s="5">
        <f>求节点(U$6:U$44,$I$67:$I$105,$AA151)</f>
        <v>25320000</v>
      </c>
      <c r="AX151" s="5">
        <f>求节点(V$6:V$44,$I$67:$I$105,$AA151)</f>
        <v>25320000</v>
      </c>
      <c r="AY151" s="5">
        <f>求节点(W$6:W$44,$I$67:$I$105,$AA151)</f>
        <v>25320000</v>
      </c>
      <c r="AZ151" s="5">
        <f>求节点(X$6:X$44,$I$67:$I$105,$AA151)</f>
        <v>25320000</v>
      </c>
      <c r="BA151" s="5">
        <f>求节点(T$6:T$44,$E$67:$E$105,$AA151)+求节点(T$6:T$44,$K$67:$K$105,$AA151)+求节点(T$67:T$105,$O$67:$O$105,$AA151)</f>
        <v>8112</v>
      </c>
      <c r="BB151" s="5">
        <f>求节点(U$6:U$44,$E$67:$E$105,$AA151)+求节点(U$6:U$44,$K$67:$K$105,$AA151)+求节点(U$67:U$105,$O$67:$O$105,$AA151)</f>
        <v>8112</v>
      </c>
      <c r="BC151" s="5">
        <f>求节点(V$6:V$44,$E$67:$E$105,$AA151)+求节点(V$6:V$44,$K$67:$K$105,$AA151)+求节点(V$67:V$105,$O$67:$O$105,$AA151)</f>
        <v>8112</v>
      </c>
      <c r="BD151" s="5">
        <f>求节点(W$6:W$44,$E$67:$E$105,$AA151)+求节点(W$6:W$44,$K$67:$K$105,$AA151)+求节点(W$67:W$105,$O$67:$O$105,$AA151)</f>
        <v>8112</v>
      </c>
      <c r="BE151" s="5">
        <f>求节点(X$6:X$44,$E$67:$E$105,$AA151)+求节点(X$6:X$44,$K$67:$K$105,$AA151)+求节点(X$67:X$105,$O$67:$O$105,$AA151)</f>
        <v>8112</v>
      </c>
      <c r="BF151" s="5">
        <f>求节点(T$6:T$44,$G$67:$G$105,$AA151)</f>
        <v>0</v>
      </c>
      <c r="BG151" s="5">
        <f>求节点(U$6:U$44,$G$67:$G$105,$AA151)</f>
        <v>0</v>
      </c>
      <c r="BH151" s="5">
        <f>求节点(V$6:V$44,$G$67:$G$105,$AA151)</f>
        <v>0</v>
      </c>
      <c r="BI151" s="5">
        <f>求节点(W$6:W$44,$G$67:$G$105,$AA151)</f>
        <v>0</v>
      </c>
      <c r="BJ151" s="5">
        <f>求节点(X$6:X$44,$G$67:$G$105,$AA151)</f>
        <v>0</v>
      </c>
      <c r="BK151" s="5">
        <f>求节点(T$6:T$44,$M$67:$M$105,$AA151)</f>
        <v>78</v>
      </c>
      <c r="BL151" s="5">
        <f>求节点(U$6:U$44,$M$67:$M$105,$AA151)</f>
        <v>78</v>
      </c>
      <c r="BM151" s="5">
        <f>求节点(V$6:V$44,$M$67:$M$105,$AA151)</f>
        <v>78</v>
      </c>
      <c r="BN151" s="5">
        <f>求节点(W$6:W$44,$M$67:$M$105,$AA151)</f>
        <v>78</v>
      </c>
      <c r="BO151" s="5">
        <f>求节点(X$6:X$44,$M$67:$M$105,$AA151)</f>
        <v>78</v>
      </c>
      <c r="BP151" s="5">
        <f>求节点(T$67:T$105,$L$67:$L$105,$AA151)</f>
        <v>0</v>
      </c>
      <c r="BQ151" s="5">
        <f>求节点(U$67:U$105,$L$67:$L$105,$AA151)</f>
        <v>0</v>
      </c>
      <c r="BR151" s="5">
        <f>求节点(V$67:V$105,$L$67:$L$105,$AA151)</f>
        <v>0</v>
      </c>
      <c r="BS151" s="5">
        <f>求节点(W$67:W$105,$L$67:$L$105,$AA151)</f>
        <v>0</v>
      </c>
      <c r="BT151" s="5">
        <f>求节点(X$67:X$105,$L$67:$L$105,$AA151)</f>
        <v>0</v>
      </c>
      <c r="BZ151" s="5">
        <v>147</v>
      </c>
      <c r="CA151" s="5">
        <f t="shared" si="81"/>
        <v>8112</v>
      </c>
      <c r="CB151" s="5">
        <f t="shared" si="82"/>
        <v>8112</v>
      </c>
      <c r="CC151" s="5">
        <f t="shared" si="83"/>
        <v>8112</v>
      </c>
      <c r="CD151" s="5">
        <f t="shared" si="84"/>
        <v>8112</v>
      </c>
      <c r="CE151" s="5">
        <f t="shared" si="85"/>
        <v>8112</v>
      </c>
      <c r="CF151" s="5">
        <f>(CA151-CA150)/节奏总纲!W150</f>
        <v>0</v>
      </c>
      <c r="CI151" s="5">
        <v>147</v>
      </c>
      <c r="CJ151" s="5">
        <f t="shared" si="86"/>
        <v>18720</v>
      </c>
      <c r="CK151" s="5">
        <f t="shared" si="87"/>
        <v>18720</v>
      </c>
      <c r="CL151" s="5">
        <f t="shared" si="88"/>
        <v>18720</v>
      </c>
      <c r="CM151" s="5">
        <f t="shared" si="89"/>
        <v>18720</v>
      </c>
      <c r="CN151" s="5">
        <f t="shared" si="90"/>
        <v>18720</v>
      </c>
      <c r="CO151" s="5">
        <f>(CJ151-CJ150)/节奏总纲!W150</f>
        <v>0</v>
      </c>
      <c r="CP151" s="5">
        <f t="shared" si="91"/>
        <v>0</v>
      </c>
      <c r="CR151" s="5">
        <v>147</v>
      </c>
      <c r="CS151" s="5">
        <f t="shared" si="92"/>
        <v>0</v>
      </c>
      <c r="CT151" s="5">
        <f t="shared" si="93"/>
        <v>0</v>
      </c>
      <c r="CU151" s="5">
        <f t="shared" si="94"/>
        <v>0</v>
      </c>
      <c r="CV151" s="5">
        <f t="shared" si="95"/>
        <v>0</v>
      </c>
      <c r="CW151" s="5">
        <f t="shared" si="96"/>
        <v>0</v>
      </c>
      <c r="CX151" s="5">
        <f t="shared" si="97"/>
        <v>0</v>
      </c>
      <c r="CY151" s="5">
        <f t="shared" si="98"/>
        <v>0</v>
      </c>
      <c r="CZ151" s="5">
        <f t="shared" si="99"/>
        <v>0</v>
      </c>
      <c r="DA151" s="5">
        <f t="shared" si="100"/>
        <v>0</v>
      </c>
      <c r="DB151" s="5">
        <f t="shared" si="101"/>
        <v>0</v>
      </c>
    </row>
    <row r="152" spans="27:106" x14ac:dyDescent="0.15">
      <c r="AA152" s="5">
        <v>148</v>
      </c>
      <c r="AB152" s="5">
        <f>求节点(T$6:T$44,$C$67:$C$105,$AA152)</f>
        <v>0</v>
      </c>
      <c r="AC152" s="5">
        <f>求节点(U$6:U$44,$C$67:$C$105,$AA152)</f>
        <v>0</v>
      </c>
      <c r="AD152" s="5">
        <f>求节点(V$6:V$44,$C$67:$C$105,$AA152)</f>
        <v>0</v>
      </c>
      <c r="AE152" s="5">
        <f>求节点(W$6:W$44,$C$67:$C$105,$AA152)</f>
        <v>0</v>
      </c>
      <c r="AF152" s="5">
        <f>求节点(X$6:X$44,$C$67:$C$105,$AA152)</f>
        <v>0</v>
      </c>
      <c r="AG152" s="5">
        <f>求节点(T$6:T$44,$D$67:$D$105,$AA152)+求节点(T$67:T$105,$Q$67:$Q$105,$AA152)</f>
        <v>102728760</v>
      </c>
      <c r="AH152" s="5">
        <f>求节点(U$6:U$44,$D$67:$D$105,$AA152)+求节点(U$67:U$105,$Q$67:$Q$105,$AA152)</f>
        <v>102728760</v>
      </c>
      <c r="AI152" s="5">
        <f>求节点(V$6:V$44,$D$67:$D$105,$AA152)+求节点(V$67:V$105,$Q$67:$Q$105,$AA152)</f>
        <v>102728760</v>
      </c>
      <c r="AJ152" s="5">
        <f>求节点(W$6:W$44,$D$67:$D$105,$AA152)+求节点(W$67:W$105,$Q$67:$Q$105,$AA152)</f>
        <v>102728760</v>
      </c>
      <c r="AK152" s="5">
        <f>求节点(X$6:X$44,$D$67:$D$105,$AA152)+求节点(X$67:X$105,$Q$67:$Q$105,$AA152)</f>
        <v>102728760</v>
      </c>
      <c r="AL152" s="5">
        <f>求节点(T$6:T$44,$F$67:$F$105,$AA152)+求节点(T$67:T$105,$P$67:$P$105,$AA152)</f>
        <v>1848000</v>
      </c>
      <c r="AM152" s="5">
        <f>求节点(U$6:U$44,$F$67:$F$105,$AA152)+求节点(U$67:U$105,$P$67:$P$105,$AA152)</f>
        <v>1848000</v>
      </c>
      <c r="AN152" s="5">
        <f>求节点(V$6:V$44,$F$67:$F$105,$AA152)+求节点(V$67:V$105,$P$67:$P$105,$AA152)</f>
        <v>1848000</v>
      </c>
      <c r="AO152" s="5">
        <f>求节点(W$6:W$44,$F$67:$F$105,$AA152)+求节点(W$67:W$105,$P$67:$P$105,$AA152)</f>
        <v>1848000</v>
      </c>
      <c r="AP152" s="5">
        <f>求节点(X$6:X$44,$F$67:$F$105,$AA152)+求节点(X$67:X$105,$P$67:$P$105,$AA152)</f>
        <v>1848000</v>
      </c>
      <c r="AQ152" s="5">
        <f>求节点(T$6:T$44,$H$67:$H$105,$AA152)</f>
        <v>963600</v>
      </c>
      <c r="AR152" s="5">
        <f>求节点(U$6:U$44,$H$67:$H$105,$AA152)</f>
        <v>963600</v>
      </c>
      <c r="AS152" s="5">
        <f>求节点(V$6:V$44,$H$67:$H$105,$AA152)</f>
        <v>963600</v>
      </c>
      <c r="AT152" s="5">
        <f>求节点(W$6:W$44,$H$67:$H$105,$AA152)</f>
        <v>963600</v>
      </c>
      <c r="AU152" s="5">
        <f>求节点(X$6:X$44,$H$67:$H$105,$AA152)</f>
        <v>963600</v>
      </c>
      <c r="AV152" s="5">
        <f>求节点(T$6:T$44,$I$67:$I$105,$AA152)</f>
        <v>25320000</v>
      </c>
      <c r="AW152" s="5">
        <f>求节点(U$6:U$44,$I$67:$I$105,$AA152)</f>
        <v>25320000</v>
      </c>
      <c r="AX152" s="5">
        <f>求节点(V$6:V$44,$I$67:$I$105,$AA152)</f>
        <v>25320000</v>
      </c>
      <c r="AY152" s="5">
        <f>求节点(W$6:W$44,$I$67:$I$105,$AA152)</f>
        <v>25320000</v>
      </c>
      <c r="AZ152" s="5">
        <f>求节点(X$6:X$44,$I$67:$I$105,$AA152)</f>
        <v>25320000</v>
      </c>
      <c r="BA152" s="5">
        <f>求节点(T$6:T$44,$E$67:$E$105,$AA152)+求节点(T$6:T$44,$K$67:$K$105,$AA152)+求节点(T$67:T$105,$O$67:$O$105,$AA152)</f>
        <v>8112</v>
      </c>
      <c r="BB152" s="5">
        <f>求节点(U$6:U$44,$E$67:$E$105,$AA152)+求节点(U$6:U$44,$K$67:$K$105,$AA152)+求节点(U$67:U$105,$O$67:$O$105,$AA152)</f>
        <v>8112</v>
      </c>
      <c r="BC152" s="5">
        <f>求节点(V$6:V$44,$E$67:$E$105,$AA152)+求节点(V$6:V$44,$K$67:$K$105,$AA152)+求节点(V$67:V$105,$O$67:$O$105,$AA152)</f>
        <v>8112</v>
      </c>
      <c r="BD152" s="5">
        <f>求节点(W$6:W$44,$E$67:$E$105,$AA152)+求节点(W$6:W$44,$K$67:$K$105,$AA152)+求节点(W$67:W$105,$O$67:$O$105,$AA152)</f>
        <v>8112</v>
      </c>
      <c r="BE152" s="5">
        <f>求节点(X$6:X$44,$E$67:$E$105,$AA152)+求节点(X$6:X$44,$K$67:$K$105,$AA152)+求节点(X$67:X$105,$O$67:$O$105,$AA152)</f>
        <v>8112</v>
      </c>
      <c r="BF152" s="5">
        <f>求节点(T$6:T$44,$G$67:$G$105,$AA152)</f>
        <v>0</v>
      </c>
      <c r="BG152" s="5">
        <f>求节点(U$6:U$44,$G$67:$G$105,$AA152)</f>
        <v>0</v>
      </c>
      <c r="BH152" s="5">
        <f>求节点(V$6:V$44,$G$67:$G$105,$AA152)</f>
        <v>0</v>
      </c>
      <c r="BI152" s="5">
        <f>求节点(W$6:W$44,$G$67:$G$105,$AA152)</f>
        <v>0</v>
      </c>
      <c r="BJ152" s="5">
        <f>求节点(X$6:X$44,$G$67:$G$105,$AA152)</f>
        <v>0</v>
      </c>
      <c r="BK152" s="5">
        <f>求节点(T$6:T$44,$M$67:$M$105,$AA152)</f>
        <v>78</v>
      </c>
      <c r="BL152" s="5">
        <f>求节点(U$6:U$44,$M$67:$M$105,$AA152)</f>
        <v>78</v>
      </c>
      <c r="BM152" s="5">
        <f>求节点(V$6:V$44,$M$67:$M$105,$AA152)</f>
        <v>78</v>
      </c>
      <c r="BN152" s="5">
        <f>求节点(W$6:W$44,$M$67:$M$105,$AA152)</f>
        <v>78</v>
      </c>
      <c r="BO152" s="5">
        <f>求节点(X$6:X$44,$M$67:$M$105,$AA152)</f>
        <v>78</v>
      </c>
      <c r="BP152" s="5">
        <f>求节点(T$67:T$105,$L$67:$L$105,$AA152)</f>
        <v>0</v>
      </c>
      <c r="BQ152" s="5">
        <f>求节点(U$67:U$105,$L$67:$L$105,$AA152)</f>
        <v>0</v>
      </c>
      <c r="BR152" s="5">
        <f>求节点(V$67:V$105,$L$67:$L$105,$AA152)</f>
        <v>0</v>
      </c>
      <c r="BS152" s="5">
        <f>求节点(W$67:W$105,$L$67:$L$105,$AA152)</f>
        <v>0</v>
      </c>
      <c r="BT152" s="5">
        <f>求节点(X$67:X$105,$L$67:$L$105,$AA152)</f>
        <v>0</v>
      </c>
      <c r="BZ152" s="5">
        <v>148</v>
      </c>
      <c r="CA152" s="5">
        <f t="shared" si="81"/>
        <v>8112</v>
      </c>
      <c r="CB152" s="5">
        <f t="shared" si="82"/>
        <v>8112</v>
      </c>
      <c r="CC152" s="5">
        <f t="shared" si="83"/>
        <v>8112</v>
      </c>
      <c r="CD152" s="5">
        <f t="shared" si="84"/>
        <v>8112</v>
      </c>
      <c r="CE152" s="5">
        <f t="shared" si="85"/>
        <v>8112</v>
      </c>
      <c r="CF152" s="5">
        <f>(CA152-CA151)/节奏总纲!W151</f>
        <v>0</v>
      </c>
      <c r="CI152" s="5">
        <v>148</v>
      </c>
      <c r="CJ152" s="5">
        <f t="shared" si="86"/>
        <v>18720</v>
      </c>
      <c r="CK152" s="5">
        <f t="shared" si="87"/>
        <v>18720</v>
      </c>
      <c r="CL152" s="5">
        <f t="shared" si="88"/>
        <v>18720</v>
      </c>
      <c r="CM152" s="5">
        <f t="shared" si="89"/>
        <v>18720</v>
      </c>
      <c r="CN152" s="5">
        <f t="shared" si="90"/>
        <v>18720</v>
      </c>
      <c r="CO152" s="5">
        <f>(CJ152-CJ151)/节奏总纲!W151</f>
        <v>0</v>
      </c>
      <c r="CP152" s="5">
        <f t="shared" si="91"/>
        <v>0</v>
      </c>
      <c r="CR152" s="5">
        <v>148</v>
      </c>
      <c r="CS152" s="5">
        <f t="shared" si="92"/>
        <v>0</v>
      </c>
      <c r="CT152" s="5">
        <f t="shared" si="93"/>
        <v>0</v>
      </c>
      <c r="CU152" s="5">
        <f t="shared" si="94"/>
        <v>0</v>
      </c>
      <c r="CV152" s="5">
        <f t="shared" si="95"/>
        <v>0</v>
      </c>
      <c r="CW152" s="5">
        <f t="shared" si="96"/>
        <v>0</v>
      </c>
      <c r="CX152" s="5">
        <f t="shared" si="97"/>
        <v>0</v>
      </c>
      <c r="CY152" s="5">
        <f t="shared" si="98"/>
        <v>0</v>
      </c>
      <c r="CZ152" s="5">
        <f t="shared" si="99"/>
        <v>0</v>
      </c>
      <c r="DA152" s="5">
        <f t="shared" si="100"/>
        <v>0</v>
      </c>
      <c r="DB152" s="5">
        <f t="shared" si="101"/>
        <v>0</v>
      </c>
    </row>
    <row r="153" spans="27:106" x14ac:dyDescent="0.15">
      <c r="AA153" s="5">
        <v>149</v>
      </c>
      <c r="AB153" s="5">
        <f>求节点(T$6:T$44,$C$67:$C$105,$AA153)</f>
        <v>0</v>
      </c>
      <c r="AC153" s="5">
        <f>求节点(U$6:U$44,$C$67:$C$105,$AA153)</f>
        <v>0</v>
      </c>
      <c r="AD153" s="5">
        <f>求节点(V$6:V$44,$C$67:$C$105,$AA153)</f>
        <v>0</v>
      </c>
      <c r="AE153" s="5">
        <f>求节点(W$6:W$44,$C$67:$C$105,$AA153)</f>
        <v>0</v>
      </c>
      <c r="AF153" s="5">
        <f>求节点(X$6:X$44,$C$67:$C$105,$AA153)</f>
        <v>0</v>
      </c>
      <c r="AG153" s="5">
        <f>求节点(T$6:T$44,$D$67:$D$105,$AA153)+求节点(T$67:T$105,$Q$67:$Q$105,$AA153)</f>
        <v>102728760</v>
      </c>
      <c r="AH153" s="5">
        <f>求节点(U$6:U$44,$D$67:$D$105,$AA153)+求节点(U$67:U$105,$Q$67:$Q$105,$AA153)</f>
        <v>102728760</v>
      </c>
      <c r="AI153" s="5">
        <f>求节点(V$6:V$44,$D$67:$D$105,$AA153)+求节点(V$67:V$105,$Q$67:$Q$105,$AA153)</f>
        <v>102728760</v>
      </c>
      <c r="AJ153" s="5">
        <f>求节点(W$6:W$44,$D$67:$D$105,$AA153)+求节点(W$67:W$105,$Q$67:$Q$105,$AA153)</f>
        <v>102728760</v>
      </c>
      <c r="AK153" s="5">
        <f>求节点(X$6:X$44,$D$67:$D$105,$AA153)+求节点(X$67:X$105,$Q$67:$Q$105,$AA153)</f>
        <v>102728760</v>
      </c>
      <c r="AL153" s="5">
        <f>求节点(T$6:T$44,$F$67:$F$105,$AA153)+求节点(T$67:T$105,$P$67:$P$105,$AA153)</f>
        <v>1848000</v>
      </c>
      <c r="AM153" s="5">
        <f>求节点(U$6:U$44,$F$67:$F$105,$AA153)+求节点(U$67:U$105,$P$67:$P$105,$AA153)</f>
        <v>1848000</v>
      </c>
      <c r="AN153" s="5">
        <f>求节点(V$6:V$44,$F$67:$F$105,$AA153)+求节点(V$67:V$105,$P$67:$P$105,$AA153)</f>
        <v>1848000</v>
      </c>
      <c r="AO153" s="5">
        <f>求节点(W$6:W$44,$F$67:$F$105,$AA153)+求节点(W$67:W$105,$P$67:$P$105,$AA153)</f>
        <v>1848000</v>
      </c>
      <c r="AP153" s="5">
        <f>求节点(X$6:X$44,$F$67:$F$105,$AA153)+求节点(X$67:X$105,$P$67:$P$105,$AA153)</f>
        <v>1848000</v>
      </c>
      <c r="AQ153" s="5">
        <f>求节点(T$6:T$44,$H$67:$H$105,$AA153)</f>
        <v>963600</v>
      </c>
      <c r="AR153" s="5">
        <f>求节点(U$6:U$44,$H$67:$H$105,$AA153)</f>
        <v>963600</v>
      </c>
      <c r="AS153" s="5">
        <f>求节点(V$6:V$44,$H$67:$H$105,$AA153)</f>
        <v>963600</v>
      </c>
      <c r="AT153" s="5">
        <f>求节点(W$6:W$44,$H$67:$H$105,$AA153)</f>
        <v>963600</v>
      </c>
      <c r="AU153" s="5">
        <f>求节点(X$6:X$44,$H$67:$H$105,$AA153)</f>
        <v>963600</v>
      </c>
      <c r="AV153" s="5">
        <f>求节点(T$6:T$44,$I$67:$I$105,$AA153)</f>
        <v>25320000</v>
      </c>
      <c r="AW153" s="5">
        <f>求节点(U$6:U$44,$I$67:$I$105,$AA153)</f>
        <v>25320000</v>
      </c>
      <c r="AX153" s="5">
        <f>求节点(V$6:V$44,$I$67:$I$105,$AA153)</f>
        <v>25320000</v>
      </c>
      <c r="AY153" s="5">
        <f>求节点(W$6:W$44,$I$67:$I$105,$AA153)</f>
        <v>25320000</v>
      </c>
      <c r="AZ153" s="5">
        <f>求节点(X$6:X$44,$I$67:$I$105,$AA153)</f>
        <v>25320000</v>
      </c>
      <c r="BA153" s="5">
        <f>求节点(T$6:T$44,$E$67:$E$105,$AA153)+求节点(T$6:T$44,$K$67:$K$105,$AA153)+求节点(T$67:T$105,$O$67:$O$105,$AA153)</f>
        <v>8112</v>
      </c>
      <c r="BB153" s="5">
        <f>求节点(U$6:U$44,$E$67:$E$105,$AA153)+求节点(U$6:U$44,$K$67:$K$105,$AA153)+求节点(U$67:U$105,$O$67:$O$105,$AA153)</f>
        <v>8112</v>
      </c>
      <c r="BC153" s="5">
        <f>求节点(V$6:V$44,$E$67:$E$105,$AA153)+求节点(V$6:V$44,$K$67:$K$105,$AA153)+求节点(V$67:V$105,$O$67:$O$105,$AA153)</f>
        <v>8112</v>
      </c>
      <c r="BD153" s="5">
        <f>求节点(W$6:W$44,$E$67:$E$105,$AA153)+求节点(W$6:W$44,$K$67:$K$105,$AA153)+求节点(W$67:W$105,$O$67:$O$105,$AA153)</f>
        <v>8112</v>
      </c>
      <c r="BE153" s="5">
        <f>求节点(X$6:X$44,$E$67:$E$105,$AA153)+求节点(X$6:X$44,$K$67:$K$105,$AA153)+求节点(X$67:X$105,$O$67:$O$105,$AA153)</f>
        <v>8112</v>
      </c>
      <c r="BF153" s="5">
        <f>求节点(T$6:T$44,$G$67:$G$105,$AA153)</f>
        <v>0</v>
      </c>
      <c r="BG153" s="5">
        <f>求节点(U$6:U$44,$G$67:$G$105,$AA153)</f>
        <v>0</v>
      </c>
      <c r="BH153" s="5">
        <f>求节点(V$6:V$44,$G$67:$G$105,$AA153)</f>
        <v>0</v>
      </c>
      <c r="BI153" s="5">
        <f>求节点(W$6:W$44,$G$67:$G$105,$AA153)</f>
        <v>0</v>
      </c>
      <c r="BJ153" s="5">
        <f>求节点(X$6:X$44,$G$67:$G$105,$AA153)</f>
        <v>0</v>
      </c>
      <c r="BK153" s="5">
        <f>求节点(T$6:T$44,$M$67:$M$105,$AA153)</f>
        <v>78</v>
      </c>
      <c r="BL153" s="5">
        <f>求节点(U$6:U$44,$M$67:$M$105,$AA153)</f>
        <v>78</v>
      </c>
      <c r="BM153" s="5">
        <f>求节点(V$6:V$44,$M$67:$M$105,$AA153)</f>
        <v>78</v>
      </c>
      <c r="BN153" s="5">
        <f>求节点(W$6:W$44,$M$67:$M$105,$AA153)</f>
        <v>78</v>
      </c>
      <c r="BO153" s="5">
        <f>求节点(X$6:X$44,$M$67:$M$105,$AA153)</f>
        <v>78</v>
      </c>
      <c r="BP153" s="5">
        <f>求节点(T$67:T$105,$L$67:$L$105,$AA153)</f>
        <v>0</v>
      </c>
      <c r="BQ153" s="5">
        <f>求节点(U$67:U$105,$L$67:$L$105,$AA153)</f>
        <v>0</v>
      </c>
      <c r="BR153" s="5">
        <f>求节点(V$67:V$105,$L$67:$L$105,$AA153)</f>
        <v>0</v>
      </c>
      <c r="BS153" s="5">
        <f>求节点(W$67:W$105,$L$67:$L$105,$AA153)</f>
        <v>0</v>
      </c>
      <c r="BT153" s="5">
        <f>求节点(X$67:X$105,$L$67:$L$105,$AA153)</f>
        <v>0</v>
      </c>
      <c r="BZ153" s="5">
        <v>149</v>
      </c>
      <c r="CA153" s="5">
        <f t="shared" si="81"/>
        <v>8112</v>
      </c>
      <c r="CB153" s="5">
        <f t="shared" si="82"/>
        <v>8112</v>
      </c>
      <c r="CC153" s="5">
        <f t="shared" si="83"/>
        <v>8112</v>
      </c>
      <c r="CD153" s="5">
        <f t="shared" si="84"/>
        <v>8112</v>
      </c>
      <c r="CE153" s="5">
        <f t="shared" si="85"/>
        <v>8112</v>
      </c>
      <c r="CF153" s="5">
        <f>(CA153-CA152)/节奏总纲!W152</f>
        <v>0</v>
      </c>
      <c r="CI153" s="5">
        <v>149</v>
      </c>
      <c r="CJ153" s="5">
        <f t="shared" si="86"/>
        <v>18720</v>
      </c>
      <c r="CK153" s="5">
        <f t="shared" si="87"/>
        <v>18720</v>
      </c>
      <c r="CL153" s="5">
        <f t="shared" si="88"/>
        <v>18720</v>
      </c>
      <c r="CM153" s="5">
        <f t="shared" si="89"/>
        <v>18720</v>
      </c>
      <c r="CN153" s="5">
        <f t="shared" si="90"/>
        <v>18720</v>
      </c>
      <c r="CO153" s="5">
        <f>(CJ153-CJ152)/节奏总纲!W152</f>
        <v>0</v>
      </c>
      <c r="CP153" s="5">
        <f t="shared" si="91"/>
        <v>0</v>
      </c>
      <c r="CR153" s="5">
        <v>149</v>
      </c>
      <c r="CS153" s="5">
        <f t="shared" si="92"/>
        <v>0</v>
      </c>
      <c r="CT153" s="5">
        <f t="shared" si="93"/>
        <v>0</v>
      </c>
      <c r="CU153" s="5">
        <f t="shared" si="94"/>
        <v>0</v>
      </c>
      <c r="CV153" s="5">
        <f t="shared" si="95"/>
        <v>0</v>
      </c>
      <c r="CW153" s="5">
        <f t="shared" si="96"/>
        <v>0</v>
      </c>
      <c r="CX153" s="5">
        <f t="shared" si="97"/>
        <v>0</v>
      </c>
      <c r="CY153" s="5">
        <f t="shared" si="98"/>
        <v>0</v>
      </c>
      <c r="CZ153" s="5">
        <f t="shared" si="99"/>
        <v>0</v>
      </c>
      <c r="DA153" s="5">
        <f t="shared" si="100"/>
        <v>0</v>
      </c>
      <c r="DB153" s="5">
        <f t="shared" si="101"/>
        <v>0</v>
      </c>
    </row>
    <row r="154" spans="27:106" x14ac:dyDescent="0.15">
      <c r="AA154" s="5">
        <v>150</v>
      </c>
      <c r="AB154" s="5">
        <f>求节点(T$6:T$44,$C$67:$C$105,$AA154)</f>
        <v>0</v>
      </c>
      <c r="AC154" s="5">
        <f>求节点(U$6:U$44,$C$67:$C$105,$AA154)</f>
        <v>0</v>
      </c>
      <c r="AD154" s="5">
        <f>求节点(V$6:V$44,$C$67:$C$105,$AA154)</f>
        <v>0</v>
      </c>
      <c r="AE154" s="5">
        <f>求节点(W$6:W$44,$C$67:$C$105,$AA154)</f>
        <v>0</v>
      </c>
      <c r="AF154" s="5">
        <f>求节点(X$6:X$44,$C$67:$C$105,$AA154)</f>
        <v>0</v>
      </c>
      <c r="AG154" s="5">
        <f>求节点(T$6:T$44,$D$67:$D$105,$AA154)+求节点(T$67:T$105,$Q$67:$Q$105,$AA154)</f>
        <v>102728760</v>
      </c>
      <c r="AH154" s="5">
        <f>求节点(U$6:U$44,$D$67:$D$105,$AA154)+求节点(U$67:U$105,$Q$67:$Q$105,$AA154)</f>
        <v>102728760</v>
      </c>
      <c r="AI154" s="5">
        <f>求节点(V$6:V$44,$D$67:$D$105,$AA154)+求节点(V$67:V$105,$Q$67:$Q$105,$AA154)</f>
        <v>102728760</v>
      </c>
      <c r="AJ154" s="5">
        <f>求节点(W$6:W$44,$D$67:$D$105,$AA154)+求节点(W$67:W$105,$Q$67:$Q$105,$AA154)</f>
        <v>102728760</v>
      </c>
      <c r="AK154" s="5">
        <f>求节点(X$6:X$44,$D$67:$D$105,$AA154)+求节点(X$67:X$105,$Q$67:$Q$105,$AA154)</f>
        <v>102728760</v>
      </c>
      <c r="AL154" s="5">
        <f>求节点(T$6:T$44,$F$67:$F$105,$AA154)+求节点(T$67:T$105,$P$67:$P$105,$AA154)</f>
        <v>1848000</v>
      </c>
      <c r="AM154" s="5">
        <f>求节点(U$6:U$44,$F$67:$F$105,$AA154)+求节点(U$67:U$105,$P$67:$P$105,$AA154)</f>
        <v>1848000</v>
      </c>
      <c r="AN154" s="5">
        <f>求节点(V$6:V$44,$F$67:$F$105,$AA154)+求节点(V$67:V$105,$P$67:$P$105,$AA154)</f>
        <v>1848000</v>
      </c>
      <c r="AO154" s="5">
        <f>求节点(W$6:W$44,$F$67:$F$105,$AA154)+求节点(W$67:W$105,$P$67:$P$105,$AA154)</f>
        <v>1848000</v>
      </c>
      <c r="AP154" s="5">
        <f>求节点(X$6:X$44,$F$67:$F$105,$AA154)+求节点(X$67:X$105,$P$67:$P$105,$AA154)</f>
        <v>1848000</v>
      </c>
      <c r="AQ154" s="5">
        <f>求节点(T$6:T$44,$H$67:$H$105,$AA154)</f>
        <v>963600</v>
      </c>
      <c r="AR154" s="5">
        <f>求节点(U$6:U$44,$H$67:$H$105,$AA154)</f>
        <v>963600</v>
      </c>
      <c r="AS154" s="5">
        <f>求节点(V$6:V$44,$H$67:$H$105,$AA154)</f>
        <v>963600</v>
      </c>
      <c r="AT154" s="5">
        <f>求节点(W$6:W$44,$H$67:$H$105,$AA154)</f>
        <v>963600</v>
      </c>
      <c r="AU154" s="5">
        <f>求节点(X$6:X$44,$H$67:$H$105,$AA154)</f>
        <v>963600</v>
      </c>
      <c r="AV154" s="5">
        <f>求节点(T$6:T$44,$I$67:$I$105,$AA154)</f>
        <v>25320000</v>
      </c>
      <c r="AW154" s="5">
        <f>求节点(U$6:U$44,$I$67:$I$105,$AA154)</f>
        <v>25320000</v>
      </c>
      <c r="AX154" s="5">
        <f>求节点(V$6:V$44,$I$67:$I$105,$AA154)</f>
        <v>25320000</v>
      </c>
      <c r="AY154" s="5">
        <f>求节点(W$6:W$44,$I$67:$I$105,$AA154)</f>
        <v>25320000</v>
      </c>
      <c r="AZ154" s="5">
        <f>求节点(X$6:X$44,$I$67:$I$105,$AA154)</f>
        <v>25320000</v>
      </c>
      <c r="BA154" s="5">
        <f>求节点(T$6:T$44,$E$67:$E$105,$AA154)+求节点(T$6:T$44,$K$67:$K$105,$AA154)+求节点(T$67:T$105,$O$67:$O$105,$AA154)</f>
        <v>8112</v>
      </c>
      <c r="BB154" s="5">
        <f>求节点(U$6:U$44,$E$67:$E$105,$AA154)+求节点(U$6:U$44,$K$67:$K$105,$AA154)+求节点(U$67:U$105,$O$67:$O$105,$AA154)</f>
        <v>8112</v>
      </c>
      <c r="BC154" s="5">
        <f>求节点(V$6:V$44,$E$67:$E$105,$AA154)+求节点(V$6:V$44,$K$67:$K$105,$AA154)+求节点(V$67:V$105,$O$67:$O$105,$AA154)</f>
        <v>8112</v>
      </c>
      <c r="BD154" s="5">
        <f>求节点(W$6:W$44,$E$67:$E$105,$AA154)+求节点(W$6:W$44,$K$67:$K$105,$AA154)+求节点(W$67:W$105,$O$67:$O$105,$AA154)</f>
        <v>8112</v>
      </c>
      <c r="BE154" s="5">
        <f>求节点(X$6:X$44,$E$67:$E$105,$AA154)+求节点(X$6:X$44,$K$67:$K$105,$AA154)+求节点(X$67:X$105,$O$67:$O$105,$AA154)</f>
        <v>8112</v>
      </c>
      <c r="BF154" s="5">
        <f>求节点(T$6:T$44,$G$67:$G$105,$AA154)</f>
        <v>0</v>
      </c>
      <c r="BG154" s="5">
        <f>求节点(U$6:U$44,$G$67:$G$105,$AA154)</f>
        <v>0</v>
      </c>
      <c r="BH154" s="5">
        <f>求节点(V$6:V$44,$G$67:$G$105,$AA154)</f>
        <v>0</v>
      </c>
      <c r="BI154" s="5">
        <f>求节点(W$6:W$44,$G$67:$G$105,$AA154)</f>
        <v>0</v>
      </c>
      <c r="BJ154" s="5">
        <f>求节点(X$6:X$44,$G$67:$G$105,$AA154)</f>
        <v>0</v>
      </c>
      <c r="BK154" s="5">
        <f>求节点(T$6:T$44,$M$67:$M$105,$AA154)</f>
        <v>78</v>
      </c>
      <c r="BL154" s="5">
        <f>求节点(U$6:U$44,$M$67:$M$105,$AA154)</f>
        <v>78</v>
      </c>
      <c r="BM154" s="5">
        <f>求节点(V$6:V$44,$M$67:$M$105,$AA154)</f>
        <v>78</v>
      </c>
      <c r="BN154" s="5">
        <f>求节点(W$6:W$44,$M$67:$M$105,$AA154)</f>
        <v>78</v>
      </c>
      <c r="BO154" s="5">
        <f>求节点(X$6:X$44,$M$67:$M$105,$AA154)</f>
        <v>78</v>
      </c>
      <c r="BP154" s="5">
        <f>求节点(T$67:T$105,$L$67:$L$105,$AA154)</f>
        <v>0</v>
      </c>
      <c r="BQ154" s="5">
        <f>求节点(U$67:U$105,$L$67:$L$105,$AA154)</f>
        <v>0</v>
      </c>
      <c r="BR154" s="5">
        <f>求节点(V$67:V$105,$L$67:$L$105,$AA154)</f>
        <v>0</v>
      </c>
      <c r="BS154" s="5">
        <f>求节点(W$67:W$105,$L$67:$L$105,$AA154)</f>
        <v>0</v>
      </c>
      <c r="BT154" s="5">
        <f>求节点(X$67:X$105,$L$67:$L$105,$AA154)</f>
        <v>0</v>
      </c>
      <c r="BZ154" s="5">
        <v>150</v>
      </c>
      <c r="CA154" s="5">
        <f t="shared" si="81"/>
        <v>8112</v>
      </c>
      <c r="CB154" s="5">
        <f t="shared" si="82"/>
        <v>8112</v>
      </c>
      <c r="CC154" s="5">
        <f t="shared" si="83"/>
        <v>8112</v>
      </c>
      <c r="CD154" s="5">
        <f t="shared" si="84"/>
        <v>8112</v>
      </c>
      <c r="CE154" s="5">
        <f t="shared" si="85"/>
        <v>8112</v>
      </c>
      <c r="CF154" s="5">
        <f>(CA154-CA153)/节奏总纲!W153</f>
        <v>0</v>
      </c>
      <c r="CI154" s="5">
        <v>150</v>
      </c>
      <c r="CJ154" s="5">
        <f t="shared" si="86"/>
        <v>18720</v>
      </c>
      <c r="CK154" s="5">
        <f t="shared" si="87"/>
        <v>18720</v>
      </c>
      <c r="CL154" s="5">
        <f t="shared" si="88"/>
        <v>18720</v>
      </c>
      <c r="CM154" s="5">
        <f t="shared" si="89"/>
        <v>18720</v>
      </c>
      <c r="CN154" s="5">
        <f t="shared" si="90"/>
        <v>18720</v>
      </c>
      <c r="CO154" s="5">
        <f>(CJ154-CJ153)/节奏总纲!W153</f>
        <v>0</v>
      </c>
      <c r="CP154" s="5">
        <f t="shared" si="91"/>
        <v>0</v>
      </c>
      <c r="CR154" s="5">
        <v>150</v>
      </c>
      <c r="CS154" s="5">
        <f t="shared" si="92"/>
        <v>0</v>
      </c>
      <c r="CT154" s="5">
        <f t="shared" si="93"/>
        <v>0</v>
      </c>
      <c r="CU154" s="5">
        <f t="shared" si="94"/>
        <v>0</v>
      </c>
      <c r="CV154" s="5">
        <f t="shared" si="95"/>
        <v>0</v>
      </c>
      <c r="CW154" s="5">
        <f t="shared" si="96"/>
        <v>0</v>
      </c>
      <c r="CX154" s="5">
        <f t="shared" si="97"/>
        <v>0</v>
      </c>
      <c r="CY154" s="5">
        <f t="shared" si="98"/>
        <v>0</v>
      </c>
      <c r="CZ154" s="5">
        <f t="shared" si="99"/>
        <v>0</v>
      </c>
      <c r="DA154" s="5">
        <f t="shared" si="100"/>
        <v>0</v>
      </c>
      <c r="DB154" s="5">
        <f t="shared" si="101"/>
        <v>0</v>
      </c>
    </row>
    <row r="155" spans="27:106" x14ac:dyDescent="0.15">
      <c r="AA155" s="5">
        <v>151</v>
      </c>
      <c r="AB155" s="5">
        <f>求节点(T$6:T$44,$C$67:$C$105,$AA155)</f>
        <v>0</v>
      </c>
      <c r="AC155" s="5">
        <f>求节点(U$6:U$44,$C$67:$C$105,$AA155)</f>
        <v>0</v>
      </c>
      <c r="AD155" s="5">
        <f>求节点(V$6:V$44,$C$67:$C$105,$AA155)</f>
        <v>0</v>
      </c>
      <c r="AE155" s="5">
        <f>求节点(W$6:W$44,$C$67:$C$105,$AA155)</f>
        <v>0</v>
      </c>
      <c r="AF155" s="5">
        <f>求节点(X$6:X$44,$C$67:$C$105,$AA155)</f>
        <v>0</v>
      </c>
      <c r="AG155" s="5">
        <f>求节点(T$6:T$44,$D$67:$D$105,$AA155)+求节点(T$67:T$105,$Q$67:$Q$105,$AA155)</f>
        <v>102728760</v>
      </c>
      <c r="AH155" s="5">
        <f>求节点(U$6:U$44,$D$67:$D$105,$AA155)+求节点(U$67:U$105,$Q$67:$Q$105,$AA155)</f>
        <v>102728760</v>
      </c>
      <c r="AI155" s="5">
        <f>求节点(V$6:V$44,$D$67:$D$105,$AA155)+求节点(V$67:V$105,$Q$67:$Q$105,$AA155)</f>
        <v>102728760</v>
      </c>
      <c r="AJ155" s="5">
        <f>求节点(W$6:W$44,$D$67:$D$105,$AA155)+求节点(W$67:W$105,$Q$67:$Q$105,$AA155)</f>
        <v>102728760</v>
      </c>
      <c r="AK155" s="5">
        <f>求节点(X$6:X$44,$D$67:$D$105,$AA155)+求节点(X$67:X$105,$Q$67:$Q$105,$AA155)</f>
        <v>102728760</v>
      </c>
      <c r="AL155" s="5">
        <f>求节点(T$6:T$44,$F$67:$F$105,$AA155)+求节点(T$67:T$105,$P$67:$P$105,$AA155)</f>
        <v>1848000</v>
      </c>
      <c r="AM155" s="5">
        <f>求节点(U$6:U$44,$F$67:$F$105,$AA155)+求节点(U$67:U$105,$P$67:$P$105,$AA155)</f>
        <v>1848000</v>
      </c>
      <c r="AN155" s="5">
        <f>求节点(V$6:V$44,$F$67:$F$105,$AA155)+求节点(V$67:V$105,$P$67:$P$105,$AA155)</f>
        <v>1848000</v>
      </c>
      <c r="AO155" s="5">
        <f>求节点(W$6:W$44,$F$67:$F$105,$AA155)+求节点(W$67:W$105,$P$67:$P$105,$AA155)</f>
        <v>1848000</v>
      </c>
      <c r="AP155" s="5">
        <f>求节点(X$6:X$44,$F$67:$F$105,$AA155)+求节点(X$67:X$105,$P$67:$P$105,$AA155)</f>
        <v>1848000</v>
      </c>
      <c r="AQ155" s="5">
        <f>求节点(T$6:T$44,$H$67:$H$105,$AA155)</f>
        <v>963600</v>
      </c>
      <c r="AR155" s="5">
        <f>求节点(U$6:U$44,$H$67:$H$105,$AA155)</f>
        <v>963600</v>
      </c>
      <c r="AS155" s="5">
        <f>求节点(V$6:V$44,$H$67:$H$105,$AA155)</f>
        <v>963600</v>
      </c>
      <c r="AT155" s="5">
        <f>求节点(W$6:W$44,$H$67:$H$105,$AA155)</f>
        <v>963600</v>
      </c>
      <c r="AU155" s="5">
        <f>求节点(X$6:X$44,$H$67:$H$105,$AA155)</f>
        <v>963600</v>
      </c>
      <c r="AV155" s="5">
        <f>求节点(T$6:T$44,$I$67:$I$105,$AA155)</f>
        <v>25320000</v>
      </c>
      <c r="AW155" s="5">
        <f>求节点(U$6:U$44,$I$67:$I$105,$AA155)</f>
        <v>25320000</v>
      </c>
      <c r="AX155" s="5">
        <f>求节点(V$6:V$44,$I$67:$I$105,$AA155)</f>
        <v>25320000</v>
      </c>
      <c r="AY155" s="5">
        <f>求节点(W$6:W$44,$I$67:$I$105,$AA155)</f>
        <v>25320000</v>
      </c>
      <c r="AZ155" s="5">
        <f>求节点(X$6:X$44,$I$67:$I$105,$AA155)</f>
        <v>25320000</v>
      </c>
      <c r="BA155" s="5">
        <f>求节点(T$6:T$44,$E$67:$E$105,$AA155)+求节点(T$6:T$44,$K$67:$K$105,$AA155)+求节点(T$67:T$105,$O$67:$O$105,$AA155)</f>
        <v>8112</v>
      </c>
      <c r="BB155" s="5">
        <f>求节点(U$6:U$44,$E$67:$E$105,$AA155)+求节点(U$6:U$44,$K$67:$K$105,$AA155)+求节点(U$67:U$105,$O$67:$O$105,$AA155)</f>
        <v>8112</v>
      </c>
      <c r="BC155" s="5">
        <f>求节点(V$6:V$44,$E$67:$E$105,$AA155)+求节点(V$6:V$44,$K$67:$K$105,$AA155)+求节点(V$67:V$105,$O$67:$O$105,$AA155)</f>
        <v>8112</v>
      </c>
      <c r="BD155" s="5">
        <f>求节点(W$6:W$44,$E$67:$E$105,$AA155)+求节点(W$6:W$44,$K$67:$K$105,$AA155)+求节点(W$67:W$105,$O$67:$O$105,$AA155)</f>
        <v>8112</v>
      </c>
      <c r="BE155" s="5">
        <f>求节点(X$6:X$44,$E$67:$E$105,$AA155)+求节点(X$6:X$44,$K$67:$K$105,$AA155)+求节点(X$67:X$105,$O$67:$O$105,$AA155)</f>
        <v>8112</v>
      </c>
      <c r="BF155" s="5">
        <f>求节点(T$6:T$44,$G$67:$G$105,$AA155)</f>
        <v>0</v>
      </c>
      <c r="BG155" s="5">
        <f>求节点(U$6:U$44,$G$67:$G$105,$AA155)</f>
        <v>0</v>
      </c>
      <c r="BH155" s="5">
        <f>求节点(V$6:V$44,$G$67:$G$105,$AA155)</f>
        <v>0</v>
      </c>
      <c r="BI155" s="5">
        <f>求节点(W$6:W$44,$G$67:$G$105,$AA155)</f>
        <v>0</v>
      </c>
      <c r="BJ155" s="5">
        <f>求节点(X$6:X$44,$G$67:$G$105,$AA155)</f>
        <v>0</v>
      </c>
      <c r="BK155" s="5">
        <f>求节点(T$6:T$44,$M$67:$M$105,$AA155)</f>
        <v>78</v>
      </c>
      <c r="BL155" s="5">
        <f>求节点(U$6:U$44,$M$67:$M$105,$AA155)</f>
        <v>78</v>
      </c>
      <c r="BM155" s="5">
        <f>求节点(V$6:V$44,$M$67:$M$105,$AA155)</f>
        <v>78</v>
      </c>
      <c r="BN155" s="5">
        <f>求节点(W$6:W$44,$M$67:$M$105,$AA155)</f>
        <v>78</v>
      </c>
      <c r="BO155" s="5">
        <f>求节点(X$6:X$44,$M$67:$M$105,$AA155)</f>
        <v>78</v>
      </c>
      <c r="BP155" s="5">
        <f>求节点(T$67:T$105,$L$67:$L$105,$AA155)</f>
        <v>0</v>
      </c>
      <c r="BQ155" s="5">
        <f>求节点(U$67:U$105,$L$67:$L$105,$AA155)</f>
        <v>0</v>
      </c>
      <c r="BR155" s="5">
        <f>求节点(V$67:V$105,$L$67:$L$105,$AA155)</f>
        <v>0</v>
      </c>
      <c r="BS155" s="5">
        <f>求节点(W$67:W$105,$L$67:$L$105,$AA155)</f>
        <v>0</v>
      </c>
      <c r="BT155" s="5">
        <f>求节点(X$67:X$105,$L$67:$L$105,$AA155)</f>
        <v>0</v>
      </c>
      <c r="BZ155" s="5">
        <v>151</v>
      </c>
      <c r="CA155" s="5">
        <f t="shared" si="81"/>
        <v>8112</v>
      </c>
      <c r="CB155" s="5">
        <f t="shared" si="82"/>
        <v>8112</v>
      </c>
      <c r="CC155" s="5">
        <f t="shared" si="83"/>
        <v>8112</v>
      </c>
      <c r="CD155" s="5">
        <f t="shared" si="84"/>
        <v>8112</v>
      </c>
      <c r="CE155" s="5">
        <f t="shared" si="85"/>
        <v>8112</v>
      </c>
      <c r="CF155" s="5">
        <f>(CA155-CA154)/节奏总纲!W154</f>
        <v>0</v>
      </c>
      <c r="CI155" s="5">
        <v>151</v>
      </c>
      <c r="CJ155" s="5">
        <f t="shared" si="86"/>
        <v>18720</v>
      </c>
      <c r="CK155" s="5">
        <f t="shared" si="87"/>
        <v>18720</v>
      </c>
      <c r="CL155" s="5">
        <f t="shared" si="88"/>
        <v>18720</v>
      </c>
      <c r="CM155" s="5">
        <f t="shared" si="89"/>
        <v>18720</v>
      </c>
      <c r="CN155" s="5">
        <f t="shared" si="90"/>
        <v>18720</v>
      </c>
      <c r="CO155" s="5">
        <f>(CJ155-CJ154)/节奏总纲!W154</f>
        <v>0</v>
      </c>
      <c r="CP155" s="5">
        <f t="shared" si="91"/>
        <v>0</v>
      </c>
      <c r="CR155" s="5">
        <v>151</v>
      </c>
      <c r="CS155" s="5">
        <f t="shared" si="92"/>
        <v>0</v>
      </c>
      <c r="CT155" s="5">
        <f t="shared" si="93"/>
        <v>0</v>
      </c>
      <c r="CU155" s="5">
        <f t="shared" si="94"/>
        <v>0</v>
      </c>
      <c r="CV155" s="5">
        <f t="shared" si="95"/>
        <v>0</v>
      </c>
      <c r="CW155" s="5">
        <f t="shared" si="96"/>
        <v>0</v>
      </c>
      <c r="CX155" s="5">
        <f t="shared" si="97"/>
        <v>0</v>
      </c>
      <c r="CY155" s="5">
        <f t="shared" si="98"/>
        <v>0</v>
      </c>
      <c r="CZ155" s="5">
        <f t="shared" si="99"/>
        <v>0</v>
      </c>
      <c r="DA155" s="5">
        <f t="shared" si="100"/>
        <v>0</v>
      </c>
      <c r="DB155" s="5">
        <f t="shared" si="101"/>
        <v>0</v>
      </c>
    </row>
    <row r="156" spans="27:106" x14ac:dyDescent="0.15">
      <c r="AA156" s="5">
        <v>152</v>
      </c>
      <c r="AB156" s="5">
        <f>求节点(T$6:T$44,$C$67:$C$105,$AA156)</f>
        <v>0</v>
      </c>
      <c r="AC156" s="5">
        <f>求节点(U$6:U$44,$C$67:$C$105,$AA156)</f>
        <v>0</v>
      </c>
      <c r="AD156" s="5">
        <f>求节点(V$6:V$44,$C$67:$C$105,$AA156)</f>
        <v>0</v>
      </c>
      <c r="AE156" s="5">
        <f>求节点(W$6:W$44,$C$67:$C$105,$AA156)</f>
        <v>0</v>
      </c>
      <c r="AF156" s="5">
        <f>求节点(X$6:X$44,$C$67:$C$105,$AA156)</f>
        <v>0</v>
      </c>
      <c r="AG156" s="5">
        <f>求节点(T$6:T$44,$D$67:$D$105,$AA156)+求节点(T$67:T$105,$Q$67:$Q$105,$AA156)</f>
        <v>102728760</v>
      </c>
      <c r="AH156" s="5">
        <f>求节点(U$6:U$44,$D$67:$D$105,$AA156)+求节点(U$67:U$105,$Q$67:$Q$105,$AA156)</f>
        <v>102728760</v>
      </c>
      <c r="AI156" s="5">
        <f>求节点(V$6:V$44,$D$67:$D$105,$AA156)+求节点(V$67:V$105,$Q$67:$Q$105,$AA156)</f>
        <v>102728760</v>
      </c>
      <c r="AJ156" s="5">
        <f>求节点(W$6:W$44,$D$67:$D$105,$AA156)+求节点(W$67:W$105,$Q$67:$Q$105,$AA156)</f>
        <v>102728760</v>
      </c>
      <c r="AK156" s="5">
        <f>求节点(X$6:X$44,$D$67:$D$105,$AA156)+求节点(X$67:X$105,$Q$67:$Q$105,$AA156)</f>
        <v>102728760</v>
      </c>
      <c r="AL156" s="5">
        <f>求节点(T$6:T$44,$F$67:$F$105,$AA156)+求节点(T$67:T$105,$P$67:$P$105,$AA156)</f>
        <v>1848000</v>
      </c>
      <c r="AM156" s="5">
        <f>求节点(U$6:U$44,$F$67:$F$105,$AA156)+求节点(U$67:U$105,$P$67:$P$105,$AA156)</f>
        <v>1848000</v>
      </c>
      <c r="AN156" s="5">
        <f>求节点(V$6:V$44,$F$67:$F$105,$AA156)+求节点(V$67:V$105,$P$67:$P$105,$AA156)</f>
        <v>1848000</v>
      </c>
      <c r="AO156" s="5">
        <f>求节点(W$6:W$44,$F$67:$F$105,$AA156)+求节点(W$67:W$105,$P$67:$P$105,$AA156)</f>
        <v>1848000</v>
      </c>
      <c r="AP156" s="5">
        <f>求节点(X$6:X$44,$F$67:$F$105,$AA156)+求节点(X$67:X$105,$P$67:$P$105,$AA156)</f>
        <v>1848000</v>
      </c>
      <c r="AQ156" s="5">
        <f>求节点(T$6:T$44,$H$67:$H$105,$AA156)</f>
        <v>963600</v>
      </c>
      <c r="AR156" s="5">
        <f>求节点(U$6:U$44,$H$67:$H$105,$AA156)</f>
        <v>963600</v>
      </c>
      <c r="AS156" s="5">
        <f>求节点(V$6:V$44,$H$67:$H$105,$AA156)</f>
        <v>963600</v>
      </c>
      <c r="AT156" s="5">
        <f>求节点(W$6:W$44,$H$67:$H$105,$AA156)</f>
        <v>963600</v>
      </c>
      <c r="AU156" s="5">
        <f>求节点(X$6:X$44,$H$67:$H$105,$AA156)</f>
        <v>963600</v>
      </c>
      <c r="AV156" s="5">
        <f>求节点(T$6:T$44,$I$67:$I$105,$AA156)</f>
        <v>25320000</v>
      </c>
      <c r="AW156" s="5">
        <f>求节点(U$6:U$44,$I$67:$I$105,$AA156)</f>
        <v>25320000</v>
      </c>
      <c r="AX156" s="5">
        <f>求节点(V$6:V$44,$I$67:$I$105,$AA156)</f>
        <v>25320000</v>
      </c>
      <c r="AY156" s="5">
        <f>求节点(W$6:W$44,$I$67:$I$105,$AA156)</f>
        <v>25320000</v>
      </c>
      <c r="AZ156" s="5">
        <f>求节点(X$6:X$44,$I$67:$I$105,$AA156)</f>
        <v>25320000</v>
      </c>
      <c r="BA156" s="5">
        <f>求节点(T$6:T$44,$E$67:$E$105,$AA156)+求节点(T$6:T$44,$K$67:$K$105,$AA156)+求节点(T$67:T$105,$O$67:$O$105,$AA156)</f>
        <v>8112</v>
      </c>
      <c r="BB156" s="5">
        <f>求节点(U$6:U$44,$E$67:$E$105,$AA156)+求节点(U$6:U$44,$K$67:$K$105,$AA156)+求节点(U$67:U$105,$O$67:$O$105,$AA156)</f>
        <v>8112</v>
      </c>
      <c r="BC156" s="5">
        <f>求节点(V$6:V$44,$E$67:$E$105,$AA156)+求节点(V$6:V$44,$K$67:$K$105,$AA156)+求节点(V$67:V$105,$O$67:$O$105,$AA156)</f>
        <v>8112</v>
      </c>
      <c r="BD156" s="5">
        <f>求节点(W$6:W$44,$E$67:$E$105,$AA156)+求节点(W$6:W$44,$K$67:$K$105,$AA156)+求节点(W$67:W$105,$O$67:$O$105,$AA156)</f>
        <v>8112</v>
      </c>
      <c r="BE156" s="5">
        <f>求节点(X$6:X$44,$E$67:$E$105,$AA156)+求节点(X$6:X$44,$K$67:$K$105,$AA156)+求节点(X$67:X$105,$O$67:$O$105,$AA156)</f>
        <v>8112</v>
      </c>
      <c r="BF156" s="5">
        <f>求节点(T$6:T$44,$G$67:$G$105,$AA156)</f>
        <v>0</v>
      </c>
      <c r="BG156" s="5">
        <f>求节点(U$6:U$44,$G$67:$G$105,$AA156)</f>
        <v>0</v>
      </c>
      <c r="BH156" s="5">
        <f>求节点(V$6:V$44,$G$67:$G$105,$AA156)</f>
        <v>0</v>
      </c>
      <c r="BI156" s="5">
        <f>求节点(W$6:W$44,$G$67:$G$105,$AA156)</f>
        <v>0</v>
      </c>
      <c r="BJ156" s="5">
        <f>求节点(X$6:X$44,$G$67:$G$105,$AA156)</f>
        <v>0</v>
      </c>
      <c r="BK156" s="5">
        <f>求节点(T$6:T$44,$M$67:$M$105,$AA156)</f>
        <v>78</v>
      </c>
      <c r="BL156" s="5">
        <f>求节点(U$6:U$44,$M$67:$M$105,$AA156)</f>
        <v>78</v>
      </c>
      <c r="BM156" s="5">
        <f>求节点(V$6:V$44,$M$67:$M$105,$AA156)</f>
        <v>78</v>
      </c>
      <c r="BN156" s="5">
        <f>求节点(W$6:W$44,$M$67:$M$105,$AA156)</f>
        <v>78</v>
      </c>
      <c r="BO156" s="5">
        <f>求节点(X$6:X$44,$M$67:$M$105,$AA156)</f>
        <v>78</v>
      </c>
      <c r="BP156" s="5">
        <f>求节点(T$67:T$105,$L$67:$L$105,$AA156)</f>
        <v>0</v>
      </c>
      <c r="BQ156" s="5">
        <f>求节点(U$67:U$105,$L$67:$L$105,$AA156)</f>
        <v>0</v>
      </c>
      <c r="BR156" s="5">
        <f>求节点(V$67:V$105,$L$67:$L$105,$AA156)</f>
        <v>0</v>
      </c>
      <c r="BS156" s="5">
        <f>求节点(W$67:W$105,$L$67:$L$105,$AA156)</f>
        <v>0</v>
      </c>
      <c r="BT156" s="5">
        <f>求节点(X$67:X$105,$L$67:$L$105,$AA156)</f>
        <v>0</v>
      </c>
      <c r="BZ156" s="5">
        <v>152</v>
      </c>
      <c r="CA156" s="5">
        <f t="shared" si="81"/>
        <v>8112</v>
      </c>
      <c r="CB156" s="5">
        <f t="shared" si="82"/>
        <v>8112</v>
      </c>
      <c r="CC156" s="5">
        <f t="shared" si="83"/>
        <v>8112</v>
      </c>
      <c r="CD156" s="5">
        <f t="shared" si="84"/>
        <v>8112</v>
      </c>
      <c r="CE156" s="5">
        <f t="shared" si="85"/>
        <v>8112</v>
      </c>
      <c r="CF156" s="5">
        <f>(CA156-CA155)/节奏总纲!W155</f>
        <v>0</v>
      </c>
      <c r="CI156" s="5">
        <v>152</v>
      </c>
      <c r="CJ156" s="5">
        <f t="shared" si="86"/>
        <v>18720</v>
      </c>
      <c r="CK156" s="5">
        <f t="shared" si="87"/>
        <v>18720</v>
      </c>
      <c r="CL156" s="5">
        <f t="shared" si="88"/>
        <v>18720</v>
      </c>
      <c r="CM156" s="5">
        <f t="shared" si="89"/>
        <v>18720</v>
      </c>
      <c r="CN156" s="5">
        <f t="shared" si="90"/>
        <v>18720</v>
      </c>
      <c r="CO156" s="5">
        <f>(CJ156-CJ155)/节奏总纲!W155</f>
        <v>0</v>
      </c>
      <c r="CP156" s="5">
        <f t="shared" si="91"/>
        <v>0</v>
      </c>
      <c r="CR156" s="5">
        <v>152</v>
      </c>
      <c r="CS156" s="5">
        <f t="shared" si="92"/>
        <v>0</v>
      </c>
      <c r="CT156" s="5">
        <f t="shared" si="93"/>
        <v>0</v>
      </c>
      <c r="CU156" s="5">
        <f t="shared" si="94"/>
        <v>0</v>
      </c>
      <c r="CV156" s="5">
        <f t="shared" si="95"/>
        <v>0</v>
      </c>
      <c r="CW156" s="5">
        <f t="shared" si="96"/>
        <v>0</v>
      </c>
      <c r="CX156" s="5">
        <f t="shared" si="97"/>
        <v>0</v>
      </c>
      <c r="CY156" s="5">
        <f t="shared" si="98"/>
        <v>0</v>
      </c>
      <c r="CZ156" s="5">
        <f t="shared" si="99"/>
        <v>0</v>
      </c>
      <c r="DA156" s="5">
        <f t="shared" si="100"/>
        <v>0</v>
      </c>
      <c r="DB156" s="5">
        <f t="shared" si="101"/>
        <v>0</v>
      </c>
    </row>
    <row r="157" spans="27:106" x14ac:dyDescent="0.15">
      <c r="AA157" s="5">
        <v>153</v>
      </c>
      <c r="AB157" s="5">
        <f>求节点(T$6:T$44,$C$67:$C$105,$AA157)</f>
        <v>0</v>
      </c>
      <c r="AC157" s="5">
        <f>求节点(U$6:U$44,$C$67:$C$105,$AA157)</f>
        <v>0</v>
      </c>
      <c r="AD157" s="5">
        <f>求节点(V$6:V$44,$C$67:$C$105,$AA157)</f>
        <v>0</v>
      </c>
      <c r="AE157" s="5">
        <f>求节点(W$6:W$44,$C$67:$C$105,$AA157)</f>
        <v>0</v>
      </c>
      <c r="AF157" s="5">
        <f>求节点(X$6:X$44,$C$67:$C$105,$AA157)</f>
        <v>0</v>
      </c>
      <c r="AG157" s="5">
        <f>求节点(T$6:T$44,$D$67:$D$105,$AA157)+求节点(T$67:T$105,$Q$67:$Q$105,$AA157)</f>
        <v>102728760</v>
      </c>
      <c r="AH157" s="5">
        <f>求节点(U$6:U$44,$D$67:$D$105,$AA157)+求节点(U$67:U$105,$Q$67:$Q$105,$AA157)</f>
        <v>102728760</v>
      </c>
      <c r="AI157" s="5">
        <f>求节点(V$6:V$44,$D$67:$D$105,$AA157)+求节点(V$67:V$105,$Q$67:$Q$105,$AA157)</f>
        <v>102728760</v>
      </c>
      <c r="AJ157" s="5">
        <f>求节点(W$6:W$44,$D$67:$D$105,$AA157)+求节点(W$67:W$105,$Q$67:$Q$105,$AA157)</f>
        <v>102728760</v>
      </c>
      <c r="AK157" s="5">
        <f>求节点(X$6:X$44,$D$67:$D$105,$AA157)+求节点(X$67:X$105,$Q$67:$Q$105,$AA157)</f>
        <v>102728760</v>
      </c>
      <c r="AL157" s="5">
        <f>求节点(T$6:T$44,$F$67:$F$105,$AA157)+求节点(T$67:T$105,$P$67:$P$105,$AA157)</f>
        <v>1848000</v>
      </c>
      <c r="AM157" s="5">
        <f>求节点(U$6:U$44,$F$67:$F$105,$AA157)+求节点(U$67:U$105,$P$67:$P$105,$AA157)</f>
        <v>1848000</v>
      </c>
      <c r="AN157" s="5">
        <f>求节点(V$6:V$44,$F$67:$F$105,$AA157)+求节点(V$67:V$105,$P$67:$P$105,$AA157)</f>
        <v>1848000</v>
      </c>
      <c r="AO157" s="5">
        <f>求节点(W$6:W$44,$F$67:$F$105,$AA157)+求节点(W$67:W$105,$P$67:$P$105,$AA157)</f>
        <v>1848000</v>
      </c>
      <c r="AP157" s="5">
        <f>求节点(X$6:X$44,$F$67:$F$105,$AA157)+求节点(X$67:X$105,$P$67:$P$105,$AA157)</f>
        <v>1848000</v>
      </c>
      <c r="AQ157" s="5">
        <f>求节点(T$6:T$44,$H$67:$H$105,$AA157)</f>
        <v>963600</v>
      </c>
      <c r="AR157" s="5">
        <f>求节点(U$6:U$44,$H$67:$H$105,$AA157)</f>
        <v>963600</v>
      </c>
      <c r="AS157" s="5">
        <f>求节点(V$6:V$44,$H$67:$H$105,$AA157)</f>
        <v>963600</v>
      </c>
      <c r="AT157" s="5">
        <f>求节点(W$6:W$44,$H$67:$H$105,$AA157)</f>
        <v>963600</v>
      </c>
      <c r="AU157" s="5">
        <f>求节点(X$6:X$44,$H$67:$H$105,$AA157)</f>
        <v>963600</v>
      </c>
      <c r="AV157" s="5">
        <f>求节点(T$6:T$44,$I$67:$I$105,$AA157)</f>
        <v>25320000</v>
      </c>
      <c r="AW157" s="5">
        <f>求节点(U$6:U$44,$I$67:$I$105,$AA157)</f>
        <v>25320000</v>
      </c>
      <c r="AX157" s="5">
        <f>求节点(V$6:V$44,$I$67:$I$105,$AA157)</f>
        <v>25320000</v>
      </c>
      <c r="AY157" s="5">
        <f>求节点(W$6:W$44,$I$67:$I$105,$AA157)</f>
        <v>25320000</v>
      </c>
      <c r="AZ157" s="5">
        <f>求节点(X$6:X$44,$I$67:$I$105,$AA157)</f>
        <v>25320000</v>
      </c>
      <c r="BA157" s="5">
        <f>求节点(T$6:T$44,$E$67:$E$105,$AA157)+求节点(T$6:T$44,$K$67:$K$105,$AA157)+求节点(T$67:T$105,$O$67:$O$105,$AA157)</f>
        <v>8112</v>
      </c>
      <c r="BB157" s="5">
        <f>求节点(U$6:U$44,$E$67:$E$105,$AA157)+求节点(U$6:U$44,$K$67:$K$105,$AA157)+求节点(U$67:U$105,$O$67:$O$105,$AA157)</f>
        <v>8112</v>
      </c>
      <c r="BC157" s="5">
        <f>求节点(V$6:V$44,$E$67:$E$105,$AA157)+求节点(V$6:V$44,$K$67:$K$105,$AA157)+求节点(V$67:V$105,$O$67:$O$105,$AA157)</f>
        <v>8112</v>
      </c>
      <c r="BD157" s="5">
        <f>求节点(W$6:W$44,$E$67:$E$105,$AA157)+求节点(W$6:W$44,$K$67:$K$105,$AA157)+求节点(W$67:W$105,$O$67:$O$105,$AA157)</f>
        <v>8112</v>
      </c>
      <c r="BE157" s="5">
        <f>求节点(X$6:X$44,$E$67:$E$105,$AA157)+求节点(X$6:X$44,$K$67:$K$105,$AA157)+求节点(X$67:X$105,$O$67:$O$105,$AA157)</f>
        <v>8112</v>
      </c>
      <c r="BF157" s="5">
        <f>求节点(T$6:T$44,$G$67:$G$105,$AA157)</f>
        <v>0</v>
      </c>
      <c r="BG157" s="5">
        <f>求节点(U$6:U$44,$G$67:$G$105,$AA157)</f>
        <v>0</v>
      </c>
      <c r="BH157" s="5">
        <f>求节点(V$6:V$44,$G$67:$G$105,$AA157)</f>
        <v>0</v>
      </c>
      <c r="BI157" s="5">
        <f>求节点(W$6:W$44,$G$67:$G$105,$AA157)</f>
        <v>0</v>
      </c>
      <c r="BJ157" s="5">
        <f>求节点(X$6:X$44,$G$67:$G$105,$AA157)</f>
        <v>0</v>
      </c>
      <c r="BK157" s="5">
        <f>求节点(T$6:T$44,$M$67:$M$105,$AA157)</f>
        <v>78</v>
      </c>
      <c r="BL157" s="5">
        <f>求节点(U$6:U$44,$M$67:$M$105,$AA157)</f>
        <v>78</v>
      </c>
      <c r="BM157" s="5">
        <f>求节点(V$6:V$44,$M$67:$M$105,$AA157)</f>
        <v>78</v>
      </c>
      <c r="BN157" s="5">
        <f>求节点(W$6:W$44,$M$67:$M$105,$AA157)</f>
        <v>78</v>
      </c>
      <c r="BO157" s="5">
        <f>求节点(X$6:X$44,$M$67:$M$105,$AA157)</f>
        <v>78</v>
      </c>
      <c r="BP157" s="5">
        <f>求节点(T$67:T$105,$L$67:$L$105,$AA157)</f>
        <v>0</v>
      </c>
      <c r="BQ157" s="5">
        <f>求节点(U$67:U$105,$L$67:$L$105,$AA157)</f>
        <v>0</v>
      </c>
      <c r="BR157" s="5">
        <f>求节点(V$67:V$105,$L$67:$L$105,$AA157)</f>
        <v>0</v>
      </c>
      <c r="BS157" s="5">
        <f>求节点(W$67:W$105,$L$67:$L$105,$AA157)</f>
        <v>0</v>
      </c>
      <c r="BT157" s="5">
        <f>求节点(X$67:X$105,$L$67:$L$105,$AA157)</f>
        <v>0</v>
      </c>
      <c r="BZ157" s="5">
        <v>153</v>
      </c>
      <c r="CA157" s="5">
        <f t="shared" si="81"/>
        <v>8112</v>
      </c>
      <c r="CB157" s="5">
        <f t="shared" si="82"/>
        <v>8112</v>
      </c>
      <c r="CC157" s="5">
        <f t="shared" si="83"/>
        <v>8112</v>
      </c>
      <c r="CD157" s="5">
        <f t="shared" si="84"/>
        <v>8112</v>
      </c>
      <c r="CE157" s="5">
        <f t="shared" si="85"/>
        <v>8112</v>
      </c>
      <c r="CF157" s="5">
        <f>(CA157-CA156)/节奏总纲!W156</f>
        <v>0</v>
      </c>
      <c r="CI157" s="5">
        <v>153</v>
      </c>
      <c r="CJ157" s="5">
        <f t="shared" si="86"/>
        <v>18720</v>
      </c>
      <c r="CK157" s="5">
        <f t="shared" si="87"/>
        <v>18720</v>
      </c>
      <c r="CL157" s="5">
        <f t="shared" si="88"/>
        <v>18720</v>
      </c>
      <c r="CM157" s="5">
        <f t="shared" si="89"/>
        <v>18720</v>
      </c>
      <c r="CN157" s="5">
        <f t="shared" si="90"/>
        <v>18720</v>
      </c>
      <c r="CO157" s="5">
        <f>(CJ157-CJ156)/节奏总纲!W156</f>
        <v>0</v>
      </c>
      <c r="CP157" s="5">
        <f t="shared" si="91"/>
        <v>0</v>
      </c>
      <c r="CR157" s="5">
        <v>153</v>
      </c>
      <c r="CS157" s="5">
        <f t="shared" si="92"/>
        <v>0</v>
      </c>
      <c r="CT157" s="5">
        <f t="shared" si="93"/>
        <v>0</v>
      </c>
      <c r="CU157" s="5">
        <f t="shared" si="94"/>
        <v>0</v>
      </c>
      <c r="CV157" s="5">
        <f t="shared" si="95"/>
        <v>0</v>
      </c>
      <c r="CW157" s="5">
        <f t="shared" si="96"/>
        <v>0</v>
      </c>
      <c r="CX157" s="5">
        <f t="shared" si="97"/>
        <v>0</v>
      </c>
      <c r="CY157" s="5">
        <f t="shared" si="98"/>
        <v>0</v>
      </c>
      <c r="CZ157" s="5">
        <f t="shared" si="99"/>
        <v>0</v>
      </c>
      <c r="DA157" s="5">
        <f t="shared" si="100"/>
        <v>0</v>
      </c>
      <c r="DB157" s="5">
        <f t="shared" si="101"/>
        <v>0</v>
      </c>
    </row>
    <row r="158" spans="27:106" x14ac:dyDescent="0.15">
      <c r="AA158" s="5">
        <v>154</v>
      </c>
      <c r="AB158" s="5">
        <f>求节点(T$6:T$44,$C$67:$C$105,$AA158)</f>
        <v>0</v>
      </c>
      <c r="AC158" s="5">
        <f>求节点(U$6:U$44,$C$67:$C$105,$AA158)</f>
        <v>0</v>
      </c>
      <c r="AD158" s="5">
        <f>求节点(V$6:V$44,$C$67:$C$105,$AA158)</f>
        <v>0</v>
      </c>
      <c r="AE158" s="5">
        <f>求节点(W$6:W$44,$C$67:$C$105,$AA158)</f>
        <v>0</v>
      </c>
      <c r="AF158" s="5">
        <f>求节点(X$6:X$44,$C$67:$C$105,$AA158)</f>
        <v>0</v>
      </c>
      <c r="AG158" s="5">
        <f>求节点(T$6:T$44,$D$67:$D$105,$AA158)+求节点(T$67:T$105,$Q$67:$Q$105,$AA158)</f>
        <v>102728760</v>
      </c>
      <c r="AH158" s="5">
        <f>求节点(U$6:U$44,$D$67:$D$105,$AA158)+求节点(U$67:U$105,$Q$67:$Q$105,$AA158)</f>
        <v>102728760</v>
      </c>
      <c r="AI158" s="5">
        <f>求节点(V$6:V$44,$D$67:$D$105,$AA158)+求节点(V$67:V$105,$Q$67:$Q$105,$AA158)</f>
        <v>102728760</v>
      </c>
      <c r="AJ158" s="5">
        <f>求节点(W$6:W$44,$D$67:$D$105,$AA158)+求节点(W$67:W$105,$Q$67:$Q$105,$AA158)</f>
        <v>102728760</v>
      </c>
      <c r="AK158" s="5">
        <f>求节点(X$6:X$44,$D$67:$D$105,$AA158)+求节点(X$67:X$105,$Q$67:$Q$105,$AA158)</f>
        <v>102728760</v>
      </c>
      <c r="AL158" s="5">
        <f>求节点(T$6:T$44,$F$67:$F$105,$AA158)+求节点(T$67:T$105,$P$67:$P$105,$AA158)</f>
        <v>1848000</v>
      </c>
      <c r="AM158" s="5">
        <f>求节点(U$6:U$44,$F$67:$F$105,$AA158)+求节点(U$67:U$105,$P$67:$P$105,$AA158)</f>
        <v>1848000</v>
      </c>
      <c r="AN158" s="5">
        <f>求节点(V$6:V$44,$F$67:$F$105,$AA158)+求节点(V$67:V$105,$P$67:$P$105,$AA158)</f>
        <v>1848000</v>
      </c>
      <c r="AO158" s="5">
        <f>求节点(W$6:W$44,$F$67:$F$105,$AA158)+求节点(W$67:W$105,$P$67:$P$105,$AA158)</f>
        <v>1848000</v>
      </c>
      <c r="AP158" s="5">
        <f>求节点(X$6:X$44,$F$67:$F$105,$AA158)+求节点(X$67:X$105,$P$67:$P$105,$AA158)</f>
        <v>1848000</v>
      </c>
      <c r="AQ158" s="5">
        <f>求节点(T$6:T$44,$H$67:$H$105,$AA158)</f>
        <v>963600</v>
      </c>
      <c r="AR158" s="5">
        <f>求节点(U$6:U$44,$H$67:$H$105,$AA158)</f>
        <v>963600</v>
      </c>
      <c r="AS158" s="5">
        <f>求节点(V$6:V$44,$H$67:$H$105,$AA158)</f>
        <v>963600</v>
      </c>
      <c r="AT158" s="5">
        <f>求节点(W$6:W$44,$H$67:$H$105,$AA158)</f>
        <v>963600</v>
      </c>
      <c r="AU158" s="5">
        <f>求节点(X$6:X$44,$H$67:$H$105,$AA158)</f>
        <v>963600</v>
      </c>
      <c r="AV158" s="5">
        <f>求节点(T$6:T$44,$I$67:$I$105,$AA158)</f>
        <v>25320000</v>
      </c>
      <c r="AW158" s="5">
        <f>求节点(U$6:U$44,$I$67:$I$105,$AA158)</f>
        <v>25320000</v>
      </c>
      <c r="AX158" s="5">
        <f>求节点(V$6:V$44,$I$67:$I$105,$AA158)</f>
        <v>25320000</v>
      </c>
      <c r="AY158" s="5">
        <f>求节点(W$6:W$44,$I$67:$I$105,$AA158)</f>
        <v>25320000</v>
      </c>
      <c r="AZ158" s="5">
        <f>求节点(X$6:X$44,$I$67:$I$105,$AA158)</f>
        <v>25320000</v>
      </c>
      <c r="BA158" s="5">
        <f>求节点(T$6:T$44,$E$67:$E$105,$AA158)+求节点(T$6:T$44,$K$67:$K$105,$AA158)+求节点(T$67:T$105,$O$67:$O$105,$AA158)</f>
        <v>8112</v>
      </c>
      <c r="BB158" s="5">
        <f>求节点(U$6:U$44,$E$67:$E$105,$AA158)+求节点(U$6:U$44,$K$67:$K$105,$AA158)+求节点(U$67:U$105,$O$67:$O$105,$AA158)</f>
        <v>8112</v>
      </c>
      <c r="BC158" s="5">
        <f>求节点(V$6:V$44,$E$67:$E$105,$AA158)+求节点(V$6:V$44,$K$67:$K$105,$AA158)+求节点(V$67:V$105,$O$67:$O$105,$AA158)</f>
        <v>8112</v>
      </c>
      <c r="BD158" s="5">
        <f>求节点(W$6:W$44,$E$67:$E$105,$AA158)+求节点(W$6:W$44,$K$67:$K$105,$AA158)+求节点(W$67:W$105,$O$67:$O$105,$AA158)</f>
        <v>8112</v>
      </c>
      <c r="BE158" s="5">
        <f>求节点(X$6:X$44,$E$67:$E$105,$AA158)+求节点(X$6:X$44,$K$67:$K$105,$AA158)+求节点(X$67:X$105,$O$67:$O$105,$AA158)</f>
        <v>8112</v>
      </c>
      <c r="BF158" s="5">
        <f>求节点(T$6:T$44,$G$67:$G$105,$AA158)</f>
        <v>0</v>
      </c>
      <c r="BG158" s="5">
        <f>求节点(U$6:U$44,$G$67:$G$105,$AA158)</f>
        <v>0</v>
      </c>
      <c r="BH158" s="5">
        <f>求节点(V$6:V$44,$G$67:$G$105,$AA158)</f>
        <v>0</v>
      </c>
      <c r="BI158" s="5">
        <f>求节点(W$6:W$44,$G$67:$G$105,$AA158)</f>
        <v>0</v>
      </c>
      <c r="BJ158" s="5">
        <f>求节点(X$6:X$44,$G$67:$G$105,$AA158)</f>
        <v>0</v>
      </c>
      <c r="BK158" s="5">
        <f>求节点(T$6:T$44,$M$67:$M$105,$AA158)</f>
        <v>78</v>
      </c>
      <c r="BL158" s="5">
        <f>求节点(U$6:U$44,$M$67:$M$105,$AA158)</f>
        <v>78</v>
      </c>
      <c r="BM158" s="5">
        <f>求节点(V$6:V$44,$M$67:$M$105,$AA158)</f>
        <v>78</v>
      </c>
      <c r="BN158" s="5">
        <f>求节点(W$6:W$44,$M$67:$M$105,$AA158)</f>
        <v>78</v>
      </c>
      <c r="BO158" s="5">
        <f>求节点(X$6:X$44,$M$67:$M$105,$AA158)</f>
        <v>78</v>
      </c>
      <c r="BP158" s="5">
        <f>求节点(T$67:T$105,$L$67:$L$105,$AA158)</f>
        <v>0</v>
      </c>
      <c r="BQ158" s="5">
        <f>求节点(U$67:U$105,$L$67:$L$105,$AA158)</f>
        <v>0</v>
      </c>
      <c r="BR158" s="5">
        <f>求节点(V$67:V$105,$L$67:$L$105,$AA158)</f>
        <v>0</v>
      </c>
      <c r="BS158" s="5">
        <f>求节点(W$67:W$105,$L$67:$L$105,$AA158)</f>
        <v>0</v>
      </c>
      <c r="BT158" s="5">
        <f>求节点(X$67:X$105,$L$67:$L$105,$AA158)</f>
        <v>0</v>
      </c>
      <c r="BZ158" s="5">
        <v>154</v>
      </c>
      <c r="CA158" s="5">
        <f t="shared" si="81"/>
        <v>8112</v>
      </c>
      <c r="CB158" s="5">
        <f t="shared" si="82"/>
        <v>8112</v>
      </c>
      <c r="CC158" s="5">
        <f t="shared" si="83"/>
        <v>8112</v>
      </c>
      <c r="CD158" s="5">
        <f t="shared" si="84"/>
        <v>8112</v>
      </c>
      <c r="CE158" s="5">
        <f t="shared" si="85"/>
        <v>8112</v>
      </c>
      <c r="CF158" s="5">
        <f>(CA158-CA157)/节奏总纲!W157</f>
        <v>0</v>
      </c>
      <c r="CI158" s="5">
        <v>154</v>
      </c>
      <c r="CJ158" s="5">
        <f t="shared" si="86"/>
        <v>18720</v>
      </c>
      <c r="CK158" s="5">
        <f t="shared" si="87"/>
        <v>18720</v>
      </c>
      <c r="CL158" s="5">
        <f t="shared" si="88"/>
        <v>18720</v>
      </c>
      <c r="CM158" s="5">
        <f t="shared" si="89"/>
        <v>18720</v>
      </c>
      <c r="CN158" s="5">
        <f t="shared" si="90"/>
        <v>18720</v>
      </c>
      <c r="CO158" s="5">
        <f>(CJ158-CJ157)/节奏总纲!W157</f>
        <v>0</v>
      </c>
      <c r="CP158" s="5">
        <f t="shared" si="91"/>
        <v>0</v>
      </c>
      <c r="CR158" s="5">
        <v>154</v>
      </c>
      <c r="CS158" s="5">
        <f t="shared" si="92"/>
        <v>0</v>
      </c>
      <c r="CT158" s="5">
        <f t="shared" si="93"/>
        <v>0</v>
      </c>
      <c r="CU158" s="5">
        <f t="shared" si="94"/>
        <v>0</v>
      </c>
      <c r="CV158" s="5">
        <f t="shared" si="95"/>
        <v>0</v>
      </c>
      <c r="CW158" s="5">
        <f t="shared" si="96"/>
        <v>0</v>
      </c>
      <c r="CX158" s="5">
        <f t="shared" si="97"/>
        <v>0</v>
      </c>
      <c r="CY158" s="5">
        <f t="shared" si="98"/>
        <v>0</v>
      </c>
      <c r="CZ158" s="5">
        <f t="shared" si="99"/>
        <v>0</v>
      </c>
      <c r="DA158" s="5">
        <f t="shared" si="100"/>
        <v>0</v>
      </c>
      <c r="DB158" s="5">
        <f t="shared" si="101"/>
        <v>0</v>
      </c>
    </row>
    <row r="159" spans="27:106" x14ac:dyDescent="0.15">
      <c r="AA159" s="5">
        <v>155</v>
      </c>
      <c r="AB159" s="5">
        <f>求节点(T$6:T$44,$C$67:$C$105,$AA159)</f>
        <v>0</v>
      </c>
      <c r="AC159" s="5">
        <f>求节点(U$6:U$44,$C$67:$C$105,$AA159)</f>
        <v>0</v>
      </c>
      <c r="AD159" s="5">
        <f>求节点(V$6:V$44,$C$67:$C$105,$AA159)</f>
        <v>0</v>
      </c>
      <c r="AE159" s="5">
        <f>求节点(W$6:W$44,$C$67:$C$105,$AA159)</f>
        <v>0</v>
      </c>
      <c r="AF159" s="5">
        <f>求节点(X$6:X$44,$C$67:$C$105,$AA159)</f>
        <v>0</v>
      </c>
      <c r="AG159" s="5">
        <f>求节点(T$6:T$44,$D$67:$D$105,$AA159)+求节点(T$67:T$105,$Q$67:$Q$105,$AA159)</f>
        <v>102728760</v>
      </c>
      <c r="AH159" s="5">
        <f>求节点(U$6:U$44,$D$67:$D$105,$AA159)+求节点(U$67:U$105,$Q$67:$Q$105,$AA159)</f>
        <v>102728760</v>
      </c>
      <c r="AI159" s="5">
        <f>求节点(V$6:V$44,$D$67:$D$105,$AA159)+求节点(V$67:V$105,$Q$67:$Q$105,$AA159)</f>
        <v>102728760</v>
      </c>
      <c r="AJ159" s="5">
        <f>求节点(W$6:W$44,$D$67:$D$105,$AA159)+求节点(W$67:W$105,$Q$67:$Q$105,$AA159)</f>
        <v>102728760</v>
      </c>
      <c r="AK159" s="5">
        <f>求节点(X$6:X$44,$D$67:$D$105,$AA159)+求节点(X$67:X$105,$Q$67:$Q$105,$AA159)</f>
        <v>102728760</v>
      </c>
      <c r="AL159" s="5">
        <f>求节点(T$6:T$44,$F$67:$F$105,$AA159)+求节点(T$67:T$105,$P$67:$P$105,$AA159)</f>
        <v>1848000</v>
      </c>
      <c r="AM159" s="5">
        <f>求节点(U$6:U$44,$F$67:$F$105,$AA159)+求节点(U$67:U$105,$P$67:$P$105,$AA159)</f>
        <v>1848000</v>
      </c>
      <c r="AN159" s="5">
        <f>求节点(V$6:V$44,$F$67:$F$105,$AA159)+求节点(V$67:V$105,$P$67:$P$105,$AA159)</f>
        <v>1848000</v>
      </c>
      <c r="AO159" s="5">
        <f>求节点(W$6:W$44,$F$67:$F$105,$AA159)+求节点(W$67:W$105,$P$67:$P$105,$AA159)</f>
        <v>1848000</v>
      </c>
      <c r="AP159" s="5">
        <f>求节点(X$6:X$44,$F$67:$F$105,$AA159)+求节点(X$67:X$105,$P$67:$P$105,$AA159)</f>
        <v>1848000</v>
      </c>
      <c r="AQ159" s="5">
        <f>求节点(T$6:T$44,$H$67:$H$105,$AA159)</f>
        <v>963600</v>
      </c>
      <c r="AR159" s="5">
        <f>求节点(U$6:U$44,$H$67:$H$105,$AA159)</f>
        <v>963600</v>
      </c>
      <c r="AS159" s="5">
        <f>求节点(V$6:V$44,$H$67:$H$105,$AA159)</f>
        <v>963600</v>
      </c>
      <c r="AT159" s="5">
        <f>求节点(W$6:W$44,$H$67:$H$105,$AA159)</f>
        <v>963600</v>
      </c>
      <c r="AU159" s="5">
        <f>求节点(X$6:X$44,$H$67:$H$105,$AA159)</f>
        <v>963600</v>
      </c>
      <c r="AV159" s="5">
        <f>求节点(T$6:T$44,$I$67:$I$105,$AA159)</f>
        <v>25320000</v>
      </c>
      <c r="AW159" s="5">
        <f>求节点(U$6:U$44,$I$67:$I$105,$AA159)</f>
        <v>25320000</v>
      </c>
      <c r="AX159" s="5">
        <f>求节点(V$6:V$44,$I$67:$I$105,$AA159)</f>
        <v>25320000</v>
      </c>
      <c r="AY159" s="5">
        <f>求节点(W$6:W$44,$I$67:$I$105,$AA159)</f>
        <v>25320000</v>
      </c>
      <c r="AZ159" s="5">
        <f>求节点(X$6:X$44,$I$67:$I$105,$AA159)</f>
        <v>25320000</v>
      </c>
      <c r="BA159" s="5">
        <f>求节点(T$6:T$44,$E$67:$E$105,$AA159)+求节点(T$6:T$44,$K$67:$K$105,$AA159)+求节点(T$67:T$105,$O$67:$O$105,$AA159)</f>
        <v>8112</v>
      </c>
      <c r="BB159" s="5">
        <f>求节点(U$6:U$44,$E$67:$E$105,$AA159)+求节点(U$6:U$44,$K$67:$K$105,$AA159)+求节点(U$67:U$105,$O$67:$O$105,$AA159)</f>
        <v>8112</v>
      </c>
      <c r="BC159" s="5">
        <f>求节点(V$6:V$44,$E$67:$E$105,$AA159)+求节点(V$6:V$44,$K$67:$K$105,$AA159)+求节点(V$67:V$105,$O$67:$O$105,$AA159)</f>
        <v>8112</v>
      </c>
      <c r="BD159" s="5">
        <f>求节点(W$6:W$44,$E$67:$E$105,$AA159)+求节点(W$6:W$44,$K$67:$K$105,$AA159)+求节点(W$67:W$105,$O$67:$O$105,$AA159)</f>
        <v>8112</v>
      </c>
      <c r="BE159" s="5">
        <f>求节点(X$6:X$44,$E$67:$E$105,$AA159)+求节点(X$6:X$44,$K$67:$K$105,$AA159)+求节点(X$67:X$105,$O$67:$O$105,$AA159)</f>
        <v>8112</v>
      </c>
      <c r="BF159" s="5">
        <f>求节点(T$6:T$44,$G$67:$G$105,$AA159)</f>
        <v>0</v>
      </c>
      <c r="BG159" s="5">
        <f>求节点(U$6:U$44,$G$67:$G$105,$AA159)</f>
        <v>0</v>
      </c>
      <c r="BH159" s="5">
        <f>求节点(V$6:V$44,$G$67:$G$105,$AA159)</f>
        <v>0</v>
      </c>
      <c r="BI159" s="5">
        <f>求节点(W$6:W$44,$G$67:$G$105,$AA159)</f>
        <v>0</v>
      </c>
      <c r="BJ159" s="5">
        <f>求节点(X$6:X$44,$G$67:$G$105,$AA159)</f>
        <v>0</v>
      </c>
      <c r="BK159" s="5">
        <f>求节点(T$6:T$44,$M$67:$M$105,$AA159)</f>
        <v>78</v>
      </c>
      <c r="BL159" s="5">
        <f>求节点(U$6:U$44,$M$67:$M$105,$AA159)</f>
        <v>78</v>
      </c>
      <c r="BM159" s="5">
        <f>求节点(V$6:V$44,$M$67:$M$105,$AA159)</f>
        <v>78</v>
      </c>
      <c r="BN159" s="5">
        <f>求节点(W$6:W$44,$M$67:$M$105,$AA159)</f>
        <v>78</v>
      </c>
      <c r="BO159" s="5">
        <f>求节点(X$6:X$44,$M$67:$M$105,$AA159)</f>
        <v>78</v>
      </c>
      <c r="BP159" s="5">
        <f>求节点(T$67:T$105,$L$67:$L$105,$AA159)</f>
        <v>0</v>
      </c>
      <c r="BQ159" s="5">
        <f>求节点(U$67:U$105,$L$67:$L$105,$AA159)</f>
        <v>0</v>
      </c>
      <c r="BR159" s="5">
        <f>求节点(V$67:V$105,$L$67:$L$105,$AA159)</f>
        <v>0</v>
      </c>
      <c r="BS159" s="5">
        <f>求节点(W$67:W$105,$L$67:$L$105,$AA159)</f>
        <v>0</v>
      </c>
      <c r="BT159" s="5">
        <f>求节点(X$67:X$105,$L$67:$L$105,$AA159)</f>
        <v>0</v>
      </c>
      <c r="BZ159" s="5">
        <v>155</v>
      </c>
      <c r="CA159" s="5">
        <f t="shared" si="81"/>
        <v>8112</v>
      </c>
      <c r="CB159" s="5">
        <f t="shared" si="82"/>
        <v>8112</v>
      </c>
      <c r="CC159" s="5">
        <f t="shared" si="83"/>
        <v>8112</v>
      </c>
      <c r="CD159" s="5">
        <f t="shared" si="84"/>
        <v>8112</v>
      </c>
      <c r="CE159" s="5">
        <f t="shared" si="85"/>
        <v>8112</v>
      </c>
      <c r="CF159" s="5">
        <f>(CA159-CA158)/节奏总纲!W158</f>
        <v>0</v>
      </c>
      <c r="CI159" s="5">
        <v>155</v>
      </c>
      <c r="CJ159" s="5">
        <f t="shared" si="86"/>
        <v>18720</v>
      </c>
      <c r="CK159" s="5">
        <f t="shared" si="87"/>
        <v>18720</v>
      </c>
      <c r="CL159" s="5">
        <f t="shared" si="88"/>
        <v>18720</v>
      </c>
      <c r="CM159" s="5">
        <f t="shared" si="89"/>
        <v>18720</v>
      </c>
      <c r="CN159" s="5">
        <f t="shared" si="90"/>
        <v>18720</v>
      </c>
      <c r="CO159" s="5">
        <f>(CJ159-CJ158)/节奏总纲!W158</f>
        <v>0</v>
      </c>
      <c r="CP159" s="5">
        <f t="shared" si="91"/>
        <v>0</v>
      </c>
      <c r="CR159" s="5">
        <v>155</v>
      </c>
      <c r="CS159" s="5">
        <f t="shared" si="92"/>
        <v>0</v>
      </c>
      <c r="CT159" s="5">
        <f t="shared" si="93"/>
        <v>0</v>
      </c>
      <c r="CU159" s="5">
        <f t="shared" si="94"/>
        <v>0</v>
      </c>
      <c r="CV159" s="5">
        <f t="shared" si="95"/>
        <v>0</v>
      </c>
      <c r="CW159" s="5">
        <f t="shared" si="96"/>
        <v>0</v>
      </c>
      <c r="CX159" s="5">
        <f t="shared" si="97"/>
        <v>0</v>
      </c>
      <c r="CY159" s="5">
        <f t="shared" si="98"/>
        <v>0</v>
      </c>
      <c r="CZ159" s="5">
        <f t="shared" si="99"/>
        <v>0</v>
      </c>
      <c r="DA159" s="5">
        <f t="shared" si="100"/>
        <v>0</v>
      </c>
      <c r="DB159" s="5">
        <f t="shared" si="101"/>
        <v>0</v>
      </c>
    </row>
    <row r="160" spans="27:106" x14ac:dyDescent="0.15">
      <c r="AA160" s="5">
        <v>156</v>
      </c>
      <c r="AB160" s="5">
        <f>求节点(T$6:T$44,$C$67:$C$105,$AA160)</f>
        <v>0</v>
      </c>
      <c r="AC160" s="5">
        <f>求节点(U$6:U$44,$C$67:$C$105,$AA160)</f>
        <v>0</v>
      </c>
      <c r="AD160" s="5">
        <f>求节点(V$6:V$44,$C$67:$C$105,$AA160)</f>
        <v>0</v>
      </c>
      <c r="AE160" s="5">
        <f>求节点(W$6:W$44,$C$67:$C$105,$AA160)</f>
        <v>0</v>
      </c>
      <c r="AF160" s="5">
        <f>求节点(X$6:X$44,$C$67:$C$105,$AA160)</f>
        <v>0</v>
      </c>
      <c r="AG160" s="5">
        <f>求节点(T$6:T$44,$D$67:$D$105,$AA160)+求节点(T$67:T$105,$Q$67:$Q$105,$AA160)</f>
        <v>102728760</v>
      </c>
      <c r="AH160" s="5">
        <f>求节点(U$6:U$44,$D$67:$D$105,$AA160)+求节点(U$67:U$105,$Q$67:$Q$105,$AA160)</f>
        <v>102728760</v>
      </c>
      <c r="AI160" s="5">
        <f>求节点(V$6:V$44,$D$67:$D$105,$AA160)+求节点(V$67:V$105,$Q$67:$Q$105,$AA160)</f>
        <v>102728760</v>
      </c>
      <c r="AJ160" s="5">
        <f>求节点(W$6:W$44,$D$67:$D$105,$AA160)+求节点(W$67:W$105,$Q$67:$Q$105,$AA160)</f>
        <v>102728760</v>
      </c>
      <c r="AK160" s="5">
        <f>求节点(X$6:X$44,$D$67:$D$105,$AA160)+求节点(X$67:X$105,$Q$67:$Q$105,$AA160)</f>
        <v>102728760</v>
      </c>
      <c r="AL160" s="5">
        <f>求节点(T$6:T$44,$F$67:$F$105,$AA160)+求节点(T$67:T$105,$P$67:$P$105,$AA160)</f>
        <v>1848000</v>
      </c>
      <c r="AM160" s="5">
        <f>求节点(U$6:U$44,$F$67:$F$105,$AA160)+求节点(U$67:U$105,$P$67:$P$105,$AA160)</f>
        <v>1848000</v>
      </c>
      <c r="AN160" s="5">
        <f>求节点(V$6:V$44,$F$67:$F$105,$AA160)+求节点(V$67:V$105,$P$67:$P$105,$AA160)</f>
        <v>1848000</v>
      </c>
      <c r="AO160" s="5">
        <f>求节点(W$6:W$44,$F$67:$F$105,$AA160)+求节点(W$67:W$105,$P$67:$P$105,$AA160)</f>
        <v>1848000</v>
      </c>
      <c r="AP160" s="5">
        <f>求节点(X$6:X$44,$F$67:$F$105,$AA160)+求节点(X$67:X$105,$P$67:$P$105,$AA160)</f>
        <v>1848000</v>
      </c>
      <c r="AQ160" s="5">
        <f>求节点(T$6:T$44,$H$67:$H$105,$AA160)</f>
        <v>963600</v>
      </c>
      <c r="AR160" s="5">
        <f>求节点(U$6:U$44,$H$67:$H$105,$AA160)</f>
        <v>963600</v>
      </c>
      <c r="AS160" s="5">
        <f>求节点(V$6:V$44,$H$67:$H$105,$AA160)</f>
        <v>963600</v>
      </c>
      <c r="AT160" s="5">
        <f>求节点(W$6:W$44,$H$67:$H$105,$AA160)</f>
        <v>963600</v>
      </c>
      <c r="AU160" s="5">
        <f>求节点(X$6:X$44,$H$67:$H$105,$AA160)</f>
        <v>963600</v>
      </c>
      <c r="AV160" s="5">
        <f>求节点(T$6:T$44,$I$67:$I$105,$AA160)</f>
        <v>25320000</v>
      </c>
      <c r="AW160" s="5">
        <f>求节点(U$6:U$44,$I$67:$I$105,$AA160)</f>
        <v>25320000</v>
      </c>
      <c r="AX160" s="5">
        <f>求节点(V$6:V$44,$I$67:$I$105,$AA160)</f>
        <v>25320000</v>
      </c>
      <c r="AY160" s="5">
        <f>求节点(W$6:W$44,$I$67:$I$105,$AA160)</f>
        <v>25320000</v>
      </c>
      <c r="AZ160" s="5">
        <f>求节点(X$6:X$44,$I$67:$I$105,$AA160)</f>
        <v>25320000</v>
      </c>
      <c r="BA160" s="5">
        <f>求节点(T$6:T$44,$E$67:$E$105,$AA160)+求节点(T$6:T$44,$K$67:$K$105,$AA160)+求节点(T$67:T$105,$O$67:$O$105,$AA160)</f>
        <v>8112</v>
      </c>
      <c r="BB160" s="5">
        <f>求节点(U$6:U$44,$E$67:$E$105,$AA160)+求节点(U$6:U$44,$K$67:$K$105,$AA160)+求节点(U$67:U$105,$O$67:$O$105,$AA160)</f>
        <v>8112</v>
      </c>
      <c r="BC160" s="5">
        <f>求节点(V$6:V$44,$E$67:$E$105,$AA160)+求节点(V$6:V$44,$K$67:$K$105,$AA160)+求节点(V$67:V$105,$O$67:$O$105,$AA160)</f>
        <v>8112</v>
      </c>
      <c r="BD160" s="5">
        <f>求节点(W$6:W$44,$E$67:$E$105,$AA160)+求节点(W$6:W$44,$K$67:$K$105,$AA160)+求节点(W$67:W$105,$O$67:$O$105,$AA160)</f>
        <v>8112</v>
      </c>
      <c r="BE160" s="5">
        <f>求节点(X$6:X$44,$E$67:$E$105,$AA160)+求节点(X$6:X$44,$K$67:$K$105,$AA160)+求节点(X$67:X$105,$O$67:$O$105,$AA160)</f>
        <v>8112</v>
      </c>
      <c r="BF160" s="5">
        <f>求节点(T$6:T$44,$G$67:$G$105,$AA160)</f>
        <v>0</v>
      </c>
      <c r="BG160" s="5">
        <f>求节点(U$6:U$44,$G$67:$G$105,$AA160)</f>
        <v>0</v>
      </c>
      <c r="BH160" s="5">
        <f>求节点(V$6:V$44,$G$67:$G$105,$AA160)</f>
        <v>0</v>
      </c>
      <c r="BI160" s="5">
        <f>求节点(W$6:W$44,$G$67:$G$105,$AA160)</f>
        <v>0</v>
      </c>
      <c r="BJ160" s="5">
        <f>求节点(X$6:X$44,$G$67:$G$105,$AA160)</f>
        <v>0</v>
      </c>
      <c r="BK160" s="5">
        <f>求节点(T$6:T$44,$M$67:$M$105,$AA160)</f>
        <v>78</v>
      </c>
      <c r="BL160" s="5">
        <f>求节点(U$6:U$44,$M$67:$M$105,$AA160)</f>
        <v>78</v>
      </c>
      <c r="BM160" s="5">
        <f>求节点(V$6:V$44,$M$67:$M$105,$AA160)</f>
        <v>78</v>
      </c>
      <c r="BN160" s="5">
        <f>求节点(W$6:W$44,$M$67:$M$105,$AA160)</f>
        <v>78</v>
      </c>
      <c r="BO160" s="5">
        <f>求节点(X$6:X$44,$M$67:$M$105,$AA160)</f>
        <v>78</v>
      </c>
      <c r="BP160" s="5">
        <f>求节点(T$67:T$105,$L$67:$L$105,$AA160)</f>
        <v>0</v>
      </c>
      <c r="BQ160" s="5">
        <f>求节点(U$67:U$105,$L$67:$L$105,$AA160)</f>
        <v>0</v>
      </c>
      <c r="BR160" s="5">
        <f>求节点(V$67:V$105,$L$67:$L$105,$AA160)</f>
        <v>0</v>
      </c>
      <c r="BS160" s="5">
        <f>求节点(W$67:W$105,$L$67:$L$105,$AA160)</f>
        <v>0</v>
      </c>
      <c r="BT160" s="5">
        <f>求节点(X$67:X$105,$L$67:$L$105,$AA160)</f>
        <v>0</v>
      </c>
      <c r="BZ160" s="5">
        <v>156</v>
      </c>
      <c r="CA160" s="5">
        <f t="shared" si="81"/>
        <v>8112</v>
      </c>
      <c r="CB160" s="5">
        <f t="shared" si="82"/>
        <v>8112</v>
      </c>
      <c r="CC160" s="5">
        <f t="shared" si="83"/>
        <v>8112</v>
      </c>
      <c r="CD160" s="5">
        <f t="shared" si="84"/>
        <v>8112</v>
      </c>
      <c r="CE160" s="5">
        <f t="shared" si="85"/>
        <v>8112</v>
      </c>
      <c r="CF160" s="5">
        <f>(CA160-CA159)/节奏总纲!W159</f>
        <v>0</v>
      </c>
      <c r="CI160" s="5">
        <v>156</v>
      </c>
      <c r="CJ160" s="5">
        <f t="shared" si="86"/>
        <v>18720</v>
      </c>
      <c r="CK160" s="5">
        <f t="shared" si="87"/>
        <v>18720</v>
      </c>
      <c r="CL160" s="5">
        <f t="shared" si="88"/>
        <v>18720</v>
      </c>
      <c r="CM160" s="5">
        <f t="shared" si="89"/>
        <v>18720</v>
      </c>
      <c r="CN160" s="5">
        <f t="shared" si="90"/>
        <v>18720</v>
      </c>
      <c r="CO160" s="5">
        <f>(CJ160-CJ159)/节奏总纲!W159</f>
        <v>0</v>
      </c>
      <c r="CP160" s="5">
        <f t="shared" si="91"/>
        <v>0</v>
      </c>
      <c r="CR160" s="5">
        <v>156</v>
      </c>
      <c r="CS160" s="5">
        <f t="shared" si="92"/>
        <v>0</v>
      </c>
      <c r="CT160" s="5">
        <f t="shared" si="93"/>
        <v>0</v>
      </c>
      <c r="CU160" s="5">
        <f t="shared" si="94"/>
        <v>0</v>
      </c>
      <c r="CV160" s="5">
        <f t="shared" si="95"/>
        <v>0</v>
      </c>
      <c r="CW160" s="5">
        <f t="shared" si="96"/>
        <v>0</v>
      </c>
      <c r="CX160" s="5">
        <f t="shared" si="97"/>
        <v>0</v>
      </c>
      <c r="CY160" s="5">
        <f t="shared" si="98"/>
        <v>0</v>
      </c>
      <c r="CZ160" s="5">
        <f t="shared" si="99"/>
        <v>0</v>
      </c>
      <c r="DA160" s="5">
        <f t="shared" si="100"/>
        <v>0</v>
      </c>
      <c r="DB160" s="5">
        <f t="shared" si="101"/>
        <v>0</v>
      </c>
    </row>
    <row r="161" spans="27:106" x14ac:dyDescent="0.15">
      <c r="AA161" s="5">
        <v>157</v>
      </c>
      <c r="AB161" s="5">
        <f>求节点(T$6:T$44,$C$67:$C$105,$AA161)</f>
        <v>0</v>
      </c>
      <c r="AC161" s="5">
        <f>求节点(U$6:U$44,$C$67:$C$105,$AA161)</f>
        <v>0</v>
      </c>
      <c r="AD161" s="5">
        <f>求节点(V$6:V$44,$C$67:$C$105,$AA161)</f>
        <v>0</v>
      </c>
      <c r="AE161" s="5">
        <f>求节点(W$6:W$44,$C$67:$C$105,$AA161)</f>
        <v>0</v>
      </c>
      <c r="AF161" s="5">
        <f>求节点(X$6:X$44,$C$67:$C$105,$AA161)</f>
        <v>0</v>
      </c>
      <c r="AG161" s="5">
        <f>求节点(T$6:T$44,$D$67:$D$105,$AA161)+求节点(T$67:T$105,$Q$67:$Q$105,$AA161)</f>
        <v>102728760</v>
      </c>
      <c r="AH161" s="5">
        <f>求节点(U$6:U$44,$D$67:$D$105,$AA161)+求节点(U$67:U$105,$Q$67:$Q$105,$AA161)</f>
        <v>102728760</v>
      </c>
      <c r="AI161" s="5">
        <f>求节点(V$6:V$44,$D$67:$D$105,$AA161)+求节点(V$67:V$105,$Q$67:$Q$105,$AA161)</f>
        <v>102728760</v>
      </c>
      <c r="AJ161" s="5">
        <f>求节点(W$6:W$44,$D$67:$D$105,$AA161)+求节点(W$67:W$105,$Q$67:$Q$105,$AA161)</f>
        <v>102728760</v>
      </c>
      <c r="AK161" s="5">
        <f>求节点(X$6:X$44,$D$67:$D$105,$AA161)+求节点(X$67:X$105,$Q$67:$Q$105,$AA161)</f>
        <v>102728760</v>
      </c>
      <c r="AL161" s="5">
        <f>求节点(T$6:T$44,$F$67:$F$105,$AA161)+求节点(T$67:T$105,$P$67:$P$105,$AA161)</f>
        <v>1848000</v>
      </c>
      <c r="AM161" s="5">
        <f>求节点(U$6:U$44,$F$67:$F$105,$AA161)+求节点(U$67:U$105,$P$67:$P$105,$AA161)</f>
        <v>1848000</v>
      </c>
      <c r="AN161" s="5">
        <f>求节点(V$6:V$44,$F$67:$F$105,$AA161)+求节点(V$67:V$105,$P$67:$P$105,$AA161)</f>
        <v>1848000</v>
      </c>
      <c r="AO161" s="5">
        <f>求节点(W$6:W$44,$F$67:$F$105,$AA161)+求节点(W$67:W$105,$P$67:$P$105,$AA161)</f>
        <v>1848000</v>
      </c>
      <c r="AP161" s="5">
        <f>求节点(X$6:X$44,$F$67:$F$105,$AA161)+求节点(X$67:X$105,$P$67:$P$105,$AA161)</f>
        <v>1848000</v>
      </c>
      <c r="AQ161" s="5">
        <f>求节点(T$6:T$44,$H$67:$H$105,$AA161)</f>
        <v>963600</v>
      </c>
      <c r="AR161" s="5">
        <f>求节点(U$6:U$44,$H$67:$H$105,$AA161)</f>
        <v>963600</v>
      </c>
      <c r="AS161" s="5">
        <f>求节点(V$6:V$44,$H$67:$H$105,$AA161)</f>
        <v>963600</v>
      </c>
      <c r="AT161" s="5">
        <f>求节点(W$6:W$44,$H$67:$H$105,$AA161)</f>
        <v>963600</v>
      </c>
      <c r="AU161" s="5">
        <f>求节点(X$6:X$44,$H$67:$H$105,$AA161)</f>
        <v>963600</v>
      </c>
      <c r="AV161" s="5">
        <f>求节点(T$6:T$44,$I$67:$I$105,$AA161)</f>
        <v>25320000</v>
      </c>
      <c r="AW161" s="5">
        <f>求节点(U$6:U$44,$I$67:$I$105,$AA161)</f>
        <v>25320000</v>
      </c>
      <c r="AX161" s="5">
        <f>求节点(V$6:V$44,$I$67:$I$105,$AA161)</f>
        <v>25320000</v>
      </c>
      <c r="AY161" s="5">
        <f>求节点(W$6:W$44,$I$67:$I$105,$AA161)</f>
        <v>25320000</v>
      </c>
      <c r="AZ161" s="5">
        <f>求节点(X$6:X$44,$I$67:$I$105,$AA161)</f>
        <v>25320000</v>
      </c>
      <c r="BA161" s="5">
        <f>求节点(T$6:T$44,$E$67:$E$105,$AA161)+求节点(T$6:T$44,$K$67:$K$105,$AA161)+求节点(T$67:T$105,$O$67:$O$105,$AA161)</f>
        <v>8112</v>
      </c>
      <c r="BB161" s="5">
        <f>求节点(U$6:U$44,$E$67:$E$105,$AA161)+求节点(U$6:U$44,$K$67:$K$105,$AA161)+求节点(U$67:U$105,$O$67:$O$105,$AA161)</f>
        <v>8112</v>
      </c>
      <c r="BC161" s="5">
        <f>求节点(V$6:V$44,$E$67:$E$105,$AA161)+求节点(V$6:V$44,$K$67:$K$105,$AA161)+求节点(V$67:V$105,$O$67:$O$105,$AA161)</f>
        <v>8112</v>
      </c>
      <c r="BD161" s="5">
        <f>求节点(W$6:W$44,$E$67:$E$105,$AA161)+求节点(W$6:W$44,$K$67:$K$105,$AA161)+求节点(W$67:W$105,$O$67:$O$105,$AA161)</f>
        <v>8112</v>
      </c>
      <c r="BE161" s="5">
        <f>求节点(X$6:X$44,$E$67:$E$105,$AA161)+求节点(X$6:X$44,$K$67:$K$105,$AA161)+求节点(X$67:X$105,$O$67:$O$105,$AA161)</f>
        <v>8112</v>
      </c>
      <c r="BF161" s="5">
        <f>求节点(T$6:T$44,$G$67:$G$105,$AA161)</f>
        <v>0</v>
      </c>
      <c r="BG161" s="5">
        <f>求节点(U$6:U$44,$G$67:$G$105,$AA161)</f>
        <v>0</v>
      </c>
      <c r="BH161" s="5">
        <f>求节点(V$6:V$44,$G$67:$G$105,$AA161)</f>
        <v>0</v>
      </c>
      <c r="BI161" s="5">
        <f>求节点(W$6:W$44,$G$67:$G$105,$AA161)</f>
        <v>0</v>
      </c>
      <c r="BJ161" s="5">
        <f>求节点(X$6:X$44,$G$67:$G$105,$AA161)</f>
        <v>0</v>
      </c>
      <c r="BK161" s="5">
        <f>求节点(T$6:T$44,$M$67:$M$105,$AA161)</f>
        <v>78</v>
      </c>
      <c r="BL161" s="5">
        <f>求节点(U$6:U$44,$M$67:$M$105,$AA161)</f>
        <v>78</v>
      </c>
      <c r="BM161" s="5">
        <f>求节点(V$6:V$44,$M$67:$M$105,$AA161)</f>
        <v>78</v>
      </c>
      <c r="BN161" s="5">
        <f>求节点(W$6:W$44,$M$67:$M$105,$AA161)</f>
        <v>78</v>
      </c>
      <c r="BO161" s="5">
        <f>求节点(X$6:X$44,$M$67:$M$105,$AA161)</f>
        <v>78</v>
      </c>
      <c r="BP161" s="5">
        <f>求节点(T$67:T$105,$L$67:$L$105,$AA161)</f>
        <v>0</v>
      </c>
      <c r="BQ161" s="5">
        <f>求节点(U$67:U$105,$L$67:$L$105,$AA161)</f>
        <v>0</v>
      </c>
      <c r="BR161" s="5">
        <f>求节点(V$67:V$105,$L$67:$L$105,$AA161)</f>
        <v>0</v>
      </c>
      <c r="BS161" s="5">
        <f>求节点(W$67:W$105,$L$67:$L$105,$AA161)</f>
        <v>0</v>
      </c>
      <c r="BT161" s="5">
        <f>求节点(X$67:X$105,$L$67:$L$105,$AA161)</f>
        <v>0</v>
      </c>
      <c r="BZ161" s="5">
        <v>157</v>
      </c>
      <c r="CA161" s="5">
        <f t="shared" si="81"/>
        <v>8112</v>
      </c>
      <c r="CB161" s="5">
        <f t="shared" si="82"/>
        <v>8112</v>
      </c>
      <c r="CC161" s="5">
        <f t="shared" si="83"/>
        <v>8112</v>
      </c>
      <c r="CD161" s="5">
        <f t="shared" si="84"/>
        <v>8112</v>
      </c>
      <c r="CE161" s="5">
        <f t="shared" si="85"/>
        <v>8112</v>
      </c>
      <c r="CF161" s="5">
        <f>(CA161-CA160)/节奏总纲!W160</f>
        <v>0</v>
      </c>
      <c r="CI161" s="5">
        <v>157</v>
      </c>
      <c r="CJ161" s="5">
        <f t="shared" si="86"/>
        <v>18720</v>
      </c>
      <c r="CK161" s="5">
        <f t="shared" si="87"/>
        <v>18720</v>
      </c>
      <c r="CL161" s="5">
        <f t="shared" si="88"/>
        <v>18720</v>
      </c>
      <c r="CM161" s="5">
        <f t="shared" si="89"/>
        <v>18720</v>
      </c>
      <c r="CN161" s="5">
        <f t="shared" si="90"/>
        <v>18720</v>
      </c>
      <c r="CO161" s="5">
        <f>(CJ161-CJ160)/节奏总纲!W160</f>
        <v>0</v>
      </c>
      <c r="CP161" s="5">
        <f t="shared" si="91"/>
        <v>0</v>
      </c>
      <c r="CR161" s="5">
        <v>157</v>
      </c>
      <c r="CS161" s="5">
        <f t="shared" si="92"/>
        <v>0</v>
      </c>
      <c r="CT161" s="5">
        <f t="shared" si="93"/>
        <v>0</v>
      </c>
      <c r="CU161" s="5">
        <f t="shared" si="94"/>
        <v>0</v>
      </c>
      <c r="CV161" s="5">
        <f t="shared" si="95"/>
        <v>0</v>
      </c>
      <c r="CW161" s="5">
        <f t="shared" si="96"/>
        <v>0</v>
      </c>
      <c r="CX161" s="5">
        <f t="shared" si="97"/>
        <v>0</v>
      </c>
      <c r="CY161" s="5">
        <f t="shared" si="98"/>
        <v>0</v>
      </c>
      <c r="CZ161" s="5">
        <f t="shared" si="99"/>
        <v>0</v>
      </c>
      <c r="DA161" s="5">
        <f t="shared" si="100"/>
        <v>0</v>
      </c>
      <c r="DB161" s="5">
        <f t="shared" si="101"/>
        <v>0</v>
      </c>
    </row>
    <row r="162" spans="27:106" x14ac:dyDescent="0.15">
      <c r="AA162" s="5">
        <v>158</v>
      </c>
      <c r="AB162" s="5">
        <f>求节点(T$6:T$44,$C$67:$C$105,$AA162)</f>
        <v>0</v>
      </c>
      <c r="AC162" s="5">
        <f>求节点(U$6:U$44,$C$67:$C$105,$AA162)</f>
        <v>0</v>
      </c>
      <c r="AD162" s="5">
        <f>求节点(V$6:V$44,$C$67:$C$105,$AA162)</f>
        <v>0</v>
      </c>
      <c r="AE162" s="5">
        <f>求节点(W$6:W$44,$C$67:$C$105,$AA162)</f>
        <v>0</v>
      </c>
      <c r="AF162" s="5">
        <f>求节点(X$6:X$44,$C$67:$C$105,$AA162)</f>
        <v>0</v>
      </c>
      <c r="AG162" s="5">
        <f>求节点(T$6:T$44,$D$67:$D$105,$AA162)+求节点(T$67:T$105,$Q$67:$Q$105,$AA162)</f>
        <v>102728760</v>
      </c>
      <c r="AH162" s="5">
        <f>求节点(U$6:U$44,$D$67:$D$105,$AA162)+求节点(U$67:U$105,$Q$67:$Q$105,$AA162)</f>
        <v>102728760</v>
      </c>
      <c r="AI162" s="5">
        <f>求节点(V$6:V$44,$D$67:$D$105,$AA162)+求节点(V$67:V$105,$Q$67:$Q$105,$AA162)</f>
        <v>102728760</v>
      </c>
      <c r="AJ162" s="5">
        <f>求节点(W$6:W$44,$D$67:$D$105,$AA162)+求节点(W$67:W$105,$Q$67:$Q$105,$AA162)</f>
        <v>102728760</v>
      </c>
      <c r="AK162" s="5">
        <f>求节点(X$6:X$44,$D$67:$D$105,$AA162)+求节点(X$67:X$105,$Q$67:$Q$105,$AA162)</f>
        <v>102728760</v>
      </c>
      <c r="AL162" s="5">
        <f>求节点(T$6:T$44,$F$67:$F$105,$AA162)+求节点(T$67:T$105,$P$67:$P$105,$AA162)</f>
        <v>1848000</v>
      </c>
      <c r="AM162" s="5">
        <f>求节点(U$6:U$44,$F$67:$F$105,$AA162)+求节点(U$67:U$105,$P$67:$P$105,$AA162)</f>
        <v>1848000</v>
      </c>
      <c r="AN162" s="5">
        <f>求节点(V$6:V$44,$F$67:$F$105,$AA162)+求节点(V$67:V$105,$P$67:$P$105,$AA162)</f>
        <v>1848000</v>
      </c>
      <c r="AO162" s="5">
        <f>求节点(W$6:W$44,$F$67:$F$105,$AA162)+求节点(W$67:W$105,$P$67:$P$105,$AA162)</f>
        <v>1848000</v>
      </c>
      <c r="AP162" s="5">
        <f>求节点(X$6:X$44,$F$67:$F$105,$AA162)+求节点(X$67:X$105,$P$67:$P$105,$AA162)</f>
        <v>1848000</v>
      </c>
      <c r="AQ162" s="5">
        <f>求节点(T$6:T$44,$H$67:$H$105,$AA162)</f>
        <v>963600</v>
      </c>
      <c r="AR162" s="5">
        <f>求节点(U$6:U$44,$H$67:$H$105,$AA162)</f>
        <v>963600</v>
      </c>
      <c r="AS162" s="5">
        <f>求节点(V$6:V$44,$H$67:$H$105,$AA162)</f>
        <v>963600</v>
      </c>
      <c r="AT162" s="5">
        <f>求节点(W$6:W$44,$H$67:$H$105,$AA162)</f>
        <v>963600</v>
      </c>
      <c r="AU162" s="5">
        <f>求节点(X$6:X$44,$H$67:$H$105,$AA162)</f>
        <v>963600</v>
      </c>
      <c r="AV162" s="5">
        <f>求节点(T$6:T$44,$I$67:$I$105,$AA162)</f>
        <v>25320000</v>
      </c>
      <c r="AW162" s="5">
        <f>求节点(U$6:U$44,$I$67:$I$105,$AA162)</f>
        <v>25320000</v>
      </c>
      <c r="AX162" s="5">
        <f>求节点(V$6:V$44,$I$67:$I$105,$AA162)</f>
        <v>25320000</v>
      </c>
      <c r="AY162" s="5">
        <f>求节点(W$6:W$44,$I$67:$I$105,$AA162)</f>
        <v>25320000</v>
      </c>
      <c r="AZ162" s="5">
        <f>求节点(X$6:X$44,$I$67:$I$105,$AA162)</f>
        <v>25320000</v>
      </c>
      <c r="BA162" s="5">
        <f>求节点(T$6:T$44,$E$67:$E$105,$AA162)+求节点(T$6:T$44,$K$67:$K$105,$AA162)+求节点(T$67:T$105,$O$67:$O$105,$AA162)</f>
        <v>8112</v>
      </c>
      <c r="BB162" s="5">
        <f>求节点(U$6:U$44,$E$67:$E$105,$AA162)+求节点(U$6:U$44,$K$67:$K$105,$AA162)+求节点(U$67:U$105,$O$67:$O$105,$AA162)</f>
        <v>8112</v>
      </c>
      <c r="BC162" s="5">
        <f>求节点(V$6:V$44,$E$67:$E$105,$AA162)+求节点(V$6:V$44,$K$67:$K$105,$AA162)+求节点(V$67:V$105,$O$67:$O$105,$AA162)</f>
        <v>8112</v>
      </c>
      <c r="BD162" s="5">
        <f>求节点(W$6:W$44,$E$67:$E$105,$AA162)+求节点(W$6:W$44,$K$67:$K$105,$AA162)+求节点(W$67:W$105,$O$67:$O$105,$AA162)</f>
        <v>8112</v>
      </c>
      <c r="BE162" s="5">
        <f>求节点(X$6:X$44,$E$67:$E$105,$AA162)+求节点(X$6:X$44,$K$67:$K$105,$AA162)+求节点(X$67:X$105,$O$67:$O$105,$AA162)</f>
        <v>8112</v>
      </c>
      <c r="BF162" s="5">
        <f>求节点(T$6:T$44,$G$67:$G$105,$AA162)</f>
        <v>0</v>
      </c>
      <c r="BG162" s="5">
        <f>求节点(U$6:U$44,$G$67:$G$105,$AA162)</f>
        <v>0</v>
      </c>
      <c r="BH162" s="5">
        <f>求节点(V$6:V$44,$G$67:$G$105,$AA162)</f>
        <v>0</v>
      </c>
      <c r="BI162" s="5">
        <f>求节点(W$6:W$44,$G$67:$G$105,$AA162)</f>
        <v>0</v>
      </c>
      <c r="BJ162" s="5">
        <f>求节点(X$6:X$44,$G$67:$G$105,$AA162)</f>
        <v>0</v>
      </c>
      <c r="BK162" s="5">
        <f>求节点(T$6:T$44,$M$67:$M$105,$AA162)</f>
        <v>78</v>
      </c>
      <c r="BL162" s="5">
        <f>求节点(U$6:U$44,$M$67:$M$105,$AA162)</f>
        <v>78</v>
      </c>
      <c r="BM162" s="5">
        <f>求节点(V$6:V$44,$M$67:$M$105,$AA162)</f>
        <v>78</v>
      </c>
      <c r="BN162" s="5">
        <f>求节点(W$6:W$44,$M$67:$M$105,$AA162)</f>
        <v>78</v>
      </c>
      <c r="BO162" s="5">
        <f>求节点(X$6:X$44,$M$67:$M$105,$AA162)</f>
        <v>78</v>
      </c>
      <c r="BP162" s="5">
        <f>求节点(T$67:T$105,$L$67:$L$105,$AA162)</f>
        <v>0</v>
      </c>
      <c r="BQ162" s="5">
        <f>求节点(U$67:U$105,$L$67:$L$105,$AA162)</f>
        <v>0</v>
      </c>
      <c r="BR162" s="5">
        <f>求节点(V$67:V$105,$L$67:$L$105,$AA162)</f>
        <v>0</v>
      </c>
      <c r="BS162" s="5">
        <f>求节点(W$67:W$105,$L$67:$L$105,$AA162)</f>
        <v>0</v>
      </c>
      <c r="BT162" s="5">
        <f>求节点(X$67:X$105,$L$67:$L$105,$AA162)</f>
        <v>0</v>
      </c>
      <c r="BZ162" s="5">
        <v>158</v>
      </c>
      <c r="CA162" s="5">
        <f t="shared" si="81"/>
        <v>8112</v>
      </c>
      <c r="CB162" s="5">
        <f t="shared" si="82"/>
        <v>8112</v>
      </c>
      <c r="CC162" s="5">
        <f t="shared" si="83"/>
        <v>8112</v>
      </c>
      <c r="CD162" s="5">
        <f t="shared" si="84"/>
        <v>8112</v>
      </c>
      <c r="CE162" s="5">
        <f t="shared" si="85"/>
        <v>8112</v>
      </c>
      <c r="CF162" s="5">
        <f>(CA162-CA161)/节奏总纲!W161</f>
        <v>0</v>
      </c>
      <c r="CI162" s="5">
        <v>158</v>
      </c>
      <c r="CJ162" s="5">
        <f t="shared" si="86"/>
        <v>18720</v>
      </c>
      <c r="CK162" s="5">
        <f t="shared" si="87"/>
        <v>18720</v>
      </c>
      <c r="CL162" s="5">
        <f t="shared" si="88"/>
        <v>18720</v>
      </c>
      <c r="CM162" s="5">
        <f t="shared" si="89"/>
        <v>18720</v>
      </c>
      <c r="CN162" s="5">
        <f t="shared" si="90"/>
        <v>18720</v>
      </c>
      <c r="CO162" s="5">
        <f>(CJ162-CJ161)/节奏总纲!W161</f>
        <v>0</v>
      </c>
      <c r="CP162" s="5">
        <f t="shared" si="91"/>
        <v>0</v>
      </c>
      <c r="CR162" s="5">
        <v>158</v>
      </c>
      <c r="CS162" s="5">
        <f t="shared" si="92"/>
        <v>0</v>
      </c>
      <c r="CT162" s="5">
        <f t="shared" si="93"/>
        <v>0</v>
      </c>
      <c r="CU162" s="5">
        <f t="shared" si="94"/>
        <v>0</v>
      </c>
      <c r="CV162" s="5">
        <f t="shared" si="95"/>
        <v>0</v>
      </c>
      <c r="CW162" s="5">
        <f t="shared" si="96"/>
        <v>0</v>
      </c>
      <c r="CX162" s="5">
        <f t="shared" si="97"/>
        <v>0</v>
      </c>
      <c r="CY162" s="5">
        <f t="shared" si="98"/>
        <v>0</v>
      </c>
      <c r="CZ162" s="5">
        <f t="shared" si="99"/>
        <v>0</v>
      </c>
      <c r="DA162" s="5">
        <f t="shared" si="100"/>
        <v>0</v>
      </c>
      <c r="DB162" s="5">
        <f t="shared" si="101"/>
        <v>0</v>
      </c>
    </row>
    <row r="163" spans="27:106" x14ac:dyDescent="0.15">
      <c r="AA163" s="5">
        <v>159</v>
      </c>
      <c r="AB163" s="5">
        <f>求节点(T$6:T$44,$C$67:$C$105,$AA163)</f>
        <v>0</v>
      </c>
      <c r="AC163" s="5">
        <f>求节点(U$6:U$44,$C$67:$C$105,$AA163)</f>
        <v>0</v>
      </c>
      <c r="AD163" s="5">
        <f>求节点(V$6:V$44,$C$67:$C$105,$AA163)</f>
        <v>0</v>
      </c>
      <c r="AE163" s="5">
        <f>求节点(W$6:W$44,$C$67:$C$105,$AA163)</f>
        <v>0</v>
      </c>
      <c r="AF163" s="5">
        <f>求节点(X$6:X$44,$C$67:$C$105,$AA163)</f>
        <v>0</v>
      </c>
      <c r="AG163" s="5">
        <f>求节点(T$6:T$44,$D$67:$D$105,$AA163)+求节点(T$67:T$105,$Q$67:$Q$105,$AA163)</f>
        <v>102728760</v>
      </c>
      <c r="AH163" s="5">
        <f>求节点(U$6:U$44,$D$67:$D$105,$AA163)+求节点(U$67:U$105,$Q$67:$Q$105,$AA163)</f>
        <v>102728760</v>
      </c>
      <c r="AI163" s="5">
        <f>求节点(V$6:V$44,$D$67:$D$105,$AA163)+求节点(V$67:V$105,$Q$67:$Q$105,$AA163)</f>
        <v>102728760</v>
      </c>
      <c r="AJ163" s="5">
        <f>求节点(W$6:W$44,$D$67:$D$105,$AA163)+求节点(W$67:W$105,$Q$67:$Q$105,$AA163)</f>
        <v>102728760</v>
      </c>
      <c r="AK163" s="5">
        <f>求节点(X$6:X$44,$D$67:$D$105,$AA163)+求节点(X$67:X$105,$Q$67:$Q$105,$AA163)</f>
        <v>102728760</v>
      </c>
      <c r="AL163" s="5">
        <f>求节点(T$6:T$44,$F$67:$F$105,$AA163)+求节点(T$67:T$105,$P$67:$P$105,$AA163)</f>
        <v>1848000</v>
      </c>
      <c r="AM163" s="5">
        <f>求节点(U$6:U$44,$F$67:$F$105,$AA163)+求节点(U$67:U$105,$P$67:$P$105,$AA163)</f>
        <v>1848000</v>
      </c>
      <c r="AN163" s="5">
        <f>求节点(V$6:V$44,$F$67:$F$105,$AA163)+求节点(V$67:V$105,$P$67:$P$105,$AA163)</f>
        <v>1848000</v>
      </c>
      <c r="AO163" s="5">
        <f>求节点(W$6:W$44,$F$67:$F$105,$AA163)+求节点(W$67:W$105,$P$67:$P$105,$AA163)</f>
        <v>1848000</v>
      </c>
      <c r="AP163" s="5">
        <f>求节点(X$6:X$44,$F$67:$F$105,$AA163)+求节点(X$67:X$105,$P$67:$P$105,$AA163)</f>
        <v>1848000</v>
      </c>
      <c r="AQ163" s="5">
        <f>求节点(T$6:T$44,$H$67:$H$105,$AA163)</f>
        <v>963600</v>
      </c>
      <c r="AR163" s="5">
        <f>求节点(U$6:U$44,$H$67:$H$105,$AA163)</f>
        <v>963600</v>
      </c>
      <c r="AS163" s="5">
        <f>求节点(V$6:V$44,$H$67:$H$105,$AA163)</f>
        <v>963600</v>
      </c>
      <c r="AT163" s="5">
        <f>求节点(W$6:W$44,$H$67:$H$105,$AA163)</f>
        <v>963600</v>
      </c>
      <c r="AU163" s="5">
        <f>求节点(X$6:X$44,$H$67:$H$105,$AA163)</f>
        <v>963600</v>
      </c>
      <c r="AV163" s="5">
        <f>求节点(T$6:T$44,$I$67:$I$105,$AA163)</f>
        <v>25320000</v>
      </c>
      <c r="AW163" s="5">
        <f>求节点(U$6:U$44,$I$67:$I$105,$AA163)</f>
        <v>25320000</v>
      </c>
      <c r="AX163" s="5">
        <f>求节点(V$6:V$44,$I$67:$I$105,$AA163)</f>
        <v>25320000</v>
      </c>
      <c r="AY163" s="5">
        <f>求节点(W$6:W$44,$I$67:$I$105,$AA163)</f>
        <v>25320000</v>
      </c>
      <c r="AZ163" s="5">
        <f>求节点(X$6:X$44,$I$67:$I$105,$AA163)</f>
        <v>25320000</v>
      </c>
      <c r="BA163" s="5">
        <f>求节点(T$6:T$44,$E$67:$E$105,$AA163)+求节点(T$6:T$44,$K$67:$K$105,$AA163)+求节点(T$67:T$105,$O$67:$O$105,$AA163)</f>
        <v>8112</v>
      </c>
      <c r="BB163" s="5">
        <f>求节点(U$6:U$44,$E$67:$E$105,$AA163)+求节点(U$6:U$44,$K$67:$K$105,$AA163)+求节点(U$67:U$105,$O$67:$O$105,$AA163)</f>
        <v>8112</v>
      </c>
      <c r="BC163" s="5">
        <f>求节点(V$6:V$44,$E$67:$E$105,$AA163)+求节点(V$6:V$44,$K$67:$K$105,$AA163)+求节点(V$67:V$105,$O$67:$O$105,$AA163)</f>
        <v>8112</v>
      </c>
      <c r="BD163" s="5">
        <f>求节点(W$6:W$44,$E$67:$E$105,$AA163)+求节点(W$6:W$44,$K$67:$K$105,$AA163)+求节点(W$67:W$105,$O$67:$O$105,$AA163)</f>
        <v>8112</v>
      </c>
      <c r="BE163" s="5">
        <f>求节点(X$6:X$44,$E$67:$E$105,$AA163)+求节点(X$6:X$44,$K$67:$K$105,$AA163)+求节点(X$67:X$105,$O$67:$O$105,$AA163)</f>
        <v>8112</v>
      </c>
      <c r="BF163" s="5">
        <f>求节点(T$6:T$44,$G$67:$G$105,$AA163)</f>
        <v>0</v>
      </c>
      <c r="BG163" s="5">
        <f>求节点(U$6:U$44,$G$67:$G$105,$AA163)</f>
        <v>0</v>
      </c>
      <c r="BH163" s="5">
        <f>求节点(V$6:V$44,$G$67:$G$105,$AA163)</f>
        <v>0</v>
      </c>
      <c r="BI163" s="5">
        <f>求节点(W$6:W$44,$G$67:$G$105,$AA163)</f>
        <v>0</v>
      </c>
      <c r="BJ163" s="5">
        <f>求节点(X$6:X$44,$G$67:$G$105,$AA163)</f>
        <v>0</v>
      </c>
      <c r="BK163" s="5">
        <f>求节点(T$6:T$44,$M$67:$M$105,$AA163)</f>
        <v>78</v>
      </c>
      <c r="BL163" s="5">
        <f>求节点(U$6:U$44,$M$67:$M$105,$AA163)</f>
        <v>78</v>
      </c>
      <c r="BM163" s="5">
        <f>求节点(V$6:V$44,$M$67:$M$105,$AA163)</f>
        <v>78</v>
      </c>
      <c r="BN163" s="5">
        <f>求节点(W$6:W$44,$M$67:$M$105,$AA163)</f>
        <v>78</v>
      </c>
      <c r="BO163" s="5">
        <f>求节点(X$6:X$44,$M$67:$M$105,$AA163)</f>
        <v>78</v>
      </c>
      <c r="BP163" s="5">
        <f>求节点(T$67:T$105,$L$67:$L$105,$AA163)</f>
        <v>0</v>
      </c>
      <c r="BQ163" s="5">
        <f>求节点(U$67:U$105,$L$67:$L$105,$AA163)</f>
        <v>0</v>
      </c>
      <c r="BR163" s="5">
        <f>求节点(V$67:V$105,$L$67:$L$105,$AA163)</f>
        <v>0</v>
      </c>
      <c r="BS163" s="5">
        <f>求节点(W$67:W$105,$L$67:$L$105,$AA163)</f>
        <v>0</v>
      </c>
      <c r="BT163" s="5">
        <f>求节点(X$67:X$105,$L$67:$L$105,$AA163)</f>
        <v>0</v>
      </c>
      <c r="BZ163" s="5">
        <v>159</v>
      </c>
      <c r="CA163" s="5">
        <f t="shared" si="81"/>
        <v>8112</v>
      </c>
      <c r="CB163" s="5">
        <f t="shared" si="82"/>
        <v>8112</v>
      </c>
      <c r="CC163" s="5">
        <f t="shared" si="83"/>
        <v>8112</v>
      </c>
      <c r="CD163" s="5">
        <f t="shared" si="84"/>
        <v>8112</v>
      </c>
      <c r="CE163" s="5">
        <f t="shared" si="85"/>
        <v>8112</v>
      </c>
      <c r="CF163" s="5">
        <f>(CA163-CA162)/节奏总纲!W162</f>
        <v>0</v>
      </c>
      <c r="CI163" s="5">
        <v>159</v>
      </c>
      <c r="CJ163" s="5">
        <f t="shared" si="86"/>
        <v>18720</v>
      </c>
      <c r="CK163" s="5">
        <f t="shared" si="87"/>
        <v>18720</v>
      </c>
      <c r="CL163" s="5">
        <f t="shared" si="88"/>
        <v>18720</v>
      </c>
      <c r="CM163" s="5">
        <f t="shared" si="89"/>
        <v>18720</v>
      </c>
      <c r="CN163" s="5">
        <f t="shared" si="90"/>
        <v>18720</v>
      </c>
      <c r="CO163" s="5">
        <f>(CJ163-CJ162)/节奏总纲!W162</f>
        <v>0</v>
      </c>
      <c r="CP163" s="5">
        <f t="shared" si="91"/>
        <v>0</v>
      </c>
      <c r="CR163" s="5">
        <v>159</v>
      </c>
      <c r="CS163" s="5">
        <f t="shared" si="92"/>
        <v>0</v>
      </c>
      <c r="CT163" s="5">
        <f t="shared" si="93"/>
        <v>0</v>
      </c>
      <c r="CU163" s="5">
        <f t="shared" si="94"/>
        <v>0</v>
      </c>
      <c r="CV163" s="5">
        <f t="shared" si="95"/>
        <v>0</v>
      </c>
      <c r="CW163" s="5">
        <f t="shared" si="96"/>
        <v>0</v>
      </c>
      <c r="CX163" s="5">
        <f t="shared" si="97"/>
        <v>0</v>
      </c>
      <c r="CY163" s="5">
        <f t="shared" si="98"/>
        <v>0</v>
      </c>
      <c r="CZ163" s="5">
        <f t="shared" si="99"/>
        <v>0</v>
      </c>
      <c r="DA163" s="5">
        <f t="shared" si="100"/>
        <v>0</v>
      </c>
      <c r="DB163" s="5">
        <f t="shared" si="101"/>
        <v>0</v>
      </c>
    </row>
    <row r="164" spans="27:106" x14ac:dyDescent="0.15">
      <c r="AA164" s="5">
        <v>160</v>
      </c>
      <c r="AB164" s="5">
        <f>求节点(T$6:T$44,$C$67:$C$105,$AA164)</f>
        <v>0</v>
      </c>
      <c r="AC164" s="5">
        <f>求节点(U$6:U$44,$C$67:$C$105,$AA164)</f>
        <v>0</v>
      </c>
      <c r="AD164" s="5">
        <f>求节点(V$6:V$44,$C$67:$C$105,$AA164)</f>
        <v>0</v>
      </c>
      <c r="AE164" s="5">
        <f>求节点(W$6:W$44,$C$67:$C$105,$AA164)</f>
        <v>0</v>
      </c>
      <c r="AF164" s="5">
        <f>求节点(X$6:X$44,$C$67:$C$105,$AA164)</f>
        <v>0</v>
      </c>
      <c r="AG164" s="5">
        <f>求节点(T$6:T$44,$D$67:$D$105,$AA164)+求节点(T$67:T$105,$Q$67:$Q$105,$AA164)</f>
        <v>102728760</v>
      </c>
      <c r="AH164" s="5">
        <f>求节点(U$6:U$44,$D$67:$D$105,$AA164)+求节点(U$67:U$105,$Q$67:$Q$105,$AA164)</f>
        <v>102728760</v>
      </c>
      <c r="AI164" s="5">
        <f>求节点(V$6:V$44,$D$67:$D$105,$AA164)+求节点(V$67:V$105,$Q$67:$Q$105,$AA164)</f>
        <v>102728760</v>
      </c>
      <c r="AJ164" s="5">
        <f>求节点(W$6:W$44,$D$67:$D$105,$AA164)+求节点(W$67:W$105,$Q$67:$Q$105,$AA164)</f>
        <v>102728760</v>
      </c>
      <c r="AK164" s="5">
        <f>求节点(X$6:X$44,$D$67:$D$105,$AA164)+求节点(X$67:X$105,$Q$67:$Q$105,$AA164)</f>
        <v>102728760</v>
      </c>
      <c r="AL164" s="5">
        <f>求节点(T$6:T$44,$F$67:$F$105,$AA164)+求节点(T$67:T$105,$P$67:$P$105,$AA164)</f>
        <v>1848000</v>
      </c>
      <c r="AM164" s="5">
        <f>求节点(U$6:U$44,$F$67:$F$105,$AA164)+求节点(U$67:U$105,$P$67:$P$105,$AA164)</f>
        <v>1848000</v>
      </c>
      <c r="AN164" s="5">
        <f>求节点(V$6:V$44,$F$67:$F$105,$AA164)+求节点(V$67:V$105,$P$67:$P$105,$AA164)</f>
        <v>1848000</v>
      </c>
      <c r="AO164" s="5">
        <f>求节点(W$6:W$44,$F$67:$F$105,$AA164)+求节点(W$67:W$105,$P$67:$P$105,$AA164)</f>
        <v>1848000</v>
      </c>
      <c r="AP164" s="5">
        <f>求节点(X$6:X$44,$F$67:$F$105,$AA164)+求节点(X$67:X$105,$P$67:$P$105,$AA164)</f>
        <v>1848000</v>
      </c>
      <c r="AQ164" s="5">
        <f>求节点(T$6:T$44,$H$67:$H$105,$AA164)</f>
        <v>963600</v>
      </c>
      <c r="AR164" s="5">
        <f>求节点(U$6:U$44,$H$67:$H$105,$AA164)</f>
        <v>963600</v>
      </c>
      <c r="AS164" s="5">
        <f>求节点(V$6:V$44,$H$67:$H$105,$AA164)</f>
        <v>963600</v>
      </c>
      <c r="AT164" s="5">
        <f>求节点(W$6:W$44,$H$67:$H$105,$AA164)</f>
        <v>963600</v>
      </c>
      <c r="AU164" s="5">
        <f>求节点(X$6:X$44,$H$67:$H$105,$AA164)</f>
        <v>963600</v>
      </c>
      <c r="AV164" s="5">
        <f>求节点(T$6:T$44,$I$67:$I$105,$AA164)</f>
        <v>25320000</v>
      </c>
      <c r="AW164" s="5">
        <f>求节点(U$6:U$44,$I$67:$I$105,$AA164)</f>
        <v>25320000</v>
      </c>
      <c r="AX164" s="5">
        <f>求节点(V$6:V$44,$I$67:$I$105,$AA164)</f>
        <v>25320000</v>
      </c>
      <c r="AY164" s="5">
        <f>求节点(W$6:W$44,$I$67:$I$105,$AA164)</f>
        <v>25320000</v>
      </c>
      <c r="AZ164" s="5">
        <f>求节点(X$6:X$44,$I$67:$I$105,$AA164)</f>
        <v>25320000</v>
      </c>
      <c r="BA164" s="5">
        <f>求节点(T$6:T$44,$E$67:$E$105,$AA164)+求节点(T$6:T$44,$K$67:$K$105,$AA164)+求节点(T$67:T$105,$O$67:$O$105,$AA164)</f>
        <v>8112</v>
      </c>
      <c r="BB164" s="5">
        <f>求节点(U$6:U$44,$E$67:$E$105,$AA164)+求节点(U$6:U$44,$K$67:$K$105,$AA164)+求节点(U$67:U$105,$O$67:$O$105,$AA164)</f>
        <v>8112</v>
      </c>
      <c r="BC164" s="5">
        <f>求节点(V$6:V$44,$E$67:$E$105,$AA164)+求节点(V$6:V$44,$K$67:$K$105,$AA164)+求节点(V$67:V$105,$O$67:$O$105,$AA164)</f>
        <v>8112</v>
      </c>
      <c r="BD164" s="5">
        <f>求节点(W$6:W$44,$E$67:$E$105,$AA164)+求节点(W$6:W$44,$K$67:$K$105,$AA164)+求节点(W$67:W$105,$O$67:$O$105,$AA164)</f>
        <v>8112</v>
      </c>
      <c r="BE164" s="5">
        <f>求节点(X$6:X$44,$E$67:$E$105,$AA164)+求节点(X$6:X$44,$K$67:$K$105,$AA164)+求节点(X$67:X$105,$O$67:$O$105,$AA164)</f>
        <v>8112</v>
      </c>
      <c r="BF164" s="5">
        <f>求节点(T$6:T$44,$G$67:$G$105,$AA164)</f>
        <v>0</v>
      </c>
      <c r="BG164" s="5">
        <f>求节点(U$6:U$44,$G$67:$G$105,$AA164)</f>
        <v>0</v>
      </c>
      <c r="BH164" s="5">
        <f>求节点(V$6:V$44,$G$67:$G$105,$AA164)</f>
        <v>0</v>
      </c>
      <c r="BI164" s="5">
        <f>求节点(W$6:W$44,$G$67:$G$105,$AA164)</f>
        <v>0</v>
      </c>
      <c r="BJ164" s="5">
        <f>求节点(X$6:X$44,$G$67:$G$105,$AA164)</f>
        <v>0</v>
      </c>
      <c r="BK164" s="5">
        <f>求节点(T$6:T$44,$M$67:$M$105,$AA164)</f>
        <v>78</v>
      </c>
      <c r="BL164" s="5">
        <f>求节点(U$6:U$44,$M$67:$M$105,$AA164)</f>
        <v>78</v>
      </c>
      <c r="BM164" s="5">
        <f>求节点(V$6:V$44,$M$67:$M$105,$AA164)</f>
        <v>78</v>
      </c>
      <c r="BN164" s="5">
        <f>求节点(W$6:W$44,$M$67:$M$105,$AA164)</f>
        <v>78</v>
      </c>
      <c r="BO164" s="5">
        <f>求节点(X$6:X$44,$M$67:$M$105,$AA164)</f>
        <v>78</v>
      </c>
      <c r="BP164" s="5">
        <f>求节点(T$67:T$105,$L$67:$L$105,$AA164)</f>
        <v>0</v>
      </c>
      <c r="BQ164" s="5">
        <f>求节点(U$67:U$105,$L$67:$L$105,$AA164)</f>
        <v>0</v>
      </c>
      <c r="BR164" s="5">
        <f>求节点(V$67:V$105,$L$67:$L$105,$AA164)</f>
        <v>0</v>
      </c>
      <c r="BS164" s="5">
        <f>求节点(W$67:W$105,$L$67:$L$105,$AA164)</f>
        <v>0</v>
      </c>
      <c r="BT164" s="5">
        <f>求节点(X$67:X$105,$L$67:$L$105,$AA164)</f>
        <v>0</v>
      </c>
      <c r="BZ164" s="5">
        <v>160</v>
      </c>
      <c r="CA164" s="5">
        <f t="shared" si="81"/>
        <v>8112</v>
      </c>
      <c r="CB164" s="5">
        <f t="shared" si="82"/>
        <v>8112</v>
      </c>
      <c r="CC164" s="5">
        <f t="shared" si="83"/>
        <v>8112</v>
      </c>
      <c r="CD164" s="5">
        <f t="shared" si="84"/>
        <v>8112</v>
      </c>
      <c r="CE164" s="5">
        <f t="shared" si="85"/>
        <v>8112</v>
      </c>
      <c r="CF164" s="5">
        <f>(CA164-CA163)/节奏总纲!W163</f>
        <v>0</v>
      </c>
      <c r="CI164" s="5">
        <v>160</v>
      </c>
      <c r="CJ164" s="5">
        <f t="shared" si="86"/>
        <v>18720</v>
      </c>
      <c r="CK164" s="5">
        <f t="shared" si="87"/>
        <v>18720</v>
      </c>
      <c r="CL164" s="5">
        <f t="shared" si="88"/>
        <v>18720</v>
      </c>
      <c r="CM164" s="5">
        <f t="shared" si="89"/>
        <v>18720</v>
      </c>
      <c r="CN164" s="5">
        <f t="shared" si="90"/>
        <v>18720</v>
      </c>
      <c r="CO164" s="5">
        <f>(CJ164-CJ163)/节奏总纲!W163</f>
        <v>0</v>
      </c>
      <c r="CP164" s="5">
        <f t="shared" si="91"/>
        <v>0</v>
      </c>
      <c r="CR164" s="5">
        <v>160</v>
      </c>
      <c r="CS164" s="5">
        <f t="shared" si="92"/>
        <v>0</v>
      </c>
      <c r="CT164" s="5">
        <f t="shared" si="93"/>
        <v>0</v>
      </c>
      <c r="CU164" s="5">
        <f t="shared" si="94"/>
        <v>0</v>
      </c>
      <c r="CV164" s="5">
        <f t="shared" si="95"/>
        <v>0</v>
      </c>
      <c r="CW164" s="5">
        <f t="shared" si="96"/>
        <v>0</v>
      </c>
      <c r="CX164" s="5">
        <f t="shared" si="97"/>
        <v>0</v>
      </c>
      <c r="CY164" s="5">
        <f t="shared" si="98"/>
        <v>0</v>
      </c>
      <c r="CZ164" s="5">
        <f t="shared" si="99"/>
        <v>0</v>
      </c>
      <c r="DA164" s="5">
        <f t="shared" si="100"/>
        <v>0</v>
      </c>
      <c r="DB164" s="5">
        <f t="shared" si="101"/>
        <v>0</v>
      </c>
    </row>
  </sheetData>
  <mergeCells count="23">
    <mergeCell ref="CS3:CW3"/>
    <mergeCell ref="CX3:DB3"/>
    <mergeCell ref="CJ3:CN3"/>
    <mergeCell ref="CA3:CE3"/>
    <mergeCell ref="AQ3:AU3"/>
    <mergeCell ref="AV3:AZ3"/>
    <mergeCell ref="BA3:BE3"/>
    <mergeCell ref="BF3:BJ3"/>
    <mergeCell ref="BP3:BT3"/>
    <mergeCell ref="T4:X4"/>
    <mergeCell ref="BK3:BO3"/>
    <mergeCell ref="N3:Q3"/>
    <mergeCell ref="C65:H65"/>
    <mergeCell ref="I65:L65"/>
    <mergeCell ref="N65:Q65"/>
    <mergeCell ref="T65:X65"/>
    <mergeCell ref="C4:H4"/>
    <mergeCell ref="I4:L4"/>
    <mergeCell ref="N4:Q4"/>
    <mergeCell ref="C3:J3"/>
    <mergeCell ref="AB3:AF3"/>
    <mergeCell ref="AG3:AK3"/>
    <mergeCell ref="AL3:AP3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1FAD4-BB23-462F-91BD-69994DCC4C1B}">
  <dimension ref="A1:CG164"/>
  <sheetViews>
    <sheetView workbookViewId="0">
      <selection activeCell="T14" sqref="T14"/>
    </sheetView>
  </sheetViews>
  <sheetFormatPr defaultColWidth="6.625" defaultRowHeight="11.25" x14ac:dyDescent="0.15"/>
  <cols>
    <col min="1" max="1" width="6.625" style="21"/>
    <col min="2" max="9" width="6.625" style="19"/>
    <col min="10" max="10" width="6.625" style="20"/>
    <col min="11" max="46" width="6.625" style="19"/>
    <col min="47" max="47" width="6.625" style="20"/>
    <col min="48" max="51" width="6.625" style="19"/>
    <col min="52" max="52" width="7.25" style="19" customWidth="1"/>
    <col min="53" max="53" width="7.5" style="19" bestFit="1" customWidth="1"/>
    <col min="54" max="57" width="7.5" style="19" customWidth="1"/>
    <col min="58" max="58" width="6.75" style="19" customWidth="1"/>
    <col min="59" max="59" width="6.625" style="20"/>
    <col min="60" max="68" width="6.75" style="19" customWidth="1"/>
    <col min="69" max="69" width="6.625" style="20"/>
    <col min="70" max="72" width="6.625" style="19"/>
    <col min="73" max="73" width="9" style="19" bestFit="1" customWidth="1"/>
    <col min="74" max="77" width="6.625" style="19"/>
    <col min="78" max="78" width="6.625" style="20"/>
    <col min="79" max="79" width="6.625" style="19"/>
    <col min="80" max="80" width="8.25" style="19" bestFit="1" customWidth="1"/>
    <col min="81" max="81" width="8.25" style="19" customWidth="1"/>
    <col min="82" max="82" width="9" style="19" bestFit="1" customWidth="1"/>
    <col min="83" max="83" width="7.5" style="19" bestFit="1" customWidth="1"/>
    <col min="84" max="84" width="9" style="19" bestFit="1" customWidth="1"/>
    <col min="85" max="85" width="7.5" style="19" bestFit="1" customWidth="1"/>
    <col min="86" max="16384" width="6.625" style="19"/>
  </cols>
  <sheetData>
    <row r="1" spans="1:85" x14ac:dyDescent="0.15">
      <c r="A1" s="21" t="s">
        <v>84</v>
      </c>
      <c r="K1" s="19" t="s">
        <v>83</v>
      </c>
      <c r="AV1" s="21" t="s">
        <v>65</v>
      </c>
      <c r="BR1" s="19" t="s">
        <v>24</v>
      </c>
      <c r="CA1" s="19" t="s">
        <v>66</v>
      </c>
    </row>
    <row r="2" spans="1:85" x14ac:dyDescent="0.15">
      <c r="A2" s="21" t="s">
        <v>85</v>
      </c>
      <c r="D2" s="19">
        <v>20</v>
      </c>
      <c r="E2" s="19" t="s">
        <v>63</v>
      </c>
      <c r="F2" s="19">
        <f>D2-10</f>
        <v>10</v>
      </c>
    </row>
    <row r="3" spans="1:85" x14ac:dyDescent="0.15">
      <c r="A3" s="21" t="s">
        <v>86</v>
      </c>
      <c r="E3" s="19">
        <v>30</v>
      </c>
      <c r="F3" s="19" t="s">
        <v>63</v>
      </c>
      <c r="G3" s="19">
        <f>E3-10</f>
        <v>20</v>
      </c>
      <c r="S3" s="23" t="s">
        <v>100</v>
      </c>
      <c r="T3" s="23"/>
      <c r="U3" s="23"/>
      <c r="V3" s="23"/>
      <c r="W3" s="23"/>
      <c r="X3" s="23" t="s">
        <v>96</v>
      </c>
      <c r="Y3" s="23"/>
      <c r="Z3" s="23"/>
      <c r="AA3" s="23"/>
      <c r="AB3" s="23"/>
      <c r="AC3" s="23" t="s">
        <v>97</v>
      </c>
      <c r="AD3" s="23"/>
      <c r="AE3" s="23"/>
      <c r="AF3" s="23"/>
      <c r="AG3" s="23"/>
      <c r="AH3" s="23" t="s">
        <v>98</v>
      </c>
      <c r="AI3" s="23"/>
      <c r="AJ3" s="23"/>
      <c r="AK3" s="23"/>
      <c r="AL3" s="23"/>
      <c r="AM3" s="23" t="s">
        <v>99</v>
      </c>
      <c r="AN3" s="23"/>
      <c r="AO3" s="23"/>
      <c r="AP3" s="23"/>
      <c r="AQ3" s="23"/>
      <c r="AR3" s="5"/>
      <c r="AZ3" s="27" t="s">
        <v>30</v>
      </c>
      <c r="BA3" s="27"/>
      <c r="BB3" s="27"/>
      <c r="BC3" s="27" t="s">
        <v>23</v>
      </c>
      <c r="BD3" s="27"/>
      <c r="BE3" s="27"/>
      <c r="BL3" s="27" t="s">
        <v>30</v>
      </c>
      <c r="BM3" s="27"/>
      <c r="BN3" s="27" t="s">
        <v>23</v>
      </c>
      <c r="BO3" s="27"/>
      <c r="CD3" s="27" t="s">
        <v>30</v>
      </c>
      <c r="CE3" s="27"/>
      <c r="CF3" s="27" t="s">
        <v>23</v>
      </c>
      <c r="CG3" s="27"/>
    </row>
    <row r="4" spans="1:85" x14ac:dyDescent="0.15">
      <c r="A4" s="21" t="s">
        <v>87</v>
      </c>
      <c r="E4" s="19">
        <v>40</v>
      </c>
      <c r="F4" s="19" t="s">
        <v>63</v>
      </c>
      <c r="G4" s="19">
        <f t="shared" ref="G4:G5" si="0">E4-10</f>
        <v>30</v>
      </c>
      <c r="L4" s="19" t="s">
        <v>63</v>
      </c>
      <c r="M4" s="19" t="s">
        <v>67</v>
      </c>
      <c r="N4" s="19" t="s">
        <v>92</v>
      </c>
      <c r="O4" s="19" t="s">
        <v>93</v>
      </c>
      <c r="P4" s="19" t="s">
        <v>71</v>
      </c>
      <c r="R4" s="19" t="s">
        <v>63</v>
      </c>
      <c r="S4" s="5" t="s">
        <v>8</v>
      </c>
      <c r="T4" s="5" t="s">
        <v>9</v>
      </c>
      <c r="U4" s="5" t="s">
        <v>10</v>
      </c>
      <c r="V4" s="5" t="s">
        <v>11</v>
      </c>
      <c r="W4" s="5" t="s">
        <v>12</v>
      </c>
      <c r="X4" s="5" t="s">
        <v>8</v>
      </c>
      <c r="Y4" s="5" t="s">
        <v>9</v>
      </c>
      <c r="Z4" s="5" t="s">
        <v>10</v>
      </c>
      <c r="AA4" s="5" t="s">
        <v>11</v>
      </c>
      <c r="AB4" s="5" t="s">
        <v>12</v>
      </c>
      <c r="AC4" s="5" t="s">
        <v>8</v>
      </c>
      <c r="AD4" s="5" t="s">
        <v>9</v>
      </c>
      <c r="AE4" s="5" t="s">
        <v>10</v>
      </c>
      <c r="AF4" s="5" t="s">
        <v>11</v>
      </c>
      <c r="AG4" s="5" t="s">
        <v>12</v>
      </c>
      <c r="AH4" s="5" t="s">
        <v>8</v>
      </c>
      <c r="AI4" s="5" t="s">
        <v>9</v>
      </c>
      <c r="AJ4" s="5" t="s">
        <v>10</v>
      </c>
      <c r="AK4" s="5" t="s">
        <v>11</v>
      </c>
      <c r="AL4" s="5" t="s">
        <v>12</v>
      </c>
      <c r="AM4" s="5" t="s">
        <v>8</v>
      </c>
      <c r="AN4" s="5" t="s">
        <v>9</v>
      </c>
      <c r="AO4" s="5" t="s">
        <v>10</v>
      </c>
      <c r="AP4" s="5" t="s">
        <v>11</v>
      </c>
      <c r="AQ4" s="5" t="s">
        <v>12</v>
      </c>
      <c r="AR4" s="5"/>
      <c r="AW4" s="19" t="s">
        <v>36</v>
      </c>
      <c r="AX4" s="19" t="s">
        <v>89</v>
      </c>
      <c r="AY4" s="19" t="s">
        <v>90</v>
      </c>
      <c r="AZ4" s="19" t="s">
        <v>67</v>
      </c>
      <c r="BA4" s="19" t="s">
        <v>68</v>
      </c>
      <c r="BB4" s="19" t="s">
        <v>69</v>
      </c>
      <c r="BC4" s="19" t="s">
        <v>67</v>
      </c>
      <c r="BD4" s="19" t="s">
        <v>68</v>
      </c>
      <c r="BE4" s="19" t="s">
        <v>69</v>
      </c>
      <c r="BI4" s="19" t="s">
        <v>70</v>
      </c>
      <c r="BJ4" s="19" t="s">
        <v>89</v>
      </c>
      <c r="BK4" s="19" t="s">
        <v>90</v>
      </c>
      <c r="BL4" s="19" t="s">
        <v>67</v>
      </c>
      <c r="BM4" s="19" t="s">
        <v>71</v>
      </c>
      <c r="BN4" s="19" t="s">
        <v>67</v>
      </c>
      <c r="BO4" s="19" t="s">
        <v>71</v>
      </c>
      <c r="BS4" s="19" t="s">
        <v>72</v>
      </c>
      <c r="BT4" s="19" t="s">
        <v>73</v>
      </c>
      <c r="BU4" s="19" t="s">
        <v>74</v>
      </c>
      <c r="BV4" s="19" t="s">
        <v>67</v>
      </c>
      <c r="BW4" s="19" t="s">
        <v>69</v>
      </c>
      <c r="BX4" s="19" t="s">
        <v>71</v>
      </c>
      <c r="CB4" s="19" t="s">
        <v>89</v>
      </c>
      <c r="CC4" s="19" t="s">
        <v>90</v>
      </c>
      <c r="CD4" s="19" t="s">
        <v>74</v>
      </c>
      <c r="CE4" s="19" t="s">
        <v>68</v>
      </c>
      <c r="CF4" s="19" t="s">
        <v>74</v>
      </c>
      <c r="CG4" s="19" t="s">
        <v>68</v>
      </c>
    </row>
    <row r="5" spans="1:85" x14ac:dyDescent="0.15">
      <c r="A5" s="21" t="s">
        <v>88</v>
      </c>
      <c r="E5" s="19">
        <v>48</v>
      </c>
      <c r="F5" s="19" t="s">
        <v>63</v>
      </c>
      <c r="G5" s="19">
        <f t="shared" si="0"/>
        <v>38</v>
      </c>
      <c r="L5" s="19">
        <v>1</v>
      </c>
      <c r="M5" s="19">
        <f t="shared" ref="M5:M36" si="1">求节点($AY$5:$AY$46,BC$5:BC$46,$L5)+求节点($BK$5:$BK$10,$BN$5:$BN$10,$L5)+求节点($BT$21:$BT$23,$BU$21:$BU$23,$L5)*240+求节点($BT$21:$BT$23,$BV$21:$BV$23,$L5)+求节点($CC$5:$CC$7,$CF$5:$CF$7,$L5)*240</f>
        <v>26.999999999999986</v>
      </c>
      <c r="N5" s="19">
        <f t="shared" ref="N5:N36" si="2">求节点($AY$5:$AY$46,BD$5:BD$46,$L5)+求节点($CC$5:$CC$7,$CG$5:$CG$7,$L5)</f>
        <v>108</v>
      </c>
      <c r="O5" s="19">
        <f t="shared" ref="O5:O36" si="3">求节点($AY$5:$AY$46,BE$5:BE$46,$L5)+求节点($BT$21:$BT$23,$BW$21:$BW$23,$L5)</f>
        <v>1200</v>
      </c>
      <c r="P5" s="19">
        <f t="shared" ref="P5:P36" si="4">求节点($BK$5:$BK$10,$BO$5:$BO$10,$L5)+求节点($BT$21:$BT$23,$BX$21:$BX$23,$L5)</f>
        <v>1450</v>
      </c>
      <c r="R5" s="19">
        <v>1</v>
      </c>
      <c r="S5" s="19">
        <f>求节点(其他调用!C$4:C$163,其他调用!$B$4:$B$163,其他调用!$C4)</f>
        <v>1</v>
      </c>
      <c r="T5" s="19">
        <f>求节点(其他调用!D$4:D$163,其他调用!$B$4:$B$163,其他调用!$C4)</f>
        <v>0.99537968039766378</v>
      </c>
      <c r="U5" s="19">
        <f>求节点(其他调用!E$4:E$163,其他调用!$B$4:$B$163,其他调用!$C4)</f>
        <v>0.98918579443490429</v>
      </c>
      <c r="V5" s="19">
        <f>求节点(其他调用!F$4:F$163,其他调用!$B$4:$B$163,其他调用!$C4)</f>
        <v>0.98261330413835668</v>
      </c>
      <c r="W5" s="19">
        <f>求节点(其他调用!G$4:G$163,其他调用!$B$4:$B$163,其他调用!$C4)</f>
        <v>0.97749802450831558</v>
      </c>
      <c r="X5" s="19">
        <f>求节点(S$5:S$164,$M$5:$M$164,$R5)</f>
        <v>26.999999999999986</v>
      </c>
      <c r="Y5" s="19">
        <f>求节点(T$5:T$164,$M$5:$M$164,$R5)</f>
        <v>27.129219614237176</v>
      </c>
      <c r="Z5" s="19">
        <f t="shared" ref="Z5:AB5" si="5">求节点(U$5:U$164,$M$5:$M$164,$R5)</f>
        <v>27.319605786559457</v>
      </c>
      <c r="AA5" s="19">
        <f t="shared" si="5"/>
        <v>27.555162390589043</v>
      </c>
      <c r="AB5" s="19">
        <f t="shared" si="5"/>
        <v>27.749576849145811</v>
      </c>
      <c r="AC5" s="19">
        <f>求节点(S$5:S$164,$N$5:$N$164,$R5)</f>
        <v>108</v>
      </c>
      <c r="AD5" s="19">
        <f t="shared" ref="AD5:AG5" si="6">求节点(T$5:T$164,$N$5:$N$164,$R5)</f>
        <v>108.51687845694876</v>
      </c>
      <c r="AE5" s="19">
        <f t="shared" si="6"/>
        <v>109.27842314623788</v>
      </c>
      <c r="AF5" s="19">
        <f t="shared" si="6"/>
        <v>110.22064956235623</v>
      </c>
      <c r="AG5" s="19">
        <f t="shared" si="6"/>
        <v>110.9983073965833</v>
      </c>
      <c r="AH5" s="19">
        <f>求节点(S$5:S$164,$O$5:$O$164,$R5)</f>
        <v>1200</v>
      </c>
      <c r="AI5" s="19">
        <f t="shared" ref="AI5:AL5" si="7">求节点(T$5:T$164,$O$5:$O$164,$R5)</f>
        <v>1205.7430939660974</v>
      </c>
      <c r="AJ5" s="19">
        <f t="shared" si="7"/>
        <v>1214.2047016248653</v>
      </c>
      <c r="AK5" s="19">
        <f t="shared" si="7"/>
        <v>1224.6738840261803</v>
      </c>
      <c r="AL5" s="19">
        <f t="shared" si="7"/>
        <v>1233.3145266287033</v>
      </c>
      <c r="AM5" s="19">
        <f>求节点(S$5:S$164,$P$5:$P$164,$R5)</f>
        <v>1450</v>
      </c>
      <c r="AN5" s="19">
        <f t="shared" ref="AN5:AQ5" si="8">求节点(T$5:T$164,$P$5:$P$164,$R5)</f>
        <v>1456.9395718757009</v>
      </c>
      <c r="AO5" s="19">
        <f t="shared" si="8"/>
        <v>1467.1640144633789</v>
      </c>
      <c r="AP5" s="19">
        <f t="shared" si="8"/>
        <v>1479.8142765316345</v>
      </c>
      <c r="AQ5" s="19">
        <f t="shared" si="8"/>
        <v>1490.2550530096833</v>
      </c>
      <c r="AW5" s="19">
        <v>1</v>
      </c>
      <c r="AX5" s="27" t="s">
        <v>80</v>
      </c>
      <c r="AY5" s="22">
        <f>F2</f>
        <v>10</v>
      </c>
      <c r="AZ5" s="19">
        <v>5</v>
      </c>
      <c r="BA5" s="19">
        <v>180</v>
      </c>
      <c r="BB5" s="19">
        <v>6000</v>
      </c>
      <c r="BC5" s="19">
        <f>SUM(AZ$5:AZ5)</f>
        <v>5</v>
      </c>
      <c r="BD5" s="19">
        <f>SUM(BA$5:BA5)</f>
        <v>180</v>
      </c>
      <c r="BE5" s="19">
        <f>SUM(BB$5:BB5)</f>
        <v>6000</v>
      </c>
      <c r="BI5" s="19">
        <v>1</v>
      </c>
      <c r="BJ5" s="27" t="s">
        <v>80</v>
      </c>
      <c r="BK5" s="22">
        <f>F2</f>
        <v>10</v>
      </c>
      <c r="BL5" s="19">
        <v>30</v>
      </c>
      <c r="BM5" s="19">
        <v>10000</v>
      </c>
      <c r="BN5" s="19">
        <f>SUM(BL$5:BL5)</f>
        <v>30</v>
      </c>
      <c r="BO5" s="19">
        <f>SUM(BM$5:BM5)</f>
        <v>10000</v>
      </c>
      <c r="BS5" s="19" t="s">
        <v>75</v>
      </c>
      <c r="BT5" s="19">
        <v>3</v>
      </c>
      <c r="BV5" s="19">
        <v>50</v>
      </c>
      <c r="CB5" s="19" t="s">
        <v>80</v>
      </c>
      <c r="CC5" s="19">
        <f>G3</f>
        <v>20</v>
      </c>
      <c r="CD5" s="19">
        <v>1</v>
      </c>
      <c r="CE5" s="19">
        <v>1800</v>
      </c>
      <c r="CF5" s="19">
        <f>SUM(CD$5:CD5)</f>
        <v>1</v>
      </c>
      <c r="CG5" s="19">
        <f>SUM(CE$5:CE5)</f>
        <v>1800</v>
      </c>
    </row>
    <row r="6" spans="1:85" x14ac:dyDescent="0.15">
      <c r="L6" s="19">
        <v>2</v>
      </c>
      <c r="M6" s="19">
        <f t="shared" si="1"/>
        <v>53.999999999999993</v>
      </c>
      <c r="N6" s="19">
        <f t="shared" si="2"/>
        <v>216</v>
      </c>
      <c r="O6" s="19">
        <f t="shared" si="3"/>
        <v>2400</v>
      </c>
      <c r="P6" s="19">
        <f t="shared" si="4"/>
        <v>2900</v>
      </c>
      <c r="R6" s="19">
        <v>2</v>
      </c>
      <c r="S6" s="19">
        <f>求节点(其他调用!C$4:C$163,其他调用!$B$4:$B$163,其他调用!$C5)</f>
        <v>2</v>
      </c>
      <c r="T6" s="19">
        <f>求节点(其他调用!D$4:D$163,其他调用!$B$4:$B$163,其他调用!$C5)</f>
        <v>1.9607797862522884</v>
      </c>
      <c r="U6" s="19">
        <f>求节点(其他调用!E$4:E$163,其他调用!$B$4:$B$163,其他调用!$C5)</f>
        <v>1.9027598363844065</v>
      </c>
      <c r="V6" s="19">
        <f>求节点(其他调用!F$4:F$163,其他调用!$B$4:$B$163,其他调用!$C5)</f>
        <v>1.8282051457727817</v>
      </c>
      <c r="W6" s="19">
        <f>求节点(其他调用!G$4:G$163,其他调用!$B$4:$B$163,其他调用!$C5)</f>
        <v>1.7880264432659296</v>
      </c>
      <c r="X6" s="19">
        <f t="shared" ref="X6:X69" si="9">求节点(S$5:S$164,$M$5:$M$164,$R6)</f>
        <v>53.999999999999993</v>
      </c>
      <c r="Y6" s="19">
        <f t="shared" ref="Y6:Y69" si="10">求节点(T$5:T$164,$M$5:$M$164,$R6)</f>
        <v>55.090263150645903</v>
      </c>
      <c r="Z6" s="19">
        <f t="shared" ref="Z6:Z69" si="11">求节点(U$5:U$164,$M$5:$M$164,$R6)</f>
        <v>56.83846769463117</v>
      </c>
      <c r="AA6" s="19">
        <f t="shared" ref="AA6:AA69" si="12">求节点(V$5:V$164,$M$5:$M$164,$R6)</f>
        <v>59.364648357577877</v>
      </c>
      <c r="AB6" s="19">
        <f t="shared" ref="AB6:AB69" si="13">求节点(W$5:W$164,$M$5:$M$164,$R6)</f>
        <v>60.847818704964645</v>
      </c>
      <c r="AC6" s="19">
        <f t="shared" ref="AC6:AC69" si="14">求节点(S$5:S$164,$N$5:$N$164,$R6)</f>
        <v>216</v>
      </c>
      <c r="AD6" s="19">
        <f t="shared" ref="AD6:AD69" si="15">求节点(T$5:T$164,$N$5:$N$164,$R6)</f>
        <v>220.36105260258367</v>
      </c>
      <c r="AE6" s="19">
        <f t="shared" ref="AE6:AE69" si="16">求节点(U$5:U$164,$N$5:$N$164,$R6)</f>
        <v>227.35387077852471</v>
      </c>
      <c r="AF6" s="19">
        <f t="shared" ref="AF6:AF69" si="17">求节点(V$5:V$164,$N$5:$N$164,$R6)</f>
        <v>237.45859343031154</v>
      </c>
      <c r="AG6" s="19">
        <f t="shared" ref="AG6:AG69" si="18">求节点(W$5:W$164,$N$5:$N$164,$R6)</f>
        <v>243.39127481985864</v>
      </c>
      <c r="AH6" s="19">
        <f t="shared" ref="AH6:AH69" si="19">求节点(S$5:S$164,$O$5:$O$164,$R6)</f>
        <v>2400</v>
      </c>
      <c r="AI6" s="19">
        <f t="shared" ref="AI6:AI69" si="20">求节点(T$5:T$164,$O$5:$O$164,$R6)</f>
        <v>2448.4561400287075</v>
      </c>
      <c r="AJ6" s="19">
        <f t="shared" ref="AJ6:AJ69" si="21">求节点(U$5:U$164,$O$5:$O$164,$R6)</f>
        <v>2526.154119761386</v>
      </c>
      <c r="AK6" s="19">
        <f t="shared" ref="AK6:AK69" si="22">求节点(V$5:V$164,$O$5:$O$164,$R6)</f>
        <v>2638.4288158923505</v>
      </c>
      <c r="AL6" s="19">
        <f t="shared" ref="AL6:AL69" si="23">求节点(W$5:W$164,$O$5:$O$164,$R6)</f>
        <v>2704.3474979984294</v>
      </c>
      <c r="AM6" s="19">
        <f t="shared" ref="AM6:AM69" si="24">求节点(S$5:S$164,$P$5:$P$164,$R6)</f>
        <v>2900</v>
      </c>
      <c r="AN6" s="19">
        <f t="shared" ref="AN6:AN69" si="25">求节点(T$5:T$164,$P$5:$P$164,$R6)</f>
        <v>2958.5511692013547</v>
      </c>
      <c r="AO6" s="19">
        <f t="shared" ref="AO6:AO69" si="26">求节点(U$5:U$164,$P$5:$P$164,$R6)</f>
        <v>3052.4362280450077</v>
      </c>
      <c r="AP6" s="19">
        <f t="shared" ref="AP6:AP69" si="27">求节点(V$5:V$164,$P$5:$P$164,$R6)</f>
        <v>3188.1014858699236</v>
      </c>
      <c r="AQ6" s="19">
        <f t="shared" ref="AQ6:AQ69" si="28">求节点(W$5:W$164,$P$5:$P$164,$R6)</f>
        <v>3267.753226748102</v>
      </c>
      <c r="AW6" s="19">
        <v>2</v>
      </c>
      <c r="AX6" s="27"/>
      <c r="AY6" s="19">
        <f>($AY$18-$AY$5)/($AW$18-$AW$5)+AY5</f>
        <v>10.76923076923077</v>
      </c>
      <c r="AZ6" s="19">
        <v>10</v>
      </c>
      <c r="BA6" s="19">
        <v>240</v>
      </c>
      <c r="BB6" s="19">
        <v>10000</v>
      </c>
      <c r="BC6" s="19">
        <f>SUM(AZ$5:AZ6)</f>
        <v>15</v>
      </c>
      <c r="BD6" s="19">
        <f>SUM(BA$5:BA6)</f>
        <v>420</v>
      </c>
      <c r="BE6" s="19">
        <f>SUM(BB$5:BB6)</f>
        <v>16000</v>
      </c>
      <c r="BI6" s="19">
        <v>2</v>
      </c>
      <c r="BJ6" s="27"/>
      <c r="BK6" s="22">
        <f>G3</f>
        <v>20</v>
      </c>
      <c r="BL6" s="19">
        <v>30</v>
      </c>
      <c r="BM6" s="19">
        <v>10000</v>
      </c>
      <c r="BN6" s="19">
        <f>SUM(BL$5:BL6)</f>
        <v>60</v>
      </c>
      <c r="BO6" s="19">
        <f>SUM(BM$5:BM6)</f>
        <v>20000</v>
      </c>
      <c r="BS6" s="19" t="s">
        <v>77</v>
      </c>
      <c r="BT6" s="19">
        <v>4</v>
      </c>
      <c r="BV6" s="19">
        <v>20</v>
      </c>
      <c r="CB6" s="19" t="s">
        <v>81</v>
      </c>
      <c r="CC6" s="19">
        <f t="shared" ref="CC6:CC7" si="29">G4</f>
        <v>30</v>
      </c>
      <c r="CD6" s="19">
        <v>2</v>
      </c>
      <c r="CE6" s="19">
        <v>3600</v>
      </c>
      <c r="CF6" s="19">
        <f>SUM(CD$5:CD6)</f>
        <v>3</v>
      </c>
      <c r="CG6" s="19">
        <f>SUM(CE$5:CE6)</f>
        <v>5400</v>
      </c>
    </row>
    <row r="7" spans="1:85" x14ac:dyDescent="0.15">
      <c r="L7" s="19">
        <v>3</v>
      </c>
      <c r="M7" s="19">
        <f t="shared" si="1"/>
        <v>80.999999999999972</v>
      </c>
      <c r="N7" s="19">
        <f t="shared" si="2"/>
        <v>324</v>
      </c>
      <c r="O7" s="19">
        <f t="shared" si="3"/>
        <v>3600</v>
      </c>
      <c r="P7" s="19">
        <f t="shared" si="4"/>
        <v>4350</v>
      </c>
      <c r="R7" s="19">
        <v>3</v>
      </c>
      <c r="S7" s="19">
        <f>求节点(其他调用!C$4:C$163,其他调用!$B$4:$B$163,其他调用!$C6)</f>
        <v>3</v>
      </c>
      <c r="T7" s="19">
        <f>求节点(其他调用!D$4:D$163,其他调用!$B$4:$B$163,其他调用!$C6)</f>
        <v>2.9320551802347885</v>
      </c>
      <c r="U7" s="19">
        <f>求节点(其他调用!E$4:E$163,其他调用!$B$4:$B$163,其他调用!$C6)</f>
        <v>2.8277252402841926</v>
      </c>
      <c r="V7" s="19">
        <f>求节点(其他调用!F$4:F$163,其他调用!$B$4:$B$163,其他调用!$C6)</f>
        <v>2.6928398347515645</v>
      </c>
      <c r="W7" s="19">
        <f>求节点(其他调用!G$4:G$163,其他调用!$B$4:$B$163,其他调用!$C6)</f>
        <v>2.6238087965093833</v>
      </c>
      <c r="X7" s="19">
        <f t="shared" si="9"/>
        <v>80.999999999999972</v>
      </c>
      <c r="Y7" s="19">
        <f t="shared" si="10"/>
        <v>82.888730985647499</v>
      </c>
      <c r="Z7" s="19">
        <f t="shared" si="11"/>
        <v>86.021642494424711</v>
      </c>
      <c r="AA7" s="19">
        <f t="shared" si="12"/>
        <v>90.531802865653987</v>
      </c>
      <c r="AB7" s="19">
        <f t="shared" si="13"/>
        <v>93.048458725734264</v>
      </c>
      <c r="AC7" s="19">
        <f t="shared" si="14"/>
        <v>324</v>
      </c>
      <c r="AD7" s="19">
        <f t="shared" si="15"/>
        <v>331.55492394259011</v>
      </c>
      <c r="AE7" s="19">
        <f t="shared" si="16"/>
        <v>344.08656997769896</v>
      </c>
      <c r="AF7" s="19">
        <f t="shared" si="17"/>
        <v>362.12721146261606</v>
      </c>
      <c r="AG7" s="19">
        <f t="shared" si="18"/>
        <v>372.19383490293711</v>
      </c>
      <c r="AH7" s="19">
        <f t="shared" si="19"/>
        <v>3600</v>
      </c>
      <c r="AI7" s="19">
        <f t="shared" si="20"/>
        <v>3683.9435993621123</v>
      </c>
      <c r="AJ7" s="19">
        <f t="shared" si="21"/>
        <v>3823.1841108633216</v>
      </c>
      <c r="AK7" s="19">
        <f t="shared" si="22"/>
        <v>4023.6356829179558</v>
      </c>
      <c r="AL7" s="19">
        <f t="shared" si="23"/>
        <v>4135.4870544770793</v>
      </c>
      <c r="AM7" s="19">
        <f t="shared" si="24"/>
        <v>4350</v>
      </c>
      <c r="AN7" s="19">
        <f t="shared" si="25"/>
        <v>4451.4318492292186</v>
      </c>
      <c r="AO7" s="19">
        <f t="shared" si="26"/>
        <v>4619.6808006265137</v>
      </c>
      <c r="AP7" s="19">
        <f t="shared" si="27"/>
        <v>4861.8931168591971</v>
      </c>
      <c r="AQ7" s="19">
        <f t="shared" si="28"/>
        <v>4997.0468574931374</v>
      </c>
      <c r="AW7" s="19">
        <v>3</v>
      </c>
      <c r="AX7" s="27"/>
      <c r="AY7" s="19">
        <f t="shared" ref="AY7:AY17" si="30">($AY$18-$AY$5)/($AW$18-$AW$5)+AY6</f>
        <v>11.53846153846154</v>
      </c>
      <c r="AZ7" s="19">
        <v>5</v>
      </c>
      <c r="BA7" s="19">
        <v>180</v>
      </c>
      <c r="BB7" s="19">
        <v>6000</v>
      </c>
      <c r="BC7" s="19">
        <f>SUM(AZ$5:AZ7)</f>
        <v>20</v>
      </c>
      <c r="BD7" s="19">
        <f>SUM(BA$5:BA7)</f>
        <v>600</v>
      </c>
      <c r="BE7" s="19">
        <f>SUM(BB$5:BB7)</f>
        <v>22000</v>
      </c>
      <c r="BI7" s="19">
        <v>3</v>
      </c>
      <c r="BJ7" s="27" t="s">
        <v>81</v>
      </c>
      <c r="BK7" s="19">
        <f>BK6+BK8/2</f>
        <v>35</v>
      </c>
      <c r="BL7" s="19">
        <v>50</v>
      </c>
      <c r="BM7" s="19">
        <v>20000</v>
      </c>
      <c r="BN7" s="19">
        <f>SUM(BL$5:BL7)</f>
        <v>110</v>
      </c>
      <c r="BO7" s="19">
        <f>SUM(BM$5:BM7)</f>
        <v>40000</v>
      </c>
      <c r="BS7" s="19" t="s">
        <v>78</v>
      </c>
      <c r="BT7" s="19">
        <v>9</v>
      </c>
      <c r="BX7" s="19">
        <v>1000</v>
      </c>
      <c r="CB7" s="19" t="s">
        <v>82</v>
      </c>
      <c r="CC7" s="19">
        <f t="shared" si="29"/>
        <v>38</v>
      </c>
      <c r="CD7" s="19">
        <v>3</v>
      </c>
      <c r="CE7" s="19">
        <v>5400</v>
      </c>
      <c r="CF7" s="19">
        <f>SUM(CD$5:CD7)</f>
        <v>6</v>
      </c>
      <c r="CG7" s="19">
        <f>SUM(CE$5:CE7)</f>
        <v>10800</v>
      </c>
    </row>
    <row r="8" spans="1:85" x14ac:dyDescent="0.15">
      <c r="L8" s="19">
        <v>4</v>
      </c>
      <c r="M8" s="19">
        <f t="shared" si="1"/>
        <v>107.99999999999999</v>
      </c>
      <c r="N8" s="19">
        <f t="shared" si="2"/>
        <v>432</v>
      </c>
      <c r="O8" s="19">
        <f t="shared" si="3"/>
        <v>4800</v>
      </c>
      <c r="P8" s="19">
        <f t="shared" si="4"/>
        <v>5800</v>
      </c>
      <c r="R8" s="19">
        <v>4</v>
      </c>
      <c r="S8" s="19">
        <f>求节点(其他调用!C$4:C$163,其他调用!$B$4:$B$163,其他调用!$C7)</f>
        <v>4</v>
      </c>
      <c r="T8" s="19">
        <f>求节点(其他调用!D$4:D$163,其他调用!$B$4:$B$163,其他调用!$C7)</f>
        <v>3.9033476234684525</v>
      </c>
      <c r="U8" s="19">
        <f>求节点(其他调用!E$4:E$163,其他调用!$B$4:$B$163,其他调用!$C7)</f>
        <v>3.7539995653662794</v>
      </c>
      <c r="V8" s="19">
        <f>求节点(其他调用!F$4:F$163,其他调用!$B$4:$B$163,其他调用!$C7)</f>
        <v>3.5629086536935857</v>
      </c>
      <c r="W8" s="19">
        <f>求节点(其他调用!G$4:G$163,其他调用!$B$4:$B$163,其他调用!$C7)</f>
        <v>3.4668346743797192</v>
      </c>
      <c r="X8" s="19">
        <f t="shared" si="9"/>
        <v>107.99999999999999</v>
      </c>
      <c r="Y8" s="19">
        <f t="shared" si="10"/>
        <v>110.688361977049</v>
      </c>
      <c r="Z8" s="19">
        <f t="shared" si="11"/>
        <v>115.17944528262512</v>
      </c>
      <c r="AA8" s="19">
        <f t="shared" si="12"/>
        <v>121.55118266830488</v>
      </c>
      <c r="AB8" s="19">
        <f t="shared" si="13"/>
        <v>125.03732697036074</v>
      </c>
      <c r="AC8" s="19">
        <f t="shared" si="14"/>
        <v>432</v>
      </c>
      <c r="AD8" s="19">
        <f t="shared" si="15"/>
        <v>442.75344790819605</v>
      </c>
      <c r="AE8" s="19">
        <f t="shared" si="16"/>
        <v>460.71778113050055</v>
      </c>
      <c r="AF8" s="19">
        <f t="shared" si="17"/>
        <v>486.2047306732195</v>
      </c>
      <c r="AG8" s="19">
        <f t="shared" si="18"/>
        <v>500.14930788144295</v>
      </c>
      <c r="AH8" s="19">
        <f t="shared" si="19"/>
        <v>4800</v>
      </c>
      <c r="AI8" s="19">
        <f t="shared" si="20"/>
        <v>4919.482754535511</v>
      </c>
      <c r="AJ8" s="19">
        <f t="shared" si="21"/>
        <v>5119.0864570055619</v>
      </c>
      <c r="AK8" s="19">
        <f t="shared" si="22"/>
        <v>5402.2747852579942</v>
      </c>
      <c r="AL8" s="19">
        <f t="shared" si="23"/>
        <v>5557.2145320160325</v>
      </c>
      <c r="AM8" s="19">
        <f t="shared" si="24"/>
        <v>5800</v>
      </c>
      <c r="AN8" s="19">
        <f t="shared" si="25"/>
        <v>5944.374995063743</v>
      </c>
      <c r="AO8" s="19">
        <f t="shared" si="26"/>
        <v>6185.562802215054</v>
      </c>
      <c r="AP8" s="19">
        <f t="shared" si="27"/>
        <v>6527.7486988534101</v>
      </c>
      <c r="AQ8" s="19">
        <f t="shared" si="28"/>
        <v>6714.967559519373</v>
      </c>
      <c r="AW8" s="19">
        <v>4</v>
      </c>
      <c r="AX8" s="27"/>
      <c r="AY8" s="19">
        <f t="shared" si="30"/>
        <v>12.30769230769231</v>
      </c>
      <c r="AZ8" s="19">
        <v>5</v>
      </c>
      <c r="BA8" s="19">
        <v>180</v>
      </c>
      <c r="BB8" s="19">
        <v>6000</v>
      </c>
      <c r="BC8" s="19">
        <f>SUM(AZ$5:AZ8)</f>
        <v>25</v>
      </c>
      <c r="BD8" s="19">
        <f>SUM(BA$5:BA8)</f>
        <v>780</v>
      </c>
      <c r="BE8" s="19">
        <f>SUM(BB$5:BB8)</f>
        <v>28000</v>
      </c>
      <c r="BI8" s="19">
        <v>4</v>
      </c>
      <c r="BJ8" s="27"/>
      <c r="BK8" s="22">
        <f>G4</f>
        <v>30</v>
      </c>
      <c r="BL8" s="19">
        <v>50</v>
      </c>
      <c r="BM8" s="19">
        <v>20000</v>
      </c>
      <c r="BN8" s="19">
        <f>SUM(BL$5:BL8)</f>
        <v>160</v>
      </c>
      <c r="BO8" s="19">
        <f>SUM(BM$5:BM8)</f>
        <v>60000</v>
      </c>
      <c r="BS8" s="19" t="s">
        <v>79</v>
      </c>
      <c r="BT8" s="19">
        <v>6</v>
      </c>
      <c r="BW8" s="19">
        <v>2000</v>
      </c>
    </row>
    <row r="9" spans="1:85" x14ac:dyDescent="0.15">
      <c r="L9" s="19">
        <v>5</v>
      </c>
      <c r="M9" s="19">
        <f t="shared" si="1"/>
        <v>135</v>
      </c>
      <c r="N9" s="19">
        <f t="shared" si="2"/>
        <v>540</v>
      </c>
      <c r="O9" s="19">
        <f t="shared" si="3"/>
        <v>6000</v>
      </c>
      <c r="P9" s="19">
        <f t="shared" si="4"/>
        <v>7250</v>
      </c>
      <c r="R9" s="19">
        <v>5</v>
      </c>
      <c r="S9" s="19">
        <f>求节点(其他调用!C$4:C$163,其他调用!$B$4:$B$163,其他调用!$C8)</f>
        <v>5</v>
      </c>
      <c r="T9" s="19">
        <f>求节点(其他调用!D$4:D$163,其他调用!$B$4:$B$163,其他调用!$C8)</f>
        <v>4.8740555075370757</v>
      </c>
      <c r="U9" s="19">
        <f>求节点(其他调用!E$4:E$163,其他调用!$B$4:$B$163,其他调用!$C8)</f>
        <v>4.6791423129800371</v>
      </c>
      <c r="V9" s="19">
        <f>求节点(其他调用!F$4:F$163,其他调用!$B$4:$B$163,其他调用!$C8)</f>
        <v>4.4337895678647055</v>
      </c>
      <c r="W9" s="19">
        <f>求节点(其他调用!G$4:G$163,其他调用!$B$4:$B$163,其他调用!$C8)</f>
        <v>4.3117714309959938</v>
      </c>
      <c r="X9" s="19">
        <f t="shared" si="9"/>
        <v>135</v>
      </c>
      <c r="Y9" s="19">
        <f t="shared" si="10"/>
        <v>138.50502852527421</v>
      </c>
      <c r="Z9" s="19">
        <f t="shared" si="11"/>
        <v>144.37403934458851</v>
      </c>
      <c r="AA9" s="19">
        <f t="shared" si="12"/>
        <v>152.53901935067768</v>
      </c>
      <c r="AB9" s="19">
        <f t="shared" si="13"/>
        <v>156.94756699427296</v>
      </c>
      <c r="AC9" s="19">
        <f t="shared" si="14"/>
        <v>540</v>
      </c>
      <c r="AD9" s="19">
        <f t="shared" si="15"/>
        <v>554.02011410109685</v>
      </c>
      <c r="AE9" s="19">
        <f t="shared" si="16"/>
        <v>577.49615737835404</v>
      </c>
      <c r="AF9" s="19">
        <f t="shared" si="17"/>
        <v>610.15607740271071</v>
      </c>
      <c r="AG9" s="19">
        <f t="shared" si="18"/>
        <v>627.79026797709184</v>
      </c>
      <c r="AH9" s="19">
        <f t="shared" si="19"/>
        <v>6000</v>
      </c>
      <c r="AI9" s="19">
        <f t="shared" si="20"/>
        <v>6155.7790455677423</v>
      </c>
      <c r="AJ9" s="19">
        <f t="shared" si="21"/>
        <v>6416.6239708706007</v>
      </c>
      <c r="AK9" s="19">
        <f t="shared" si="22"/>
        <v>6779.5119711412299</v>
      </c>
      <c r="AL9" s="19">
        <f t="shared" si="23"/>
        <v>6975.4474219676868</v>
      </c>
      <c r="AM9" s="19">
        <f t="shared" si="24"/>
        <v>7250</v>
      </c>
      <c r="AN9" s="19">
        <f t="shared" si="25"/>
        <v>7438.2330133943551</v>
      </c>
      <c r="AO9" s="19">
        <f t="shared" si="26"/>
        <v>7753.4206314686426</v>
      </c>
      <c r="AP9" s="19">
        <f t="shared" si="27"/>
        <v>8191.9102984623187</v>
      </c>
      <c r="AQ9" s="19">
        <f t="shared" si="28"/>
        <v>8428.6656348776214</v>
      </c>
      <c r="AW9" s="19">
        <v>5</v>
      </c>
      <c r="AX9" s="27"/>
      <c r="AY9" s="19">
        <f t="shared" si="30"/>
        <v>13.07692307692308</v>
      </c>
      <c r="AZ9" s="19">
        <v>10</v>
      </c>
      <c r="BA9" s="19">
        <v>360</v>
      </c>
      <c r="BB9" s="19">
        <v>10000</v>
      </c>
      <c r="BC9" s="19">
        <f>SUM(AZ$5:AZ9)</f>
        <v>35</v>
      </c>
      <c r="BD9" s="19">
        <f>SUM(BA$5:BA9)</f>
        <v>1140</v>
      </c>
      <c r="BE9" s="19">
        <f>SUM(BB$5:BB9)</f>
        <v>38000</v>
      </c>
      <c r="BI9" s="19">
        <v>5</v>
      </c>
      <c r="BJ9" s="27" t="s">
        <v>82</v>
      </c>
      <c r="BK9" s="19">
        <f>BK8+BK10/2</f>
        <v>49</v>
      </c>
      <c r="BL9" s="19">
        <v>100</v>
      </c>
      <c r="BM9" s="19">
        <v>30000</v>
      </c>
      <c r="BN9" s="19">
        <f>SUM(BL$5:BL9)</f>
        <v>260</v>
      </c>
      <c r="BO9" s="19">
        <f>SUM(BM$5:BM9)</f>
        <v>90000</v>
      </c>
    </row>
    <row r="10" spans="1:85" x14ac:dyDescent="0.15">
      <c r="L10" s="19">
        <v>6</v>
      </c>
      <c r="M10" s="19">
        <f t="shared" si="1"/>
        <v>162</v>
      </c>
      <c r="N10" s="19">
        <f t="shared" si="2"/>
        <v>648</v>
      </c>
      <c r="O10" s="19">
        <f t="shared" si="3"/>
        <v>7200</v>
      </c>
      <c r="P10" s="19">
        <f t="shared" si="4"/>
        <v>8700</v>
      </c>
      <c r="R10" s="19">
        <v>6</v>
      </c>
      <c r="S10" s="19">
        <f>求节点(其他调用!C$4:C$163,其他调用!$B$4:$B$163,其他调用!$C9)</f>
        <v>6</v>
      </c>
      <c r="T10" s="19">
        <f>求节点(其他调用!D$4:D$163,其他调用!$B$4:$B$163,其他调用!$C9)</f>
        <v>5.8442334310485347</v>
      </c>
      <c r="U10" s="19">
        <f>求节点(其他调用!E$4:E$163,其他调用!$B$4:$B$163,其他调用!$C9)</f>
        <v>5.603307150685791</v>
      </c>
      <c r="V10" s="19">
        <f>求节点(其他调用!F$4:F$163,其他调用!$B$4:$B$163,其他调用!$C9)</f>
        <v>5.3054279053332296</v>
      </c>
      <c r="W10" s="19">
        <f>求节点(其他调用!G$4:G$163,其他调用!$B$4:$B$163,其他调用!$C9)</f>
        <v>5.1584334490664725</v>
      </c>
      <c r="X10" s="19">
        <f t="shared" si="9"/>
        <v>162</v>
      </c>
      <c r="Y10" s="19">
        <f t="shared" si="10"/>
        <v>166.33712098555577</v>
      </c>
      <c r="Z10" s="19">
        <f t="shared" si="11"/>
        <v>173.60017271345532</v>
      </c>
      <c r="AA10" s="19">
        <f t="shared" si="12"/>
        <v>183.46657132688949</v>
      </c>
      <c r="AB10" s="19">
        <f t="shared" si="13"/>
        <v>188.78168583055395</v>
      </c>
      <c r="AC10" s="19">
        <f t="shared" si="14"/>
        <v>648</v>
      </c>
      <c r="AD10" s="19">
        <f t="shared" si="15"/>
        <v>665.34848394222308</v>
      </c>
      <c r="AE10" s="19">
        <f t="shared" si="16"/>
        <v>694.40069085382129</v>
      </c>
      <c r="AF10" s="19">
        <f t="shared" si="17"/>
        <v>733.86628530755797</v>
      </c>
      <c r="AG10" s="19">
        <f t="shared" si="18"/>
        <v>755.12674332221582</v>
      </c>
      <c r="AH10" s="19">
        <f t="shared" si="19"/>
        <v>7200</v>
      </c>
      <c r="AI10" s="19">
        <f t="shared" si="20"/>
        <v>7392.760932691368</v>
      </c>
      <c r="AJ10" s="19">
        <f t="shared" si="21"/>
        <v>7715.5632317091258</v>
      </c>
      <c r="AK10" s="19">
        <f t="shared" si="22"/>
        <v>8154.0698367506438</v>
      </c>
      <c r="AL10" s="19">
        <f t="shared" si="23"/>
        <v>8390.2971480246197</v>
      </c>
      <c r="AM10" s="19">
        <f t="shared" si="24"/>
        <v>8700</v>
      </c>
      <c r="AN10" s="19">
        <f t="shared" si="25"/>
        <v>8932.9194603354026</v>
      </c>
      <c r="AO10" s="19">
        <f t="shared" si="26"/>
        <v>9322.972238315193</v>
      </c>
      <c r="AP10" s="19">
        <f t="shared" si="27"/>
        <v>9852.834386073695</v>
      </c>
      <c r="AQ10" s="19">
        <f t="shared" si="28"/>
        <v>10138.275720529749</v>
      </c>
      <c r="AW10" s="19">
        <v>6</v>
      </c>
      <c r="AX10" s="27"/>
      <c r="AY10" s="19">
        <f t="shared" si="30"/>
        <v>13.84615384615385</v>
      </c>
      <c r="AZ10" s="19">
        <v>5</v>
      </c>
      <c r="BA10" s="19">
        <v>240</v>
      </c>
      <c r="BB10" s="19">
        <v>6000</v>
      </c>
      <c r="BC10" s="19">
        <f>SUM(AZ$5:AZ10)</f>
        <v>40</v>
      </c>
      <c r="BD10" s="19">
        <f>SUM(BA$5:BA10)</f>
        <v>1380</v>
      </c>
      <c r="BE10" s="19">
        <f>SUM(BB$5:BB10)</f>
        <v>44000</v>
      </c>
      <c r="BI10" s="19">
        <v>6</v>
      </c>
      <c r="BJ10" s="27"/>
      <c r="BK10" s="22">
        <f>G5</f>
        <v>38</v>
      </c>
      <c r="BL10" s="19">
        <v>100</v>
      </c>
      <c r="BM10" s="19">
        <v>30000</v>
      </c>
      <c r="BN10" s="19">
        <f>SUM(BL$5:BL10)</f>
        <v>360</v>
      </c>
      <c r="BO10" s="19">
        <f>SUM(BM$5:BM10)</f>
        <v>120000</v>
      </c>
      <c r="BX10" s="19" t="s">
        <v>76</v>
      </c>
    </row>
    <row r="11" spans="1:85" x14ac:dyDescent="0.15">
      <c r="L11" s="19">
        <v>7</v>
      </c>
      <c r="M11" s="19">
        <f t="shared" si="1"/>
        <v>189</v>
      </c>
      <c r="N11" s="19">
        <f t="shared" si="2"/>
        <v>756</v>
      </c>
      <c r="O11" s="19">
        <f t="shared" si="3"/>
        <v>8400</v>
      </c>
      <c r="P11" s="19">
        <f t="shared" si="4"/>
        <v>10150</v>
      </c>
      <c r="R11" s="19">
        <v>7</v>
      </c>
      <c r="S11" s="19">
        <f>求节点(其他调用!C$4:C$163,其他调用!$B$4:$B$163,其他调用!$C10)</f>
        <v>7</v>
      </c>
      <c r="T11" s="19">
        <f>求节点(其他调用!D$4:D$163,其他调用!$B$4:$B$163,其他调用!$C10)</f>
        <v>6.8139313886789763</v>
      </c>
      <c r="U11" s="19">
        <f>求节点(其他调用!E$4:E$163,其他调用!$B$4:$B$163,其他调用!$C10)</f>
        <v>6.5266302076830396</v>
      </c>
      <c r="V11" s="19">
        <f>求节点(其他调用!F$4:F$163,其他调用!$B$4:$B$163,其他调用!$C10)</f>
        <v>6.1790395441193375</v>
      </c>
      <c r="W11" s="19">
        <f>求节点(其他调用!G$4:G$163,其他调用!$B$4:$B$163,其他调用!$C10)</f>
        <v>6.006860132097847</v>
      </c>
      <c r="X11" s="19">
        <f t="shared" si="9"/>
        <v>189</v>
      </c>
      <c r="Y11" s="19">
        <f t="shared" si="10"/>
        <v>194.12941152600766</v>
      </c>
      <c r="Z11" s="19">
        <f t="shared" si="11"/>
        <v>202.64447727697618</v>
      </c>
      <c r="AA11" s="19">
        <f t="shared" si="12"/>
        <v>214.18701864841447</v>
      </c>
      <c r="AB11" s="19">
        <f t="shared" si="13"/>
        <v>221.15172682627579</v>
      </c>
      <c r="AC11" s="19">
        <f t="shared" si="14"/>
        <v>756</v>
      </c>
      <c r="AD11" s="19">
        <f t="shared" si="15"/>
        <v>776.51764610403063</v>
      </c>
      <c r="AE11" s="19">
        <f t="shared" si="16"/>
        <v>810.57790910790482</v>
      </c>
      <c r="AF11" s="19">
        <f t="shared" si="17"/>
        <v>856.74807459365798</v>
      </c>
      <c r="AG11" s="19">
        <f t="shared" si="18"/>
        <v>884.60690730510316</v>
      </c>
      <c r="AH11" s="19">
        <f t="shared" si="19"/>
        <v>8400</v>
      </c>
      <c r="AI11" s="19">
        <f t="shared" si="20"/>
        <v>8627.9738456003415</v>
      </c>
      <c r="AJ11" s="19">
        <f t="shared" si="21"/>
        <v>9006.4212123100533</v>
      </c>
      <c r="AK11" s="19">
        <f t="shared" si="22"/>
        <v>9519.4230510406433</v>
      </c>
      <c r="AL11" s="19">
        <f t="shared" si="23"/>
        <v>9828.9656367233692</v>
      </c>
      <c r="AM11" s="19">
        <f t="shared" si="24"/>
        <v>10150</v>
      </c>
      <c r="AN11" s="19">
        <f t="shared" si="25"/>
        <v>10425.468396767079</v>
      </c>
      <c r="AO11" s="19">
        <f t="shared" si="26"/>
        <v>10882.758964874647</v>
      </c>
      <c r="AP11" s="19">
        <f t="shared" si="27"/>
        <v>11502.636186674112</v>
      </c>
      <c r="AQ11" s="19">
        <f t="shared" si="28"/>
        <v>11876.666811040737</v>
      </c>
      <c r="AW11" s="19">
        <v>7</v>
      </c>
      <c r="AX11" s="27"/>
      <c r="AY11" s="19">
        <f t="shared" si="30"/>
        <v>14.61538461538462</v>
      </c>
      <c r="AZ11" s="19">
        <v>5</v>
      </c>
      <c r="BA11" s="19">
        <v>240</v>
      </c>
      <c r="BB11" s="19">
        <v>6000</v>
      </c>
      <c r="BC11" s="19">
        <f>SUM(AZ$5:AZ11)</f>
        <v>45</v>
      </c>
      <c r="BD11" s="19">
        <f>SUM(BA$5:BA11)</f>
        <v>1620</v>
      </c>
      <c r="BE11" s="19">
        <f>SUM(BB$5:BB11)</f>
        <v>50000</v>
      </c>
    </row>
    <row r="12" spans="1:85" x14ac:dyDescent="0.15">
      <c r="L12" s="19">
        <v>8</v>
      </c>
      <c r="M12" s="19">
        <f t="shared" si="1"/>
        <v>215.99999999999997</v>
      </c>
      <c r="N12" s="19">
        <f t="shared" si="2"/>
        <v>864</v>
      </c>
      <c r="O12" s="19">
        <f t="shared" si="3"/>
        <v>9600</v>
      </c>
      <c r="P12" s="19">
        <f t="shared" si="4"/>
        <v>11600</v>
      </c>
      <c r="R12" s="19">
        <v>8</v>
      </c>
      <c r="S12" s="19">
        <f>求节点(其他调用!C$4:C$163,其他调用!$B$4:$B$163,其他调用!$C11)</f>
        <v>8</v>
      </c>
      <c r="T12" s="19">
        <f>求节点(其他调用!D$4:D$163,其他调用!$B$4:$B$163,其他调用!$C11)</f>
        <v>7.7933522209119115</v>
      </c>
      <c r="U12" s="19">
        <f>求节点(其他调用!E$4:E$163,其他调用!$B$4:$B$163,其他调用!$C11)</f>
        <v>7.46334505084707</v>
      </c>
      <c r="V12" s="19">
        <f>求节点(其他调用!F$4:F$163,其他调用!$B$4:$B$163,其他调用!$C11)</f>
        <v>7.0590933773336637</v>
      </c>
      <c r="W12" s="19">
        <f>求节点(其他调用!G$4:G$163,其他调用!$B$4:$B$163,其他调用!$C11)</f>
        <v>6.8432643514089015</v>
      </c>
      <c r="X12" s="19">
        <f t="shared" si="9"/>
        <v>215.99999999999997</v>
      </c>
      <c r="Y12" s="19">
        <f t="shared" si="10"/>
        <v>221.7639378217481</v>
      </c>
      <c r="Z12" s="19">
        <f t="shared" si="11"/>
        <v>231.73528947087473</v>
      </c>
      <c r="AA12" s="19">
        <f t="shared" si="12"/>
        <v>245.41743443346687</v>
      </c>
      <c r="AB12" s="19">
        <f t="shared" si="13"/>
        <v>253.68412658342106</v>
      </c>
      <c r="AC12" s="19">
        <f t="shared" si="14"/>
        <v>864</v>
      </c>
      <c r="AD12" s="19">
        <f t="shared" si="15"/>
        <v>887.05575128699252</v>
      </c>
      <c r="AE12" s="19">
        <f t="shared" si="16"/>
        <v>926.94115788349893</v>
      </c>
      <c r="AF12" s="19">
        <f t="shared" si="17"/>
        <v>981.66973773386746</v>
      </c>
      <c r="AG12" s="19">
        <f t="shared" si="18"/>
        <v>1014.7365063336842</v>
      </c>
      <c r="AH12" s="19">
        <f t="shared" si="19"/>
        <v>9600</v>
      </c>
      <c r="AI12" s="19">
        <f t="shared" si="20"/>
        <v>9856.1750142999172</v>
      </c>
      <c r="AJ12" s="19">
        <f t="shared" si="21"/>
        <v>10299.346198705543</v>
      </c>
      <c r="AK12" s="19">
        <f t="shared" si="22"/>
        <v>10907.441530376305</v>
      </c>
      <c r="AL12" s="19">
        <f t="shared" si="23"/>
        <v>11274.85007037427</v>
      </c>
      <c r="AM12" s="19">
        <f t="shared" si="24"/>
        <v>11600</v>
      </c>
      <c r="AN12" s="19">
        <f t="shared" si="25"/>
        <v>11909.544808945733</v>
      </c>
      <c r="AO12" s="19">
        <f t="shared" si="26"/>
        <v>12445.043323435866</v>
      </c>
      <c r="AP12" s="19">
        <f t="shared" si="27"/>
        <v>13179.825182538036</v>
      </c>
      <c r="AQ12" s="19">
        <f t="shared" si="28"/>
        <v>13623.77716836891</v>
      </c>
      <c r="AW12" s="19">
        <v>8</v>
      </c>
      <c r="AX12" s="27"/>
      <c r="AY12" s="19">
        <f t="shared" si="30"/>
        <v>15.38461538461539</v>
      </c>
      <c r="AZ12" s="19">
        <v>15</v>
      </c>
      <c r="BA12" s="19">
        <v>540</v>
      </c>
      <c r="BB12" s="19">
        <v>16000</v>
      </c>
      <c r="BC12" s="19">
        <f>SUM(AZ$5:AZ12)</f>
        <v>60</v>
      </c>
      <c r="BD12" s="19">
        <f>SUM(BA$5:BA12)</f>
        <v>2160</v>
      </c>
      <c r="BE12" s="19">
        <f>SUM(BB$5:BB12)</f>
        <v>66000</v>
      </c>
      <c r="BU12" s="27" t="s">
        <v>30</v>
      </c>
      <c r="BV12" s="27"/>
      <c r="BW12" s="27"/>
      <c r="BX12" s="27"/>
    </row>
    <row r="13" spans="1:85" x14ac:dyDescent="0.15">
      <c r="L13" s="19">
        <v>9</v>
      </c>
      <c r="M13" s="19">
        <f t="shared" si="1"/>
        <v>243</v>
      </c>
      <c r="N13" s="19">
        <f t="shared" si="2"/>
        <v>972</v>
      </c>
      <c r="O13" s="19">
        <f t="shared" si="3"/>
        <v>10800</v>
      </c>
      <c r="P13" s="19">
        <f t="shared" si="4"/>
        <v>13050</v>
      </c>
      <c r="R13" s="19">
        <v>9</v>
      </c>
      <c r="S13" s="19">
        <f>求节点(其他调用!C$4:C$163,其他调用!$B$4:$B$163,其他调用!$C12)</f>
        <v>9</v>
      </c>
      <c r="T13" s="19">
        <f>求节点(其他调用!D$4:D$163,其他调用!$B$4:$B$163,其他调用!$C12)</f>
        <v>8.7613519127764228</v>
      </c>
      <c r="U13" s="19">
        <f>求节点(其他调用!E$4:E$163,其他调用!$B$4:$B$163,其他调用!$C12)</f>
        <v>8.3841850299239606</v>
      </c>
      <c r="V13" s="19">
        <f>求节点(其他调用!F$4:F$163,其他调用!$B$4:$B$163,其他调用!$C12)</f>
        <v>7.921708584853552</v>
      </c>
      <c r="W13" s="19">
        <f>求节点(其他调用!G$4:G$163,其他调用!$B$4:$B$163,其他调用!$C12)</f>
        <v>7.6647097918727711</v>
      </c>
      <c r="X13" s="19">
        <f t="shared" si="9"/>
        <v>243</v>
      </c>
      <c r="Y13" s="19">
        <f t="shared" si="10"/>
        <v>249.48348713671183</v>
      </c>
      <c r="Z13" s="19">
        <f t="shared" si="11"/>
        <v>260.57004288675756</v>
      </c>
      <c r="AA13" s="19">
        <f t="shared" si="12"/>
        <v>278.21046292782137</v>
      </c>
      <c r="AB13" s="19">
        <f t="shared" si="13"/>
        <v>290.35183093592656</v>
      </c>
      <c r="AC13" s="19">
        <f t="shared" si="14"/>
        <v>972</v>
      </c>
      <c r="AD13" s="19">
        <f t="shared" si="15"/>
        <v>997.93394854684732</v>
      </c>
      <c r="AE13" s="19">
        <f t="shared" si="16"/>
        <v>1042.2801715470302</v>
      </c>
      <c r="AF13" s="19">
        <f t="shared" si="17"/>
        <v>1162.9688885337739</v>
      </c>
      <c r="AG13" s="19">
        <f t="shared" si="18"/>
        <v>1285.6606073525206</v>
      </c>
      <c r="AH13" s="19">
        <f t="shared" si="19"/>
        <v>10800</v>
      </c>
      <c r="AI13" s="19">
        <f t="shared" si="20"/>
        <v>11088.154983853858</v>
      </c>
      <c r="AJ13" s="19">
        <f t="shared" si="21"/>
        <v>11580.890794967005</v>
      </c>
      <c r="AK13" s="19">
        <f t="shared" si="22"/>
        <v>14679.203692236451</v>
      </c>
      <c r="AL13" s="19">
        <f t="shared" si="23"/>
        <v>18641.123779091813</v>
      </c>
      <c r="AM13" s="19">
        <f t="shared" si="24"/>
        <v>13050</v>
      </c>
      <c r="AN13" s="19">
        <f t="shared" si="25"/>
        <v>13398.187272156745</v>
      </c>
      <c r="AO13" s="19">
        <f t="shared" si="26"/>
        <v>13993.576377251797</v>
      </c>
      <c r="AP13" s="19">
        <f t="shared" si="27"/>
        <v>14813.293980140554</v>
      </c>
      <c r="AQ13" s="19">
        <f t="shared" si="28"/>
        <v>15276.583022555091</v>
      </c>
      <c r="AW13" s="19">
        <v>9</v>
      </c>
      <c r="AX13" s="27"/>
      <c r="AY13" s="19">
        <f t="shared" si="30"/>
        <v>16.15384615384616</v>
      </c>
      <c r="AZ13" s="19">
        <v>10</v>
      </c>
      <c r="BA13" s="19">
        <v>360</v>
      </c>
      <c r="BB13" s="19">
        <v>10000</v>
      </c>
      <c r="BC13" s="19">
        <f>SUM(AZ$5:AZ13)</f>
        <v>70</v>
      </c>
      <c r="BD13" s="19">
        <f>SUM(BA$5:BA13)</f>
        <v>2520</v>
      </c>
      <c r="BE13" s="19">
        <f>SUM(BB$5:BB13)</f>
        <v>76000</v>
      </c>
      <c r="BS13" s="19" t="s">
        <v>89</v>
      </c>
      <c r="BT13" s="19" t="s">
        <v>90</v>
      </c>
      <c r="BU13" s="19" t="s">
        <v>95</v>
      </c>
      <c r="BV13" s="19" t="s">
        <v>91</v>
      </c>
      <c r="BW13" s="19" t="s">
        <v>93</v>
      </c>
      <c r="BX13" s="19" t="s">
        <v>94</v>
      </c>
    </row>
    <row r="14" spans="1:85" x14ac:dyDescent="0.15">
      <c r="L14" s="19">
        <v>10</v>
      </c>
      <c r="M14" s="19">
        <f t="shared" si="1"/>
        <v>270</v>
      </c>
      <c r="N14" s="19">
        <f t="shared" si="2"/>
        <v>1080</v>
      </c>
      <c r="O14" s="19">
        <f t="shared" si="3"/>
        <v>12000</v>
      </c>
      <c r="P14" s="19">
        <f t="shared" si="4"/>
        <v>14500</v>
      </c>
      <c r="R14" s="19">
        <v>10</v>
      </c>
      <c r="S14" s="19">
        <f>求节点(其他调用!C$4:C$163,其他调用!$B$4:$B$163,其他调用!$C13)</f>
        <v>10</v>
      </c>
      <c r="T14" s="19">
        <f>求节点(其他调用!D$4:D$163,其他调用!$B$4:$B$163,其他调用!$C13)</f>
        <v>9.7551841236172834</v>
      </c>
      <c r="U14" s="19">
        <f>求节点(其他调用!E$4:E$163,其他调用!$B$4:$B$163,其他调用!$C13)</f>
        <v>9.3305119284533156</v>
      </c>
      <c r="V14" s="19">
        <f>求节点(其他调用!F$4:F$163,其他调用!$B$4:$B$163,其他调用!$C13)</f>
        <v>8.7961348690537751</v>
      </c>
      <c r="W14" s="19">
        <f>求节点(其他调用!G$4:G$163,其他调用!$B$4:$B$163,其他调用!$C13)</f>
        <v>8.51202618678359</v>
      </c>
      <c r="X14" s="19">
        <f t="shared" si="9"/>
        <v>270</v>
      </c>
      <c r="Y14" s="19">
        <f t="shared" si="10"/>
        <v>279.2521921438896</v>
      </c>
      <c r="Z14" s="19">
        <f t="shared" si="11"/>
        <v>295.48040169324594</v>
      </c>
      <c r="AA14" s="19">
        <f t="shared" si="12"/>
        <v>319.97721616459864</v>
      </c>
      <c r="AB14" s="19">
        <f t="shared" si="13"/>
        <v>334.53747498303153</v>
      </c>
      <c r="AC14" s="19">
        <f t="shared" si="14"/>
        <v>1080</v>
      </c>
      <c r="AD14" s="19">
        <f t="shared" si="15"/>
        <v>1173.4958364014108</v>
      </c>
      <c r="AE14" s="19">
        <f t="shared" si="16"/>
        <v>1337.4861644791167</v>
      </c>
      <c r="AF14" s="19">
        <f t="shared" si="17"/>
        <v>1581.5944859796955</v>
      </c>
      <c r="AG14" s="19">
        <f t="shared" si="18"/>
        <v>1724.5497543788545</v>
      </c>
      <c r="AH14" s="19">
        <f t="shared" si="19"/>
        <v>12000</v>
      </c>
      <c r="AI14" s="19">
        <f t="shared" si="20"/>
        <v>15019.136383795558</v>
      </c>
      <c r="AJ14" s="19">
        <f t="shared" si="21"/>
        <v>20314.657394638147</v>
      </c>
      <c r="AK14" s="19">
        <f t="shared" si="22"/>
        <v>27448.745932806916</v>
      </c>
      <c r="AL14" s="19">
        <f t="shared" si="23"/>
        <v>31154.993632044374</v>
      </c>
      <c r="AM14" s="19">
        <f t="shared" si="24"/>
        <v>14500</v>
      </c>
      <c r="AN14" s="19">
        <f t="shared" si="25"/>
        <v>14853.044173911578</v>
      </c>
      <c r="AO14" s="19">
        <f t="shared" si="26"/>
        <v>15472.278485663332</v>
      </c>
      <c r="AP14" s="19">
        <f t="shared" si="27"/>
        <v>16476.271619353578</v>
      </c>
      <c r="AQ14" s="19">
        <f t="shared" si="28"/>
        <v>17116.040567436234</v>
      </c>
      <c r="AW14" s="19">
        <v>10</v>
      </c>
      <c r="AX14" s="27"/>
      <c r="AY14" s="19">
        <f t="shared" si="30"/>
        <v>16.92307692307693</v>
      </c>
      <c r="AZ14" s="19">
        <v>10</v>
      </c>
      <c r="BA14" s="19">
        <v>360</v>
      </c>
      <c r="BB14" s="19">
        <v>10000</v>
      </c>
      <c r="BC14" s="19">
        <f>SUM(AZ$5:AZ14)</f>
        <v>80</v>
      </c>
      <c r="BD14" s="19">
        <f>SUM(BA$5:BA14)</f>
        <v>2880</v>
      </c>
      <c r="BE14" s="19">
        <f>SUM(BB$5:BB14)</f>
        <v>86000</v>
      </c>
      <c r="BS14" s="19" t="s">
        <v>80</v>
      </c>
      <c r="BT14" s="19">
        <f>G3</f>
        <v>20</v>
      </c>
      <c r="BU14" s="19">
        <f>SUMPRODUCT($BT$5:$BT$8,BU$5:BU$8)</f>
        <v>0</v>
      </c>
      <c r="BV14" s="19">
        <f t="shared" ref="BV14:BX16" si="31">SUMPRODUCT($BT$5:$BT$8,BV$5:BV$8)</f>
        <v>230</v>
      </c>
      <c r="BW14" s="19">
        <f t="shared" si="31"/>
        <v>12000</v>
      </c>
      <c r="BX14" s="19">
        <f t="shared" si="31"/>
        <v>9000</v>
      </c>
    </row>
    <row r="15" spans="1:85" x14ac:dyDescent="0.15">
      <c r="L15" s="19">
        <v>11</v>
      </c>
      <c r="M15" s="19">
        <f t="shared" si="1"/>
        <v>308</v>
      </c>
      <c r="N15" s="19">
        <f t="shared" si="2"/>
        <v>1463.9999999999998</v>
      </c>
      <c r="O15" s="19">
        <f t="shared" si="3"/>
        <v>24399.999999999993</v>
      </c>
      <c r="P15" s="19">
        <f t="shared" si="4"/>
        <v>15950</v>
      </c>
      <c r="R15" s="19">
        <v>11</v>
      </c>
      <c r="S15" s="19">
        <f>求节点(其他调用!C$4:C$163,其他调用!$B$4:$B$163,其他调用!$C14)</f>
        <v>11</v>
      </c>
      <c r="T15" s="19">
        <f>求节点(其他调用!D$4:D$163,其他调用!$B$4:$B$163,其他调用!$C14)</f>
        <v>10.760675920357277</v>
      </c>
      <c r="U15" s="19">
        <f>求节点(其他调用!E$4:E$163,其他调用!$B$4:$B$163,其他调用!$C14)</f>
        <v>10.328947786139087</v>
      </c>
      <c r="V15" s="19">
        <f>求节点(其他调用!F$4:F$163,其他调用!$B$4:$B$163,其他调用!$C14)</f>
        <v>9.7396717979772394</v>
      </c>
      <c r="W15" s="19">
        <f>求节点(其他调用!G$4:G$163,其他调用!$B$4:$B$163,其他调用!$C14)</f>
        <v>9.4231483831403864</v>
      </c>
      <c r="X15" s="19">
        <f t="shared" si="9"/>
        <v>308</v>
      </c>
      <c r="Y15" s="19">
        <f t="shared" si="10"/>
        <v>316.76818950635175</v>
      </c>
      <c r="Z15" s="19">
        <f t="shared" si="11"/>
        <v>335.76438746540543</v>
      </c>
      <c r="AA15" s="19">
        <f t="shared" si="12"/>
        <v>366.92279150867699</v>
      </c>
      <c r="AB15" s="19">
        <f t="shared" si="13"/>
        <v>384.70595967259413</v>
      </c>
      <c r="AC15" s="19">
        <f t="shared" si="14"/>
        <v>1463.9999999999998</v>
      </c>
      <c r="AD15" s="19">
        <f t="shared" si="15"/>
        <v>1550.0876787896352</v>
      </c>
      <c r="AE15" s="19">
        <f t="shared" si="16"/>
        <v>1736.5958042057982</v>
      </c>
      <c r="AF15" s="19">
        <f t="shared" si="17"/>
        <v>2123.9593779524539</v>
      </c>
      <c r="AG15" s="19">
        <f t="shared" si="18"/>
        <v>2350.6945464016108</v>
      </c>
      <c r="AH15" s="19">
        <f t="shared" si="19"/>
        <v>24399.999999999993</v>
      </c>
      <c r="AI15" s="19">
        <f t="shared" si="20"/>
        <v>26631.902783434987</v>
      </c>
      <c r="AJ15" s="19">
        <f t="shared" si="21"/>
        <v>31467.298627557728</v>
      </c>
      <c r="AK15" s="19">
        <f t="shared" si="22"/>
        <v>41095.293282776627</v>
      </c>
      <c r="AL15" s="19">
        <f t="shared" si="23"/>
        <v>46430.222242353069</v>
      </c>
      <c r="AM15" s="19">
        <f t="shared" si="24"/>
        <v>15950</v>
      </c>
      <c r="AN15" s="19">
        <f t="shared" si="25"/>
        <v>16335.268932854851</v>
      </c>
      <c r="AO15" s="19">
        <f t="shared" si="26"/>
        <v>17169.95035832842</v>
      </c>
      <c r="AP15" s="19">
        <f t="shared" si="27"/>
        <v>18402.347938335515</v>
      </c>
      <c r="AQ15" s="19">
        <f t="shared" si="28"/>
        <v>19118.616164933184</v>
      </c>
      <c r="AW15" s="19">
        <v>11</v>
      </c>
      <c r="AX15" s="27"/>
      <c r="AY15" s="19">
        <f t="shared" si="30"/>
        <v>17.692307692307701</v>
      </c>
      <c r="AZ15" s="19">
        <v>20</v>
      </c>
      <c r="BA15" s="19">
        <v>720</v>
      </c>
      <c r="BB15" s="19">
        <v>20000</v>
      </c>
      <c r="BC15" s="19">
        <f>SUM(AZ$5:AZ15)</f>
        <v>100</v>
      </c>
      <c r="BD15" s="19">
        <f>SUM(BA$5:BA15)</f>
        <v>3600</v>
      </c>
      <c r="BE15" s="19">
        <f>SUM(BB$5:BB15)</f>
        <v>106000</v>
      </c>
      <c r="BS15" s="19" t="s">
        <v>81</v>
      </c>
      <c r="BT15" s="19">
        <f>G4</f>
        <v>30</v>
      </c>
      <c r="BU15" s="19">
        <f t="shared" ref="BU15:BU16" si="32">SUMPRODUCT($BT$5:$BT$8,BU$5:BU$8)</f>
        <v>0</v>
      </c>
      <c r="BV15" s="19">
        <f t="shared" si="31"/>
        <v>230</v>
      </c>
      <c r="BW15" s="19">
        <f t="shared" si="31"/>
        <v>12000</v>
      </c>
      <c r="BX15" s="19">
        <f t="shared" si="31"/>
        <v>9000</v>
      </c>
    </row>
    <row r="16" spans="1:85" x14ac:dyDescent="0.15">
      <c r="L16" s="19">
        <v>12</v>
      </c>
      <c r="M16" s="19">
        <f t="shared" si="1"/>
        <v>341</v>
      </c>
      <c r="N16" s="19">
        <f t="shared" si="2"/>
        <v>1787.9999999999995</v>
      </c>
      <c r="O16" s="19">
        <f t="shared" si="3"/>
        <v>32799.999999999985</v>
      </c>
      <c r="P16" s="19">
        <f t="shared" si="4"/>
        <v>17400</v>
      </c>
      <c r="R16" s="19">
        <v>12</v>
      </c>
      <c r="S16" s="19">
        <f>求节点(其他调用!C$4:C$163,其他调用!$B$4:$B$163,其他调用!$C15)</f>
        <v>12</v>
      </c>
      <c r="T16" s="19">
        <f>求节点(其他调用!D$4:D$163,其他调用!$B$4:$B$163,其他调用!$C15)</f>
        <v>11.661397172160591</v>
      </c>
      <c r="U16" s="19">
        <f>求节点(其他调用!E$4:E$163,其他调用!$B$4:$B$163,其他调用!$C15)</f>
        <v>11.126542297633446</v>
      </c>
      <c r="V16" s="19">
        <f>求节点(其他调用!F$4:F$163,其他调用!$B$4:$B$163,其他调用!$C15)</f>
        <v>10.456936189693174</v>
      </c>
      <c r="W16" s="19">
        <f>求节点(其他调用!G$4:G$163,其他调用!$B$4:$B$163,其他调用!$C15)</f>
        <v>10.140477494841452</v>
      </c>
      <c r="X16" s="19">
        <f t="shared" si="9"/>
        <v>341</v>
      </c>
      <c r="Y16" s="19">
        <f t="shared" si="10"/>
        <v>353.97077589201251</v>
      </c>
      <c r="Z16" s="19">
        <f t="shared" si="11"/>
        <v>374.71863015805502</v>
      </c>
      <c r="AA16" s="19">
        <f t="shared" si="12"/>
        <v>405.77045052258484</v>
      </c>
      <c r="AB16" s="19">
        <f t="shared" si="13"/>
        <v>425.73077875438725</v>
      </c>
      <c r="AC16" s="19">
        <f t="shared" si="14"/>
        <v>1787.9999999999995</v>
      </c>
      <c r="AD16" s="19">
        <f t="shared" si="15"/>
        <v>1956.1012555604821</v>
      </c>
      <c r="AE16" s="19">
        <f t="shared" si="16"/>
        <v>2224.993446848393</v>
      </c>
      <c r="AF16" s="19">
        <f t="shared" si="17"/>
        <v>2611.0139258611962</v>
      </c>
      <c r="AG16" s="19">
        <f t="shared" si="18"/>
        <v>2887.457628221624</v>
      </c>
      <c r="AH16" s="19">
        <f t="shared" si="19"/>
        <v>32799.999999999985</v>
      </c>
      <c r="AI16" s="19">
        <f t="shared" si="20"/>
        <v>36950.648285443996</v>
      </c>
      <c r="AJ16" s="19">
        <f t="shared" si="21"/>
        <v>43589.961650577599</v>
      </c>
      <c r="AK16" s="19">
        <f t="shared" si="22"/>
        <v>51963.581032798371</v>
      </c>
      <c r="AL16" s="19">
        <f t="shared" si="23"/>
        <v>58441.906192336508</v>
      </c>
      <c r="AM16" s="19">
        <f t="shared" si="24"/>
        <v>17400</v>
      </c>
      <c r="AN16" s="19">
        <f t="shared" si="25"/>
        <v>17901.536667824486</v>
      </c>
      <c r="AO16" s="19">
        <f t="shared" si="26"/>
        <v>18703.787032778131</v>
      </c>
      <c r="AP16" s="19">
        <f t="shared" si="27"/>
        <v>20030.362783813373</v>
      </c>
      <c r="AQ16" s="19">
        <f t="shared" si="28"/>
        <v>20823.937610364777</v>
      </c>
      <c r="AW16" s="19">
        <v>12</v>
      </c>
      <c r="AX16" s="27"/>
      <c r="AY16" s="19">
        <f t="shared" si="30"/>
        <v>18.461538461538471</v>
      </c>
      <c r="AZ16" s="19">
        <v>15</v>
      </c>
      <c r="BA16" s="19">
        <v>420</v>
      </c>
      <c r="BB16" s="19">
        <v>16000</v>
      </c>
      <c r="BC16" s="19">
        <f>SUM(AZ$5:AZ16)</f>
        <v>115</v>
      </c>
      <c r="BD16" s="19">
        <f>SUM(BA$5:BA16)</f>
        <v>4020</v>
      </c>
      <c r="BE16" s="19">
        <f>SUM(BB$5:BB16)</f>
        <v>122000</v>
      </c>
      <c r="BS16" s="19" t="s">
        <v>82</v>
      </c>
      <c r="BT16" s="19">
        <f>G5</f>
        <v>38</v>
      </c>
      <c r="BU16" s="19">
        <f t="shared" si="32"/>
        <v>0</v>
      </c>
      <c r="BV16" s="19">
        <f t="shared" si="31"/>
        <v>230</v>
      </c>
      <c r="BW16" s="19">
        <f t="shared" si="31"/>
        <v>12000</v>
      </c>
      <c r="BX16" s="19">
        <f t="shared" si="31"/>
        <v>9000</v>
      </c>
    </row>
    <row r="17" spans="12:76" x14ac:dyDescent="0.15">
      <c r="L17" s="19">
        <v>13</v>
      </c>
      <c r="M17" s="19">
        <f t="shared" si="1"/>
        <v>378.49999999999989</v>
      </c>
      <c r="N17" s="19">
        <f t="shared" si="2"/>
        <v>2273.9999999999986</v>
      </c>
      <c r="O17" s="19">
        <f t="shared" si="3"/>
        <v>44799.999999999956</v>
      </c>
      <c r="P17" s="19">
        <f t="shared" si="4"/>
        <v>18850</v>
      </c>
      <c r="R17" s="19">
        <v>13</v>
      </c>
      <c r="S17" s="19">
        <f>求节点(其他调用!C$4:C$163,其他调用!$B$4:$B$163,其他调用!$C16)</f>
        <v>13</v>
      </c>
      <c r="T17" s="19">
        <f>求节点(其他调用!D$4:D$163,其他调用!$B$4:$B$163,其他调用!$C16)</f>
        <v>12.640336762952307</v>
      </c>
      <c r="U17" s="19">
        <f>求节点(其他调用!E$4:E$163,其他调用!$B$4:$B$163,其他调用!$C16)</f>
        <v>12.097953760234661</v>
      </c>
      <c r="V17" s="19">
        <f>求节点(其他调用!F$4:F$163,其他调用!$B$4:$B$163,其他调用!$C16)</f>
        <v>11.24253417900267</v>
      </c>
      <c r="W17" s="19">
        <f>求节点(其他调用!G$4:G$163,其他调用!$B$4:$B$163,其他调用!$C16)</f>
        <v>10.844749434111517</v>
      </c>
      <c r="X17" s="19">
        <f t="shared" si="9"/>
        <v>378.49999999999989</v>
      </c>
      <c r="Y17" s="19">
        <f t="shared" si="10"/>
        <v>390.70943603583208</v>
      </c>
      <c r="Z17" s="19">
        <f t="shared" si="11"/>
        <v>410.75063414988716</v>
      </c>
      <c r="AA17" s="19">
        <f t="shared" si="12"/>
        <v>445.42547590654561</v>
      </c>
      <c r="AB17" s="19">
        <f t="shared" si="13"/>
        <v>470.58948204028985</v>
      </c>
      <c r="AC17" s="19">
        <f t="shared" si="14"/>
        <v>2273.9999999999986</v>
      </c>
      <c r="AD17" s="19">
        <f t="shared" si="15"/>
        <v>2424.8867617562528</v>
      </c>
      <c r="AE17" s="19">
        <f t="shared" si="16"/>
        <v>2672.5600757627831</v>
      </c>
      <c r="AF17" s="19">
        <f t="shared" si="17"/>
        <v>3173.5490184319237</v>
      </c>
      <c r="AG17" s="19">
        <f t="shared" si="18"/>
        <v>3557.6662943358988</v>
      </c>
      <c r="AH17" s="19">
        <f t="shared" si="19"/>
        <v>44799.999999999956</v>
      </c>
      <c r="AI17" s="19">
        <f t="shared" si="20"/>
        <v>48007.254839263333</v>
      </c>
      <c r="AJ17" s="19">
        <f t="shared" si="21"/>
        <v>53271.808373701657</v>
      </c>
      <c r="AK17" s="19">
        <f t="shared" si="22"/>
        <v>65386.878345992329</v>
      </c>
      <c r="AL17" s="19">
        <f t="shared" si="23"/>
        <v>75137.747663543065</v>
      </c>
      <c r="AM17" s="19">
        <f t="shared" si="24"/>
        <v>18850</v>
      </c>
      <c r="AN17" s="19">
        <f t="shared" si="25"/>
        <v>19378.468126924079</v>
      </c>
      <c r="AO17" s="19">
        <f t="shared" si="26"/>
        <v>20245.922970666757</v>
      </c>
      <c r="AP17" s="19">
        <f t="shared" si="27"/>
        <v>21575.445791170823</v>
      </c>
      <c r="AQ17" s="19">
        <f t="shared" si="28"/>
        <v>22460.827356152866</v>
      </c>
      <c r="AW17" s="19">
        <v>13</v>
      </c>
      <c r="AX17" s="27"/>
      <c r="AY17" s="19">
        <f t="shared" si="30"/>
        <v>19.230769230769241</v>
      </c>
      <c r="AZ17" s="19">
        <v>15</v>
      </c>
      <c r="BA17" s="19">
        <v>420</v>
      </c>
      <c r="BB17" s="19">
        <v>16000</v>
      </c>
      <c r="BC17" s="19">
        <f>SUM(AZ$5:AZ17)</f>
        <v>130</v>
      </c>
      <c r="BD17" s="19">
        <f>SUM(BA$5:BA17)</f>
        <v>4440</v>
      </c>
      <c r="BE17" s="19">
        <f>SUM(BB$5:BB17)</f>
        <v>138000</v>
      </c>
    </row>
    <row r="18" spans="12:76" x14ac:dyDescent="0.15">
      <c r="L18" s="19">
        <v>14</v>
      </c>
      <c r="M18" s="19">
        <f t="shared" si="1"/>
        <v>412</v>
      </c>
      <c r="N18" s="19">
        <f t="shared" si="2"/>
        <v>2687.9999999999986</v>
      </c>
      <c r="O18" s="19">
        <f t="shared" si="3"/>
        <v>53599.999999999964</v>
      </c>
      <c r="P18" s="19">
        <f t="shared" si="4"/>
        <v>20300</v>
      </c>
      <c r="R18" s="19">
        <v>14</v>
      </c>
      <c r="S18" s="19">
        <f>求节点(其他调用!C$4:C$163,其他调用!$B$4:$B$163,其他调用!$C17)</f>
        <v>14</v>
      </c>
      <c r="T18" s="19">
        <f>求节点(其他调用!D$4:D$163,其他调用!$B$4:$B$163,其他调用!$C17)</f>
        <v>13.627173370780648</v>
      </c>
      <c r="U18" s="19">
        <f>求节点(其他调用!E$4:E$163,其他调用!$B$4:$B$163,其他调用!$C17)</f>
        <v>13.034944607971049</v>
      </c>
      <c r="V18" s="19">
        <f>求节点(其他调用!F$4:F$163,其他调用!$B$4:$B$163,其他调用!$C17)</f>
        <v>12.173032374564031</v>
      </c>
      <c r="W18" s="19">
        <f>求节点(其他调用!G$4:G$163,其他调用!$B$4:$B$163,其他调用!$C17)</f>
        <v>11.682797734720294</v>
      </c>
      <c r="X18" s="19">
        <f t="shared" si="9"/>
        <v>412</v>
      </c>
      <c r="Y18" s="19">
        <f t="shared" si="10"/>
        <v>426.30355913317078</v>
      </c>
      <c r="Z18" s="19">
        <f t="shared" si="11"/>
        <v>449.05921583699387</v>
      </c>
      <c r="AA18" s="19">
        <f t="shared" si="12"/>
        <v>489.08731669835038</v>
      </c>
      <c r="AB18" s="19">
        <f t="shared" si="13"/>
        <v>517.48961454334324</v>
      </c>
      <c r="AC18" s="19">
        <f t="shared" si="14"/>
        <v>2687.9999999999986</v>
      </c>
      <c r="AD18" s="19">
        <f t="shared" si="15"/>
        <v>2895.7780168818481</v>
      </c>
      <c r="AE18" s="19">
        <f t="shared" si="16"/>
        <v>3226.333872158435</v>
      </c>
      <c r="AF18" s="19">
        <f t="shared" si="17"/>
        <v>3843.0614576316893</v>
      </c>
      <c r="AG18" s="19">
        <f t="shared" si="18"/>
        <v>4261.8476799690316</v>
      </c>
      <c r="AH18" s="19">
        <f t="shared" si="19"/>
        <v>53599.999999999964</v>
      </c>
      <c r="AI18" s="19">
        <f t="shared" si="20"/>
        <v>58643.88664169702</v>
      </c>
      <c r="AJ18" s="19">
        <f t="shared" si="21"/>
        <v>66668.24979515039</v>
      </c>
      <c r="AK18" s="19">
        <f t="shared" si="22"/>
        <v>82448.796599824142</v>
      </c>
      <c r="AL18" s="19">
        <f t="shared" si="23"/>
        <v>92788.848699575523</v>
      </c>
      <c r="AM18" s="19">
        <f t="shared" si="24"/>
        <v>20300</v>
      </c>
      <c r="AN18" s="19">
        <f t="shared" si="25"/>
        <v>20845.793703765728</v>
      </c>
      <c r="AO18" s="19">
        <f t="shared" si="26"/>
        <v>21714.101656937928</v>
      </c>
      <c r="AP18" s="19">
        <f t="shared" si="27"/>
        <v>23099.443076490672</v>
      </c>
      <c r="AQ18" s="19">
        <f t="shared" si="28"/>
        <v>24112.591137971558</v>
      </c>
      <c r="AW18" s="19">
        <v>14</v>
      </c>
      <c r="AX18" s="27"/>
      <c r="AY18" s="22">
        <f>G3</f>
        <v>20</v>
      </c>
      <c r="AZ18" s="19">
        <v>30</v>
      </c>
      <c r="BA18" s="19">
        <v>1080</v>
      </c>
      <c r="BB18" s="19">
        <v>24000</v>
      </c>
      <c r="BC18" s="19">
        <f>SUM(AZ$5:AZ18)</f>
        <v>160</v>
      </c>
      <c r="BD18" s="19">
        <f>SUM(BA$5:BA18)</f>
        <v>5520</v>
      </c>
      <c r="BE18" s="19">
        <f>SUM(BB$5:BB18)</f>
        <v>162000</v>
      </c>
    </row>
    <row r="19" spans="12:76" x14ac:dyDescent="0.15">
      <c r="L19" s="19">
        <v>15</v>
      </c>
      <c r="M19" s="19">
        <f t="shared" si="1"/>
        <v>449.99999999999989</v>
      </c>
      <c r="N19" s="19">
        <f t="shared" si="2"/>
        <v>3239.9999999999964</v>
      </c>
      <c r="O19" s="19">
        <f t="shared" si="3"/>
        <v>66999.999999999884</v>
      </c>
      <c r="P19" s="19">
        <f t="shared" si="4"/>
        <v>21750</v>
      </c>
      <c r="R19" s="19">
        <v>15</v>
      </c>
      <c r="S19" s="19">
        <f>求节点(其他调用!C$4:C$163,其他调用!$B$4:$B$163,其他调用!$C18)</f>
        <v>15</v>
      </c>
      <c r="T19" s="19">
        <f>求节点(其他调用!D$4:D$163,其他调用!$B$4:$B$163,其他调用!$C18)</f>
        <v>14.617654955009588</v>
      </c>
      <c r="U19" s="19">
        <f>求节点(其他调用!E$4:E$163,其他调用!$B$4:$B$163,其他调用!$C18)</f>
        <v>14.024498867791426</v>
      </c>
      <c r="V19" s="19">
        <f>求节点(其他调用!F$4:F$163,其他调用!$B$4:$B$163,其他调用!$C18)</f>
        <v>13.113176648184169</v>
      </c>
      <c r="W19" s="19">
        <f>求节点(其他调用!G$4:G$163,其他调用!$B$4:$B$163,其他调用!$C18)</f>
        <v>12.560656616306117</v>
      </c>
      <c r="X19" s="19">
        <f t="shared" si="9"/>
        <v>449.99999999999989</v>
      </c>
      <c r="Y19" s="19">
        <f t="shared" si="10"/>
        <v>466.22025282738116</v>
      </c>
      <c r="Z19" s="19">
        <f t="shared" si="11"/>
        <v>491.90946412037869</v>
      </c>
      <c r="AA19" s="19">
        <f t="shared" si="12"/>
        <v>531.81319570849394</v>
      </c>
      <c r="AB19" s="19">
        <f t="shared" si="13"/>
        <v>574.32206378448814</v>
      </c>
      <c r="AC19" s="19">
        <f t="shared" si="14"/>
        <v>3239.9999999999964</v>
      </c>
      <c r="AD19" s="19">
        <f t="shared" si="15"/>
        <v>3490.2553293367359</v>
      </c>
      <c r="AE19" s="19">
        <f t="shared" si="16"/>
        <v>3886.6031607144123</v>
      </c>
      <c r="AF19" s="19">
        <f t="shared" si="17"/>
        <v>4471.9268703912394</v>
      </c>
      <c r="AG19" s="19">
        <f t="shared" si="18"/>
        <v>5232.3126690840836</v>
      </c>
      <c r="AH19" s="19">
        <f t="shared" si="19"/>
        <v>66999.999999999884</v>
      </c>
      <c r="AI19" s="19">
        <f t="shared" si="20"/>
        <v>73410.861831774397</v>
      </c>
      <c r="AJ19" s="19">
        <f t="shared" si="21"/>
        <v>83564.216771387728</v>
      </c>
      <c r="AK19" s="19">
        <f t="shared" si="22"/>
        <v>97952.411292444609</v>
      </c>
      <c r="AL19" s="19">
        <f t="shared" si="23"/>
        <v>118903.99197251884</v>
      </c>
      <c r="AM19" s="19">
        <f t="shared" si="24"/>
        <v>21750</v>
      </c>
      <c r="AN19" s="19">
        <f t="shared" si="25"/>
        <v>22309.984919040544</v>
      </c>
      <c r="AO19" s="19">
        <f t="shared" si="26"/>
        <v>23196.874356536886</v>
      </c>
      <c r="AP19" s="19">
        <f t="shared" si="27"/>
        <v>24625.410710551023</v>
      </c>
      <c r="AQ19" s="19">
        <f t="shared" si="28"/>
        <v>25850.831534406105</v>
      </c>
      <c r="AW19" s="19">
        <v>15</v>
      </c>
      <c r="AX19" s="27" t="s">
        <v>81</v>
      </c>
      <c r="AY19" s="19">
        <f>($AY$32-$AY$18)/($AW$32-$AW$18)+AY18</f>
        <v>20.714285714285715</v>
      </c>
      <c r="AZ19" s="19">
        <v>10</v>
      </c>
      <c r="BA19" s="19">
        <v>240</v>
      </c>
      <c r="BB19" s="19">
        <v>9000</v>
      </c>
      <c r="BC19" s="19">
        <f>SUM(AZ$5:AZ19)</f>
        <v>170</v>
      </c>
      <c r="BD19" s="19">
        <f>SUM(BA$5:BA19)</f>
        <v>5760</v>
      </c>
      <c r="BE19" s="19">
        <f>SUM(BB$5:BB19)</f>
        <v>171000</v>
      </c>
      <c r="BU19" s="27" t="s">
        <v>23</v>
      </c>
      <c r="BV19" s="27"/>
      <c r="BW19" s="27"/>
      <c r="BX19" s="27"/>
    </row>
    <row r="20" spans="12:76" x14ac:dyDescent="0.15">
      <c r="L20" s="19">
        <v>16</v>
      </c>
      <c r="M20" s="19">
        <f t="shared" si="1"/>
        <v>491.99999999999989</v>
      </c>
      <c r="N20" s="19">
        <f t="shared" si="2"/>
        <v>3887.9999999999968</v>
      </c>
      <c r="O20" s="19">
        <f t="shared" si="3"/>
        <v>83599.999999999913</v>
      </c>
      <c r="P20" s="19">
        <f t="shared" si="4"/>
        <v>23200</v>
      </c>
      <c r="R20" s="19">
        <v>16</v>
      </c>
      <c r="S20" s="19">
        <f>求节点(其他调用!C$4:C$163,其他调用!$B$4:$B$163,其他调用!$C19)</f>
        <v>16</v>
      </c>
      <c r="T20" s="19">
        <f>求节点(其他调用!D$4:D$163,其他调用!$B$4:$B$163,其他调用!$C19)</f>
        <v>15.607682179646254</v>
      </c>
      <c r="U20" s="19">
        <f>求节点(其他调用!E$4:E$163,其他调用!$B$4:$B$163,其他调用!$C19)</f>
        <v>15.002107348660491</v>
      </c>
      <c r="V20" s="19">
        <f>求节点(其他调用!F$4:F$163,其他调用!$B$4:$B$163,其他调用!$C19)</f>
        <v>14.066083727063717</v>
      </c>
      <c r="W20" s="19">
        <f>求节点(其他调用!G$4:G$163,其他调用!$B$4:$B$163,其他调用!$C19)</f>
        <v>13.456862848159593</v>
      </c>
      <c r="X20" s="19">
        <f t="shared" si="9"/>
        <v>491.99999999999989</v>
      </c>
      <c r="Y20" s="19">
        <f t="shared" si="10"/>
        <v>508.03097963458833</v>
      </c>
      <c r="Z20" s="19">
        <f t="shared" si="11"/>
        <v>533.47399481870741</v>
      </c>
      <c r="AA20" s="19">
        <f t="shared" si="12"/>
        <v>591.24487513287511</v>
      </c>
      <c r="AB20" s="19">
        <f t="shared" si="13"/>
        <v>625.00825385295627</v>
      </c>
      <c r="AC20" s="19">
        <f t="shared" si="14"/>
        <v>3887.9999999999968</v>
      </c>
      <c r="AD20" s="19">
        <f t="shared" si="15"/>
        <v>4123.121034640626</v>
      </c>
      <c r="AE20" s="19">
        <f t="shared" si="16"/>
        <v>4499.4740456583904</v>
      </c>
      <c r="AF20" s="19">
        <f t="shared" si="17"/>
        <v>5501.9943605327935</v>
      </c>
      <c r="AG20" s="19">
        <f t="shared" si="18"/>
        <v>5968.8097706626104</v>
      </c>
      <c r="AH20" s="19">
        <f t="shared" si="19"/>
        <v>83599.999999999913</v>
      </c>
      <c r="AI20" s="19">
        <f t="shared" si="20"/>
        <v>89379.069201604609</v>
      </c>
      <c r="AJ20" s="19">
        <f t="shared" si="21"/>
        <v>98682.175652825361</v>
      </c>
      <c r="AK20" s="19">
        <f t="shared" si="22"/>
        <v>127035.65930094616</v>
      </c>
      <c r="AL20" s="19">
        <f t="shared" si="23"/>
        <v>142742.97027072305</v>
      </c>
      <c r="AM20" s="19">
        <f t="shared" si="24"/>
        <v>23200</v>
      </c>
      <c r="AN20" s="19">
        <f t="shared" si="25"/>
        <v>23773.948653584033</v>
      </c>
      <c r="AO20" s="19">
        <f t="shared" si="26"/>
        <v>24677.96618786388</v>
      </c>
      <c r="AP20" s="19">
        <f t="shared" si="27"/>
        <v>26359.892803101506</v>
      </c>
      <c r="AQ20" s="19">
        <f t="shared" si="28"/>
        <v>27424.173219277978</v>
      </c>
      <c r="AW20" s="19">
        <v>16</v>
      </c>
      <c r="AX20" s="27"/>
      <c r="AY20" s="19">
        <f t="shared" ref="AY20:AY31" si="33">($AY$32-$AY$18)/($AW$32-$AW$18)+AY19</f>
        <v>21.428571428571431</v>
      </c>
      <c r="AZ20" s="19">
        <v>15</v>
      </c>
      <c r="BA20" s="19">
        <v>360</v>
      </c>
      <c r="BB20" s="19">
        <v>15000</v>
      </c>
      <c r="BC20" s="19">
        <f>SUM(AZ$5:AZ20)</f>
        <v>185</v>
      </c>
      <c r="BD20" s="19">
        <f>SUM(BA$5:BA20)</f>
        <v>6120</v>
      </c>
      <c r="BE20" s="19">
        <f>SUM(BB$5:BB20)</f>
        <v>186000</v>
      </c>
      <c r="BS20" s="19" t="s">
        <v>89</v>
      </c>
      <c r="BT20" s="19" t="s">
        <v>90</v>
      </c>
      <c r="BU20" s="19" t="s">
        <v>95</v>
      </c>
      <c r="BV20" s="19" t="s">
        <v>91</v>
      </c>
      <c r="BW20" s="19" t="s">
        <v>93</v>
      </c>
      <c r="BX20" s="19" t="s">
        <v>94</v>
      </c>
    </row>
    <row r="21" spans="12:76" x14ac:dyDescent="0.15">
      <c r="L21" s="19">
        <v>17</v>
      </c>
      <c r="M21" s="19">
        <f t="shared" si="1"/>
        <v>532.49999999999977</v>
      </c>
      <c r="N21" s="19">
        <f t="shared" si="2"/>
        <v>4481.9999999999927</v>
      </c>
      <c r="O21" s="19">
        <f t="shared" si="3"/>
        <v>98199.999999999811</v>
      </c>
      <c r="P21" s="19">
        <f t="shared" si="4"/>
        <v>24650</v>
      </c>
      <c r="R21" s="19">
        <v>17</v>
      </c>
      <c r="S21" s="19">
        <f>求节点(其他调用!C$4:C$163,其他调用!$B$4:$B$163,其他调用!$C20)</f>
        <v>17</v>
      </c>
      <c r="T21" s="19">
        <f>求节点(其他调用!D$4:D$163,其他调用!$B$4:$B$163,其他调用!$C20)</f>
        <v>16.598817599096531</v>
      </c>
      <c r="U21" s="19">
        <f>求节点(其他调用!E$4:E$163,其他调用!$B$4:$B$163,其他调用!$C20)</f>
        <v>15.98279626288258</v>
      </c>
      <c r="V21" s="19">
        <f>求节点(其他调用!F$4:F$163,其他调用!$B$4:$B$163,其他调用!$C20)</f>
        <v>15.016110681213741</v>
      </c>
      <c r="W21" s="19">
        <f>求节点(其他调用!G$4:G$163,其他调用!$B$4:$B$163,其他调用!$C20)</f>
        <v>14.319843910981547</v>
      </c>
      <c r="X21" s="19">
        <f t="shared" si="9"/>
        <v>532.49999999999977</v>
      </c>
      <c r="Y21" s="19">
        <f t="shared" si="10"/>
        <v>553.83374761433026</v>
      </c>
      <c r="Z21" s="19">
        <f t="shared" si="11"/>
        <v>588.68178265851896</v>
      </c>
      <c r="AA21" s="19">
        <f t="shared" si="12"/>
        <v>641.57216030000632</v>
      </c>
      <c r="AB21" s="19">
        <f t="shared" si="13"/>
        <v>689.39284139320966</v>
      </c>
      <c r="AC21" s="19">
        <f t="shared" si="14"/>
        <v>4481.9999999999927</v>
      </c>
      <c r="AD21" s="19">
        <f t="shared" si="15"/>
        <v>4864.740105714518</v>
      </c>
      <c r="AE21" s="19">
        <f t="shared" si="16"/>
        <v>5466.5568211047384</v>
      </c>
      <c r="AF21" s="19">
        <f t="shared" si="17"/>
        <v>6291.1068811280038</v>
      </c>
      <c r="AG21" s="19">
        <f t="shared" si="18"/>
        <v>7307.1003679606529</v>
      </c>
      <c r="AH21" s="19">
        <f t="shared" si="19"/>
        <v>98199.999999999811</v>
      </c>
      <c r="AI21" s="19">
        <f t="shared" si="20"/>
        <v>108761.26119521295</v>
      </c>
      <c r="AJ21" s="19">
        <f t="shared" si="21"/>
        <v>125843.26410635437</v>
      </c>
      <c r="AK21" s="19">
        <f t="shared" si="22"/>
        <v>150659.36906262595</v>
      </c>
      <c r="AL21" s="19">
        <f t="shared" si="23"/>
        <v>173707.36945836665</v>
      </c>
      <c r="AM21" s="19">
        <f t="shared" si="24"/>
        <v>24650</v>
      </c>
      <c r="AN21" s="19">
        <f t="shared" si="25"/>
        <v>25262.553149322361</v>
      </c>
      <c r="AO21" s="19">
        <f t="shared" si="26"/>
        <v>26279.099670757667</v>
      </c>
      <c r="AP21" s="19">
        <f t="shared" si="27"/>
        <v>27848.84643336081</v>
      </c>
      <c r="AQ21" s="19">
        <f t="shared" si="28"/>
        <v>28985.567541314002</v>
      </c>
      <c r="AW21" s="19">
        <v>17</v>
      </c>
      <c r="AX21" s="27"/>
      <c r="AY21" s="19">
        <f t="shared" si="33"/>
        <v>22.142857142857146</v>
      </c>
      <c r="AZ21" s="19">
        <v>10</v>
      </c>
      <c r="BA21" s="19">
        <v>240</v>
      </c>
      <c r="BB21" s="19">
        <v>9000</v>
      </c>
      <c r="BC21" s="19">
        <f>SUM(AZ$5:AZ21)</f>
        <v>195</v>
      </c>
      <c r="BD21" s="19">
        <f>SUM(BA$5:BA21)</f>
        <v>6360</v>
      </c>
      <c r="BE21" s="19">
        <f>SUM(BB$5:BB21)</f>
        <v>195000</v>
      </c>
      <c r="BS21" s="19" t="s">
        <v>80</v>
      </c>
      <c r="BT21" s="19">
        <f>BT14</f>
        <v>20</v>
      </c>
      <c r="BU21" s="19">
        <f>SUM(BU$14:BU14)</f>
        <v>0</v>
      </c>
      <c r="BV21" s="19">
        <f>SUM(BV$14:BV14)</f>
        <v>230</v>
      </c>
      <c r="BW21" s="19">
        <f>SUM(BW$14:BW14)</f>
        <v>12000</v>
      </c>
      <c r="BX21" s="19">
        <f>SUM(BX$14:BX14)</f>
        <v>9000</v>
      </c>
    </row>
    <row r="22" spans="12:76" x14ac:dyDescent="0.15">
      <c r="L22" s="19">
        <v>18</v>
      </c>
      <c r="M22" s="19">
        <f t="shared" si="1"/>
        <v>582.99999999999977</v>
      </c>
      <c r="N22" s="19">
        <f t="shared" si="2"/>
        <v>5387.9999999999955</v>
      </c>
      <c r="O22" s="19">
        <f t="shared" si="3"/>
        <v>123199.99999999983</v>
      </c>
      <c r="P22" s="19">
        <f t="shared" si="4"/>
        <v>26100</v>
      </c>
      <c r="R22" s="19">
        <v>18</v>
      </c>
      <c r="S22" s="19">
        <f>求节点(其他调用!C$4:C$163,其他调用!$B$4:$B$163,其他调用!$C21)</f>
        <v>18</v>
      </c>
      <c r="T22" s="19">
        <f>求节点(其他调用!D$4:D$163,其他调用!$B$4:$B$163,其他调用!$C21)</f>
        <v>17.548473121974101</v>
      </c>
      <c r="U22" s="19">
        <f>求节点(其他调用!E$4:E$163,其他调用!$B$4:$B$163,其他调用!$C21)</f>
        <v>16.874781217774334</v>
      </c>
      <c r="V22" s="19">
        <f>求节点(其他调用!F$4:F$163,其他调用!$B$4:$B$163,其他调用!$C21)</f>
        <v>15.824293721721368</v>
      </c>
      <c r="W22" s="19">
        <f>求节点(其他调用!G$4:G$163,其他调用!$B$4:$B$163,其他调用!$C21)</f>
        <v>15.141130078790686</v>
      </c>
      <c r="X22" s="19">
        <f t="shared" si="9"/>
        <v>582.99999999999977</v>
      </c>
      <c r="Y22" s="19">
        <f t="shared" si="10"/>
        <v>603.26851029453667</v>
      </c>
      <c r="Z22" s="19">
        <f t="shared" si="11"/>
        <v>635.94281964262154</v>
      </c>
      <c r="AA22" s="19">
        <f t="shared" si="12"/>
        <v>714.19870835832751</v>
      </c>
      <c r="AB22" s="19">
        <f t="shared" si="13"/>
        <v>792.09252839151281</v>
      </c>
      <c r="AC22" s="19">
        <f t="shared" si="14"/>
        <v>5387.9999999999955</v>
      </c>
      <c r="AD22" s="19">
        <f t="shared" si="15"/>
        <v>5668.2341858114178</v>
      </c>
      <c r="AE22" s="19">
        <f t="shared" si="16"/>
        <v>6171.506463226845</v>
      </c>
      <c r="AF22" s="19">
        <f t="shared" si="17"/>
        <v>7519.3044909807641</v>
      </c>
      <c r="AG22" s="19">
        <f t="shared" si="18"/>
        <v>8162.8802387373926</v>
      </c>
      <c r="AH22" s="19">
        <f t="shared" si="19"/>
        <v>123199.99999999983</v>
      </c>
      <c r="AI22" s="19">
        <f t="shared" si="20"/>
        <v>132629.26348484957</v>
      </c>
      <c r="AJ22" s="19">
        <f t="shared" si="21"/>
        <v>147946.2114343126</v>
      </c>
      <c r="AK22" s="19">
        <f t="shared" si="22"/>
        <v>178339.69456167793</v>
      </c>
      <c r="AL22" s="19">
        <f t="shared" si="23"/>
        <v>192440.25540889404</v>
      </c>
      <c r="AM22" s="19">
        <f t="shared" si="24"/>
        <v>26100</v>
      </c>
      <c r="AN22" s="19">
        <f t="shared" si="25"/>
        <v>26738.898694066924</v>
      </c>
      <c r="AO22" s="19">
        <f t="shared" si="26"/>
        <v>27715.034237406584</v>
      </c>
      <c r="AP22" s="19">
        <f t="shared" si="27"/>
        <v>29598.270649449427</v>
      </c>
      <c r="AQ22" s="19">
        <f t="shared" si="28"/>
        <v>31520.875694245024</v>
      </c>
      <c r="AW22" s="19">
        <v>18</v>
      </c>
      <c r="AX22" s="27"/>
      <c r="AY22" s="19">
        <f t="shared" si="33"/>
        <v>22.857142857142861</v>
      </c>
      <c r="AZ22" s="19">
        <v>10</v>
      </c>
      <c r="BA22" s="19">
        <v>240</v>
      </c>
      <c r="BB22" s="19">
        <v>9000</v>
      </c>
      <c r="BC22" s="19">
        <f>SUM(AZ$5:AZ22)</f>
        <v>205</v>
      </c>
      <c r="BD22" s="19">
        <f>SUM(BA$5:BA22)</f>
        <v>6600</v>
      </c>
      <c r="BE22" s="19">
        <f>SUM(BB$5:BB22)</f>
        <v>204000</v>
      </c>
      <c r="BS22" s="19" t="s">
        <v>81</v>
      </c>
      <c r="BT22" s="19">
        <f t="shared" ref="BT22:BT23" si="34">BT15</f>
        <v>30</v>
      </c>
      <c r="BU22" s="19">
        <f>SUM(BU$14:BU15)</f>
        <v>0</v>
      </c>
      <c r="BV22" s="19">
        <f>SUM(BV$14:BV15)</f>
        <v>460</v>
      </c>
      <c r="BW22" s="19">
        <f>SUM(BW$14:BW15)</f>
        <v>24000</v>
      </c>
      <c r="BX22" s="19">
        <f>SUM(BX$14:BX15)</f>
        <v>18000</v>
      </c>
    </row>
    <row r="23" spans="12:76" x14ac:dyDescent="0.15">
      <c r="L23" s="19">
        <v>19</v>
      </c>
      <c r="M23" s="19">
        <f t="shared" si="1"/>
        <v>628.99999999999977</v>
      </c>
      <c r="N23" s="19">
        <f t="shared" si="2"/>
        <v>6023.9999999999945</v>
      </c>
      <c r="O23" s="19">
        <f t="shared" si="3"/>
        <v>144599.9999999998</v>
      </c>
      <c r="P23" s="19">
        <f t="shared" si="4"/>
        <v>27550</v>
      </c>
      <c r="R23" s="19">
        <v>19</v>
      </c>
      <c r="S23" s="19">
        <f>求节点(其他调用!C$4:C$163,其他调用!$B$4:$B$163,其他调用!$C22)</f>
        <v>19</v>
      </c>
      <c r="T23" s="19">
        <f>求节点(其他调用!D$4:D$163,其他调用!$B$4:$B$163,其他调用!$C22)</f>
        <v>18.573227091918785</v>
      </c>
      <c r="U23" s="19">
        <f>求节点(其他调用!E$4:E$163,其他调用!$B$4:$B$163,其他调用!$C22)</f>
        <v>17.888558816912894</v>
      </c>
      <c r="V23" s="19">
        <f>求节点(其他调用!F$4:F$163,其他调用!$B$4:$B$163,其他调用!$C22)</f>
        <v>16.804598295236282</v>
      </c>
      <c r="W23" s="19">
        <f>求节点(其他调用!G$4:G$163,其他调用!$B$4:$B$163,其他调用!$C22)</f>
        <v>16.081612311494769</v>
      </c>
      <c r="X23" s="19">
        <f t="shared" si="9"/>
        <v>628.99999999999977</v>
      </c>
      <c r="Y23" s="19">
        <f t="shared" si="10"/>
        <v>654.30501694857446</v>
      </c>
      <c r="Z23" s="19">
        <f t="shared" si="11"/>
        <v>702.2487251268534</v>
      </c>
      <c r="AA23" s="19">
        <f t="shared" si="12"/>
        <v>810.90269152549581</v>
      </c>
      <c r="AB23" s="19">
        <f t="shared" si="13"/>
        <v>893.84747642272407</v>
      </c>
      <c r="AC23" s="19">
        <f t="shared" si="14"/>
        <v>6023.9999999999945</v>
      </c>
      <c r="AD23" s="19">
        <f t="shared" si="15"/>
        <v>6561.6279010713533</v>
      </c>
      <c r="AE23" s="19">
        <f t="shared" si="16"/>
        <v>7420.8824888676636</v>
      </c>
      <c r="AF23" s="19">
        <f t="shared" si="17"/>
        <v>8321.0503696158485</v>
      </c>
      <c r="AG23" s="19">
        <f t="shared" si="18"/>
        <v>9019.7092407714117</v>
      </c>
      <c r="AH23" s="19">
        <f t="shared" si="19"/>
        <v>144599.9999999998</v>
      </c>
      <c r="AI23" s="19">
        <f t="shared" si="20"/>
        <v>156796.18849652601</v>
      </c>
      <c r="AJ23" s="19">
        <f t="shared" si="21"/>
        <v>176196.6348382475</v>
      </c>
      <c r="AK23" s="19">
        <f t="shared" si="22"/>
        <v>196023.79743660905</v>
      </c>
      <c r="AL23" s="19">
        <f t="shared" si="23"/>
        <v>211324.38969784541</v>
      </c>
      <c r="AM23" s="19">
        <f t="shared" si="24"/>
        <v>27550</v>
      </c>
      <c r="AN23" s="19">
        <f t="shared" si="25"/>
        <v>28151.512697957922</v>
      </c>
      <c r="AO23" s="19">
        <f t="shared" si="26"/>
        <v>29302.828259593793</v>
      </c>
      <c r="AP23" s="19">
        <f t="shared" si="27"/>
        <v>31980.832238032199</v>
      </c>
      <c r="AQ23" s="19">
        <f t="shared" si="28"/>
        <v>34021.186910568103</v>
      </c>
      <c r="AW23" s="19">
        <v>19</v>
      </c>
      <c r="AX23" s="27"/>
      <c r="AY23" s="19">
        <f t="shared" si="33"/>
        <v>23.571428571428577</v>
      </c>
      <c r="AZ23" s="19">
        <v>15</v>
      </c>
      <c r="BA23" s="19">
        <v>540</v>
      </c>
      <c r="BB23" s="19">
        <v>15000</v>
      </c>
      <c r="BC23" s="19">
        <f>SUM(AZ$5:AZ23)</f>
        <v>220</v>
      </c>
      <c r="BD23" s="19">
        <f>SUM(BA$5:BA23)</f>
        <v>7140</v>
      </c>
      <c r="BE23" s="19">
        <f>SUM(BB$5:BB23)</f>
        <v>219000</v>
      </c>
      <c r="BS23" s="19" t="s">
        <v>82</v>
      </c>
      <c r="BT23" s="19">
        <f t="shared" si="34"/>
        <v>38</v>
      </c>
      <c r="BU23" s="19">
        <f>SUM(BU$14:BU16)</f>
        <v>0</v>
      </c>
      <c r="BV23" s="19">
        <f>SUM(BV$14:BV16)</f>
        <v>690</v>
      </c>
      <c r="BW23" s="19">
        <f>SUM(BW$14:BW16)</f>
        <v>36000</v>
      </c>
      <c r="BX23" s="19">
        <f>SUM(BX$14:BX16)</f>
        <v>27000</v>
      </c>
    </row>
    <row r="24" spans="12:76" x14ac:dyDescent="0.15">
      <c r="L24" s="19">
        <v>20</v>
      </c>
      <c r="M24" s="19">
        <f t="shared" si="1"/>
        <v>690</v>
      </c>
      <c r="N24" s="19">
        <f t="shared" si="2"/>
        <v>7320</v>
      </c>
      <c r="O24" s="19">
        <f t="shared" si="3"/>
        <v>174000</v>
      </c>
      <c r="P24" s="19">
        <f t="shared" si="4"/>
        <v>29000</v>
      </c>
      <c r="R24" s="19">
        <v>20</v>
      </c>
      <c r="S24" s="19">
        <f>求节点(其他调用!C$4:C$163,其他调用!$B$4:$B$163,其他调用!$C23)</f>
        <v>20</v>
      </c>
      <c r="T24" s="19">
        <f>求节点(其他调用!D$4:D$163,其他调用!$B$4:$B$163,其他调用!$C23)</f>
        <v>19.602001245512881</v>
      </c>
      <c r="U24" s="19">
        <f>求节点(其他调用!E$4:E$163,其他调用!$B$4:$B$163,其他调用!$C23)</f>
        <v>18.86768725726316</v>
      </c>
      <c r="V24" s="19">
        <f>求节点(其他调用!F$4:F$163,其他调用!$B$4:$B$163,其他调用!$C23)</f>
        <v>17.752685474062709</v>
      </c>
      <c r="W24" s="19">
        <f>求节点(其他调用!G$4:G$163,其他调用!$B$4:$B$163,其他调用!$C23)</f>
        <v>17.009232998093527</v>
      </c>
      <c r="X24" s="19">
        <f t="shared" si="9"/>
        <v>690</v>
      </c>
      <c r="Y24" s="19">
        <f t="shared" si="10"/>
        <v>726.40227249690679</v>
      </c>
      <c r="Z24" s="19">
        <f t="shared" si="11"/>
        <v>795.63603724023346</v>
      </c>
      <c r="AA24" s="19">
        <f t="shared" si="12"/>
        <v>906.44114834209415</v>
      </c>
      <c r="AB24" s="19">
        <f t="shared" si="13"/>
        <v>992.84736348742479</v>
      </c>
      <c r="AC24" s="19">
        <f t="shared" si="14"/>
        <v>7320</v>
      </c>
      <c r="AD24" s="19">
        <f t="shared" si="15"/>
        <v>7619.8150266165903</v>
      </c>
      <c r="AE24" s="19">
        <f t="shared" si="16"/>
        <v>8192.6767511003582</v>
      </c>
      <c r="AF24" s="19">
        <f t="shared" si="17"/>
        <v>9126.2855389547367</v>
      </c>
      <c r="AG24" s="19">
        <f t="shared" si="18"/>
        <v>9935.6766324403325</v>
      </c>
      <c r="AH24" s="19">
        <f t="shared" si="19"/>
        <v>174000</v>
      </c>
      <c r="AI24" s="19">
        <f t="shared" si="20"/>
        <v>180528.23041826446</v>
      </c>
      <c r="AJ24" s="19">
        <f t="shared" si="21"/>
        <v>193115.33264211746</v>
      </c>
      <c r="AK24" s="19">
        <f t="shared" si="22"/>
        <v>213438.99878878443</v>
      </c>
      <c r="AL24" s="19">
        <f t="shared" si="23"/>
        <v>229015.46167002994</v>
      </c>
      <c r="AM24" s="19">
        <f t="shared" si="24"/>
        <v>29000</v>
      </c>
      <c r="AN24" s="19">
        <f t="shared" si="25"/>
        <v>29899.982382764854</v>
      </c>
      <c r="AO24" s="19">
        <f t="shared" si="26"/>
        <v>31607.523538356076</v>
      </c>
      <c r="AP24" s="19">
        <f t="shared" si="27"/>
        <v>34336.02870855236</v>
      </c>
      <c r="AQ24" s="19">
        <f t="shared" si="28"/>
        <v>36470.315290129052</v>
      </c>
      <c r="AW24" s="19">
        <v>20</v>
      </c>
      <c r="AX24" s="27"/>
      <c r="AY24" s="19">
        <f t="shared" si="33"/>
        <v>24.285714285714292</v>
      </c>
      <c r="AZ24" s="19">
        <v>10</v>
      </c>
      <c r="BA24" s="19">
        <v>360</v>
      </c>
      <c r="BB24" s="19">
        <v>9000</v>
      </c>
      <c r="BC24" s="19">
        <f>SUM(AZ$5:AZ24)</f>
        <v>230</v>
      </c>
      <c r="BD24" s="19">
        <f>SUM(BA$5:BA24)</f>
        <v>7500</v>
      </c>
      <c r="BE24" s="19">
        <f>SUM(BB$5:BB24)</f>
        <v>228000</v>
      </c>
    </row>
    <row r="25" spans="12:76" x14ac:dyDescent="0.15">
      <c r="L25" s="19">
        <v>21</v>
      </c>
      <c r="M25" s="19">
        <f t="shared" si="1"/>
        <v>780.33333333333326</v>
      </c>
      <c r="N25" s="19">
        <f t="shared" si="2"/>
        <v>8063.9999999999991</v>
      </c>
      <c r="O25" s="19">
        <f t="shared" si="3"/>
        <v>190199.99999999997</v>
      </c>
      <c r="P25" s="19">
        <f t="shared" si="4"/>
        <v>31233.333333333332</v>
      </c>
      <c r="R25" s="19">
        <v>21</v>
      </c>
      <c r="S25" s="19">
        <f>求节点(其他调用!C$4:C$163,其他调用!$B$4:$B$163,其他调用!$C24)</f>
        <v>21</v>
      </c>
      <c r="T25" s="19">
        <f>求节点(其他调用!D$4:D$163,其他调用!$B$4:$B$163,其他调用!$C24)</f>
        <v>20.589647117302654</v>
      </c>
      <c r="U25" s="19">
        <f>求节点(其他调用!E$4:E$163,其他调用!$B$4:$B$163,其他调用!$C24)</f>
        <v>19.843482776397728</v>
      </c>
      <c r="V25" s="19">
        <f>求节点(其他调用!F$4:F$163,其他调用!$B$4:$B$163,其他调用!$C24)</f>
        <v>18.675906051742032</v>
      </c>
      <c r="W25" s="19">
        <f>求节点(其他调用!G$4:G$163,其他调用!$B$4:$B$163,其他调用!$C24)</f>
        <v>17.886502335378513</v>
      </c>
      <c r="X25" s="19">
        <f t="shared" si="9"/>
        <v>780.33333333333326</v>
      </c>
      <c r="Y25" s="19">
        <f t="shared" si="10"/>
        <v>818.81079656748045</v>
      </c>
      <c r="Z25" s="19">
        <f t="shared" si="11"/>
        <v>893.11968378237248</v>
      </c>
      <c r="AA25" s="19">
        <f t="shared" si="12"/>
        <v>1007.5152560637762</v>
      </c>
      <c r="AB25" s="19">
        <f t="shared" si="13"/>
        <v>1101.4057679048669</v>
      </c>
      <c r="AC25" s="19">
        <f t="shared" si="14"/>
        <v>8063.9999999999991</v>
      </c>
      <c r="AD25" s="19">
        <f t="shared" si="15"/>
        <v>8387.5477200418791</v>
      </c>
      <c r="AE25" s="19">
        <f t="shared" si="16"/>
        <v>9013.5501597702259</v>
      </c>
      <c r="AF25" s="19">
        <f t="shared" si="17"/>
        <v>10095.805539122233</v>
      </c>
      <c r="AG25" s="19">
        <f t="shared" si="18"/>
        <v>11066.202831733641</v>
      </c>
      <c r="AH25" s="19">
        <f t="shared" si="19"/>
        <v>190199.99999999997</v>
      </c>
      <c r="AI25" s="19">
        <f t="shared" si="20"/>
        <v>197530.37803219882</v>
      </c>
      <c r="AJ25" s="19">
        <f t="shared" si="21"/>
        <v>211202.18570972668</v>
      </c>
      <c r="AK25" s="19">
        <f t="shared" si="22"/>
        <v>231970.22125761263</v>
      </c>
      <c r="AL25" s="19">
        <f t="shared" si="23"/>
        <v>248710.18411796784</v>
      </c>
      <c r="AM25" s="19">
        <f t="shared" si="24"/>
        <v>31233.333333333332</v>
      </c>
      <c r="AN25" s="19">
        <f t="shared" si="25"/>
        <v>32174.205609496788</v>
      </c>
      <c r="AO25" s="19">
        <f t="shared" si="26"/>
        <v>34002.992094559319</v>
      </c>
      <c r="AP25" s="19">
        <f t="shared" si="27"/>
        <v>36825.098251362098</v>
      </c>
      <c r="AQ25" s="19">
        <f t="shared" si="28"/>
        <v>39148.749603632488</v>
      </c>
      <c r="AW25" s="19">
        <v>21</v>
      </c>
      <c r="AX25" s="27"/>
      <c r="AY25" s="19">
        <f t="shared" si="33"/>
        <v>25.000000000000007</v>
      </c>
      <c r="AZ25" s="19">
        <v>10</v>
      </c>
      <c r="BA25" s="19">
        <v>360</v>
      </c>
      <c r="BB25" s="19">
        <v>9000</v>
      </c>
      <c r="BC25" s="19">
        <f>SUM(AZ$5:AZ25)</f>
        <v>240</v>
      </c>
      <c r="BD25" s="19">
        <f>SUM(BA$5:BA25)</f>
        <v>7860</v>
      </c>
      <c r="BE25" s="19">
        <f>SUM(BB$5:BB25)</f>
        <v>237000</v>
      </c>
    </row>
    <row r="26" spans="12:76" x14ac:dyDescent="0.15">
      <c r="L26" s="19">
        <v>22</v>
      </c>
      <c r="M26" s="19">
        <f t="shared" si="1"/>
        <v>871.66666666666663</v>
      </c>
      <c r="N26" s="19">
        <f t="shared" si="2"/>
        <v>8832</v>
      </c>
      <c r="O26" s="19">
        <f t="shared" si="3"/>
        <v>207599.99999999997</v>
      </c>
      <c r="P26" s="19">
        <f t="shared" si="4"/>
        <v>33466.666666666672</v>
      </c>
      <c r="R26" s="19">
        <v>22</v>
      </c>
      <c r="S26" s="19">
        <f>求节点(其他调用!C$4:C$163,其他调用!$B$4:$B$163,其他调用!$C25)</f>
        <v>22</v>
      </c>
      <c r="T26" s="19">
        <f>求节点(其他调用!D$4:D$163,其他调用!$B$4:$B$163,其他调用!$C25)</f>
        <v>21.563695130593455</v>
      </c>
      <c r="U26" s="19">
        <f>求节点(其他调用!E$4:E$163,其他调用!$B$4:$B$163,其他调用!$C25)</f>
        <v>20.777647081127444</v>
      </c>
      <c r="V26" s="19">
        <f>求节点(其他调用!F$4:F$163,其他调用!$B$4:$B$163,其他调用!$C25)</f>
        <v>19.6442149191212</v>
      </c>
      <c r="W26" s="19">
        <f>求节点(其他调用!G$4:G$163,其他调用!$B$4:$B$163,其他调用!$C25)</f>
        <v>18.768035466187378</v>
      </c>
      <c r="X26" s="19">
        <f t="shared" si="9"/>
        <v>871.66666666666663</v>
      </c>
      <c r="Y26" s="19">
        <f t="shared" si="10"/>
        <v>911.91400920933802</v>
      </c>
      <c r="Z26" s="19">
        <f t="shared" si="11"/>
        <v>990.36086849157164</v>
      </c>
      <c r="AA26" s="19">
        <f t="shared" si="12"/>
        <v>1110.5810198959803</v>
      </c>
      <c r="AB26" s="19">
        <f t="shared" si="13"/>
        <v>1223.2070389716341</v>
      </c>
      <c r="AC26" s="19">
        <f t="shared" si="14"/>
        <v>8832</v>
      </c>
      <c r="AD26" s="19">
        <f t="shared" si="15"/>
        <v>9172.6006450999193</v>
      </c>
      <c r="AE26" s="19">
        <f t="shared" si="16"/>
        <v>9908.5316473592484</v>
      </c>
      <c r="AF26" s="19">
        <f t="shared" si="17"/>
        <v>11155.947183284452</v>
      </c>
      <c r="AG26" s="19">
        <f t="shared" si="18"/>
        <v>12562.014068227929</v>
      </c>
      <c r="AH26" s="19">
        <f t="shared" si="19"/>
        <v>207599.99999999997</v>
      </c>
      <c r="AI26" s="19">
        <f t="shared" si="20"/>
        <v>214357.94930753805</v>
      </c>
      <c r="AJ26" s="19">
        <f t="shared" si="21"/>
        <v>228514.57206436709</v>
      </c>
      <c r="AK26" s="19">
        <f t="shared" si="22"/>
        <v>250143.60084412666</v>
      </c>
      <c r="AL26" s="19">
        <f t="shared" si="23"/>
        <v>280356.07590612932</v>
      </c>
      <c r="AM26" s="19">
        <f t="shared" si="24"/>
        <v>33466.666666666672</v>
      </c>
      <c r="AN26" s="19">
        <f t="shared" si="25"/>
        <v>34472.850230233453</v>
      </c>
      <c r="AO26" s="19">
        <f t="shared" si="26"/>
        <v>36410.172631384587</v>
      </c>
      <c r="AP26" s="19">
        <f t="shared" si="27"/>
        <v>39380.727672841764</v>
      </c>
      <c r="AQ26" s="19">
        <f t="shared" si="28"/>
        <v>41981.684920631065</v>
      </c>
      <c r="AW26" s="19">
        <v>22</v>
      </c>
      <c r="AX26" s="27"/>
      <c r="AY26" s="19">
        <f t="shared" si="33"/>
        <v>25.714285714285722</v>
      </c>
      <c r="AZ26" s="19">
        <v>20</v>
      </c>
      <c r="BA26" s="19">
        <v>780</v>
      </c>
      <c r="BB26" s="19">
        <v>24000</v>
      </c>
      <c r="BC26" s="19">
        <f>SUM(AZ$5:AZ26)</f>
        <v>260</v>
      </c>
      <c r="BD26" s="19">
        <f>SUM(BA$5:BA26)</f>
        <v>8640</v>
      </c>
      <c r="BE26" s="19">
        <f>SUM(BB$5:BB26)</f>
        <v>261000</v>
      </c>
    </row>
    <row r="27" spans="12:76" x14ac:dyDescent="0.15">
      <c r="L27" s="19">
        <v>23</v>
      </c>
      <c r="M27" s="19">
        <f t="shared" si="1"/>
        <v>960.99999999999989</v>
      </c>
      <c r="N27" s="19">
        <f t="shared" si="2"/>
        <v>9587.9999999999964</v>
      </c>
      <c r="O27" s="19">
        <f t="shared" si="3"/>
        <v>222599.99999999991</v>
      </c>
      <c r="P27" s="19">
        <f t="shared" si="4"/>
        <v>35700</v>
      </c>
      <c r="R27" s="19">
        <v>23</v>
      </c>
      <c r="S27" s="19">
        <f>求节点(其他调用!C$4:C$163,其他调用!$B$4:$B$163,其他调用!$C26)</f>
        <v>23</v>
      </c>
      <c r="T27" s="19">
        <f>求节点(其他调用!D$4:D$163,其他调用!$B$4:$B$163,其他调用!$C26)</f>
        <v>22.532121015913145</v>
      </c>
      <c r="U27" s="19">
        <f>求节点(其他调用!E$4:E$163,其他调用!$B$4:$B$163,其他调用!$C26)</f>
        <v>21.703555418968627</v>
      </c>
      <c r="V27" s="19">
        <f>求节点(其他调用!F$4:F$163,其他调用!$B$4:$B$163,其他调用!$C26)</f>
        <v>20.558203156870597</v>
      </c>
      <c r="W27" s="19">
        <f>求节点(其他调用!G$4:G$163,其他调用!$B$4:$B$163,其他调用!$C26)</f>
        <v>19.702273902407459</v>
      </c>
      <c r="X27" s="19">
        <f t="shared" si="9"/>
        <v>960.99999999999989</v>
      </c>
      <c r="Y27" s="19">
        <f t="shared" si="10"/>
        <v>1005.6579577857703</v>
      </c>
      <c r="Z27" s="19">
        <f t="shared" si="11"/>
        <v>1088.2514784743773</v>
      </c>
      <c r="AA27" s="19">
        <f t="shared" si="12"/>
        <v>1222.2238853097367</v>
      </c>
      <c r="AB27" s="19">
        <f t="shared" si="13"/>
        <v>1342.1859735071503</v>
      </c>
      <c r="AC27" s="19">
        <f t="shared" si="14"/>
        <v>9587.9999999999964</v>
      </c>
      <c r="AD27" s="19">
        <f t="shared" si="15"/>
        <v>10075.529474166673</v>
      </c>
      <c r="AE27" s="19">
        <f t="shared" si="16"/>
        <v>10937.538989455039</v>
      </c>
      <c r="AF27" s="19">
        <f t="shared" si="17"/>
        <v>12548.726795481754</v>
      </c>
      <c r="AG27" s="19">
        <f t="shared" si="18"/>
        <v>14008.12103896482</v>
      </c>
      <c r="AH27" s="19">
        <f t="shared" si="19"/>
        <v>222599.99999999991</v>
      </c>
      <c r="AI27" s="19">
        <f t="shared" si="20"/>
        <v>231596.07958283744</v>
      </c>
      <c r="AJ27" s="19">
        <f t="shared" si="21"/>
        <v>246655.13663712906</v>
      </c>
      <c r="AK27" s="19">
        <f t="shared" si="22"/>
        <v>280050.3510464828</v>
      </c>
      <c r="AL27" s="19">
        <f t="shared" si="23"/>
        <v>310179.80846500472</v>
      </c>
      <c r="AM27" s="19">
        <f t="shared" si="24"/>
        <v>35700</v>
      </c>
      <c r="AN27" s="19">
        <f t="shared" si="25"/>
        <v>36780.17443019733</v>
      </c>
      <c r="AO27" s="19">
        <f t="shared" si="26"/>
        <v>38816.169455767274</v>
      </c>
      <c r="AP27" s="19">
        <f t="shared" si="27"/>
        <v>41959.800769352951</v>
      </c>
      <c r="AQ27" s="19">
        <f t="shared" si="28"/>
        <v>44735.25398902165</v>
      </c>
      <c r="AW27" s="19">
        <v>23</v>
      </c>
      <c r="AX27" s="27"/>
      <c r="AY27" s="19">
        <f t="shared" si="33"/>
        <v>26.428571428571438</v>
      </c>
      <c r="AZ27" s="19">
        <v>15</v>
      </c>
      <c r="BA27" s="19">
        <v>540</v>
      </c>
      <c r="BB27" s="19">
        <v>15000</v>
      </c>
      <c r="BC27" s="19">
        <f>SUM(AZ$5:AZ27)</f>
        <v>275</v>
      </c>
      <c r="BD27" s="19">
        <f>SUM(BA$5:BA27)</f>
        <v>9180</v>
      </c>
      <c r="BE27" s="19">
        <f>SUM(BB$5:BB27)</f>
        <v>276000</v>
      </c>
    </row>
    <row r="28" spans="12:76" x14ac:dyDescent="0.15">
      <c r="L28" s="19">
        <v>24</v>
      </c>
      <c r="M28" s="19">
        <f t="shared" si="1"/>
        <v>1053.3333333333333</v>
      </c>
      <c r="N28" s="19">
        <f t="shared" si="2"/>
        <v>10595.999999999996</v>
      </c>
      <c r="O28" s="19">
        <f t="shared" si="3"/>
        <v>241199.99999999994</v>
      </c>
      <c r="P28" s="19">
        <f t="shared" si="4"/>
        <v>37933.333333333328</v>
      </c>
      <c r="R28" s="19">
        <v>24</v>
      </c>
      <c r="S28" s="19">
        <f>求节点(其他调用!C$4:C$163,其他调用!$B$4:$B$163,其他调用!$C27)</f>
        <v>24</v>
      </c>
      <c r="T28" s="19">
        <f>求节点(其他调用!D$4:D$163,其他调用!$B$4:$B$163,其他调用!$C27)</f>
        <v>23.499492305137622</v>
      </c>
      <c r="U28" s="19">
        <f>求节点(其他调用!E$4:E$163,其他调用!$B$4:$B$163,其他调用!$C27)</f>
        <v>22.635807008293629</v>
      </c>
      <c r="V28" s="19">
        <f>求节点(其他调用!F$4:F$163,其他调用!$B$4:$B$163,其他调用!$C27)</f>
        <v>21.435175114766551</v>
      </c>
      <c r="W28" s="19">
        <f>求节点(其他调用!G$4:G$163,其他调用!$B$4:$B$163,其他调用!$C27)</f>
        <v>20.565455026392783</v>
      </c>
      <c r="X28" s="19">
        <f t="shared" si="9"/>
        <v>1053.3333333333333</v>
      </c>
      <c r="Y28" s="19">
        <f t="shared" si="10"/>
        <v>1099.2149459279508</v>
      </c>
      <c r="Z28" s="19">
        <f t="shared" si="11"/>
        <v>1190.6343235257989</v>
      </c>
      <c r="AA28" s="19">
        <f t="shared" si="12"/>
        <v>1334.0048837380875</v>
      </c>
      <c r="AB28" s="19">
        <f t="shared" si="13"/>
        <v>1468.3742722101156</v>
      </c>
      <c r="AC28" s="19">
        <f t="shared" si="14"/>
        <v>10595.999999999996</v>
      </c>
      <c r="AD28" s="19">
        <f t="shared" si="15"/>
        <v>11044.774112623578</v>
      </c>
      <c r="AE28" s="19">
        <f t="shared" si="16"/>
        <v>12121.795442202489</v>
      </c>
      <c r="AF28" s="19">
        <f t="shared" si="17"/>
        <v>13893.036191451452</v>
      </c>
      <c r="AG28" s="19">
        <f t="shared" si="18"/>
        <v>15889.730879336856</v>
      </c>
      <c r="AH28" s="19">
        <f t="shared" si="19"/>
        <v>241199.99999999994</v>
      </c>
      <c r="AI28" s="19">
        <f t="shared" si="20"/>
        <v>248367.91985440435</v>
      </c>
      <c r="AJ28" s="19">
        <f t="shared" si="21"/>
        <v>270227.1517674909</v>
      </c>
      <c r="AK28" s="19">
        <f t="shared" si="22"/>
        <v>307624.91348586214</v>
      </c>
      <c r="AL28" s="19">
        <f t="shared" si="23"/>
        <v>355802.19550076872</v>
      </c>
      <c r="AM28" s="19">
        <f t="shared" si="24"/>
        <v>37933.333333333328</v>
      </c>
      <c r="AN28" s="19">
        <f t="shared" si="25"/>
        <v>39093.359010253851</v>
      </c>
      <c r="AO28" s="19">
        <f t="shared" si="26"/>
        <v>41256.644410707158</v>
      </c>
      <c r="AP28" s="19">
        <f t="shared" si="27"/>
        <v>44555.359164493661</v>
      </c>
      <c r="AQ28" s="19">
        <f t="shared" si="28"/>
        <v>47405.888025432498</v>
      </c>
      <c r="AW28" s="19">
        <v>24</v>
      </c>
      <c r="AX28" s="27"/>
      <c r="AY28" s="19">
        <f t="shared" si="33"/>
        <v>27.142857142857153</v>
      </c>
      <c r="AZ28" s="19">
        <v>15</v>
      </c>
      <c r="BA28" s="19">
        <v>540</v>
      </c>
      <c r="BB28" s="19">
        <v>15000</v>
      </c>
      <c r="BC28" s="19">
        <f>SUM(AZ$5:AZ28)</f>
        <v>290</v>
      </c>
      <c r="BD28" s="19">
        <f>SUM(BA$5:BA28)</f>
        <v>9720</v>
      </c>
      <c r="BE28" s="19">
        <f>SUM(BB$5:BB28)</f>
        <v>291000</v>
      </c>
    </row>
    <row r="29" spans="12:76" x14ac:dyDescent="0.15">
      <c r="L29" s="19">
        <v>25</v>
      </c>
      <c r="M29" s="19">
        <f t="shared" si="1"/>
        <v>1141.6666666666665</v>
      </c>
      <c r="N29" s="19">
        <f t="shared" si="2"/>
        <v>11459.999999999996</v>
      </c>
      <c r="O29" s="19">
        <f t="shared" si="3"/>
        <v>254999.99999999991</v>
      </c>
      <c r="P29" s="19">
        <f t="shared" si="4"/>
        <v>40166.666666666664</v>
      </c>
      <c r="R29" s="19">
        <v>25</v>
      </c>
      <c r="S29" s="19">
        <f>求节点(其他调用!C$4:C$163,其他调用!$B$4:$B$163,其他调用!$C28)</f>
        <v>25</v>
      </c>
      <c r="T29" s="19">
        <f>求节点(其他调用!D$4:D$163,其他调用!$B$4:$B$163,其他调用!$C28)</f>
        <v>24.463092112249964</v>
      </c>
      <c r="U29" s="19">
        <f>求节点(其他调用!E$4:E$163,其他调用!$B$4:$B$163,其他调用!$C28)</f>
        <v>23.557115422704467</v>
      </c>
      <c r="V29" s="19">
        <f>求节点(其他调用!F$4:F$163,其他调用!$B$4:$B$163,其他调用!$C28)</f>
        <v>22.306701421907182</v>
      </c>
      <c r="W29" s="19">
        <f>求节点(其他调用!G$4:G$163,其他调用!$B$4:$B$163,其他调用!$C28)</f>
        <v>21.363933537915901</v>
      </c>
      <c r="X29" s="19">
        <f t="shared" si="9"/>
        <v>1141.6666666666665</v>
      </c>
      <c r="Y29" s="19">
        <f t="shared" si="10"/>
        <v>1198.1848689656922</v>
      </c>
      <c r="Z29" s="19">
        <f t="shared" si="11"/>
        <v>1297.918539481369</v>
      </c>
      <c r="AA29" s="19">
        <f t="shared" si="12"/>
        <v>1454.7776637369018</v>
      </c>
      <c r="AB29" s="19">
        <f t="shared" si="13"/>
        <v>1582.5022717227946</v>
      </c>
      <c r="AC29" s="19">
        <f t="shared" si="14"/>
        <v>11459.999999999996</v>
      </c>
      <c r="AD29" s="19">
        <f t="shared" si="15"/>
        <v>12223.840687549618</v>
      </c>
      <c r="AE29" s="19">
        <f t="shared" si="16"/>
        <v>13470.598846795881</v>
      </c>
      <c r="AF29" s="19">
        <f t="shared" si="17"/>
        <v>15730.291822321971</v>
      </c>
      <c r="AG29" s="19">
        <f t="shared" si="18"/>
        <v>17462.411797476321</v>
      </c>
      <c r="AH29" s="19">
        <f t="shared" si="19"/>
        <v>254999.99999999991</v>
      </c>
      <c r="AI29" s="19">
        <f t="shared" si="20"/>
        <v>272575.09546574345</v>
      </c>
      <c r="AJ29" s="19">
        <f t="shared" si="21"/>
        <v>299221.58996314381</v>
      </c>
      <c r="AK29" s="19">
        <f t="shared" si="22"/>
        <v>351178.46284733701</v>
      </c>
      <c r="AL29" s="19">
        <f t="shared" si="23"/>
        <v>396164.3568116629</v>
      </c>
      <c r="AM29" s="19">
        <f t="shared" si="24"/>
        <v>40166.666666666664</v>
      </c>
      <c r="AN29" s="19">
        <f t="shared" si="25"/>
        <v>41424.713030133353</v>
      </c>
      <c r="AO29" s="19">
        <f t="shared" si="26"/>
        <v>43709.979771067039</v>
      </c>
      <c r="AP29" s="19">
        <f t="shared" si="27"/>
        <v>47109.15422487702</v>
      </c>
      <c r="AQ29" s="19">
        <f t="shared" si="28"/>
        <v>49766.39024671042</v>
      </c>
      <c r="AW29" s="19">
        <v>25</v>
      </c>
      <c r="AX29" s="27"/>
      <c r="AY29" s="19">
        <f t="shared" si="33"/>
        <v>27.857142857142868</v>
      </c>
      <c r="AZ29" s="19">
        <v>25</v>
      </c>
      <c r="BA29" s="19">
        <v>1080</v>
      </c>
      <c r="BB29" s="19">
        <v>30000</v>
      </c>
      <c r="BC29" s="19">
        <f>SUM(AZ$5:AZ29)</f>
        <v>315</v>
      </c>
      <c r="BD29" s="19">
        <f>SUM(BA$5:BA29)</f>
        <v>10800</v>
      </c>
      <c r="BE29" s="19">
        <f>SUM(BB$5:BB29)</f>
        <v>321000</v>
      </c>
    </row>
    <row r="30" spans="12:76" x14ac:dyDescent="0.15">
      <c r="L30" s="19">
        <v>26</v>
      </c>
      <c r="M30" s="19">
        <f t="shared" si="1"/>
        <v>1241.9999999999998</v>
      </c>
      <c r="N30" s="19">
        <f t="shared" si="2"/>
        <v>12815.999999999993</v>
      </c>
      <c r="O30" s="19">
        <f t="shared" si="3"/>
        <v>286199.99999999983</v>
      </c>
      <c r="P30" s="19">
        <f t="shared" si="4"/>
        <v>42400</v>
      </c>
      <c r="R30" s="19">
        <v>26</v>
      </c>
      <c r="S30" s="19">
        <f>求节点(其他调用!C$4:C$163,其他调用!$B$4:$B$163,其他调用!$C29)</f>
        <v>26</v>
      </c>
      <c r="T30" s="19">
        <f>求节点(其他调用!D$4:D$163,其他调用!$B$4:$B$163,其他调用!$C29)</f>
        <v>25.416232089808112</v>
      </c>
      <c r="U30" s="19">
        <f>求节点(其他调用!E$4:E$163,其他调用!$B$4:$B$163,其他调用!$C29)</f>
        <v>24.464573299437603</v>
      </c>
      <c r="V30" s="19">
        <f>求节点(其他调用!F$4:F$163,其他调用!$B$4:$B$163,其他调用!$C29)</f>
        <v>23.170198927245849</v>
      </c>
      <c r="W30" s="19">
        <f>求节点(其他调用!G$4:G$163,其他调用!$B$4:$B$163,其他调用!$C29)</f>
        <v>22.146596978839998</v>
      </c>
      <c r="X30" s="19">
        <f t="shared" si="9"/>
        <v>1241.9999999999998</v>
      </c>
      <c r="Y30" s="19">
        <f t="shared" si="10"/>
        <v>1300.383006520957</v>
      </c>
      <c r="Z30" s="19">
        <f t="shared" si="11"/>
        <v>1408.9161162575956</v>
      </c>
      <c r="AA30" s="19">
        <f t="shared" si="12"/>
        <v>1558.6233444097288</v>
      </c>
      <c r="AB30" s="19">
        <f t="shared" si="13"/>
        <v>1714.4774023278883</v>
      </c>
      <c r="AC30" s="19">
        <f t="shared" si="14"/>
        <v>12815.999999999993</v>
      </c>
      <c r="AD30" s="19">
        <f t="shared" si="15"/>
        <v>13499.448621790778</v>
      </c>
      <c r="AE30" s="19">
        <f t="shared" si="16"/>
        <v>15054.884782924786</v>
      </c>
      <c r="AF30" s="19">
        <f t="shared" si="17"/>
        <v>17029.07758520107</v>
      </c>
      <c r="AG30" s="19">
        <f t="shared" si="18"/>
        <v>19443.261213681562</v>
      </c>
      <c r="AH30" s="19">
        <f t="shared" si="19"/>
        <v>286199.99999999983</v>
      </c>
      <c r="AI30" s="19">
        <f t="shared" si="20"/>
        <v>299795.48333669821</v>
      </c>
      <c r="AJ30" s="19">
        <f t="shared" si="21"/>
        <v>334654.5003201837</v>
      </c>
      <c r="AK30" s="19">
        <f t="shared" si="22"/>
        <v>387029.20314748189</v>
      </c>
      <c r="AL30" s="19">
        <f t="shared" si="23"/>
        <v>437647.27210747276</v>
      </c>
      <c r="AM30" s="19">
        <f t="shared" si="24"/>
        <v>42400</v>
      </c>
      <c r="AN30" s="19">
        <f t="shared" si="25"/>
        <v>43767.713789127316</v>
      </c>
      <c r="AO30" s="19">
        <f t="shared" si="26"/>
        <v>46136.796172181479</v>
      </c>
      <c r="AP30" s="19">
        <f t="shared" si="27"/>
        <v>49330.453426553642</v>
      </c>
      <c r="AQ30" s="19">
        <f t="shared" si="28"/>
        <v>52079.223763656271</v>
      </c>
      <c r="AW30" s="19">
        <v>26</v>
      </c>
      <c r="AX30" s="27"/>
      <c r="AY30" s="19">
        <f t="shared" si="33"/>
        <v>28.571428571428584</v>
      </c>
      <c r="AZ30" s="19">
        <v>20</v>
      </c>
      <c r="BA30" s="19">
        <v>600</v>
      </c>
      <c r="BB30" s="19">
        <v>24000</v>
      </c>
      <c r="BC30" s="19">
        <f>SUM(AZ$5:AZ30)</f>
        <v>335</v>
      </c>
      <c r="BD30" s="19">
        <f>SUM(BA$5:BA30)</f>
        <v>11400</v>
      </c>
      <c r="BE30" s="19">
        <f>SUM(BB$5:BB30)</f>
        <v>345000</v>
      </c>
    </row>
    <row r="31" spans="12:76" x14ac:dyDescent="0.15">
      <c r="L31" s="19">
        <v>27</v>
      </c>
      <c r="M31" s="19">
        <f t="shared" si="1"/>
        <v>1337.3333333333333</v>
      </c>
      <c r="N31" s="19">
        <f t="shared" si="2"/>
        <v>13931.999999999993</v>
      </c>
      <c r="O31" s="19">
        <f t="shared" si="3"/>
        <v>308399.99999999977</v>
      </c>
      <c r="P31" s="19">
        <f t="shared" si="4"/>
        <v>44633.333333333328</v>
      </c>
      <c r="R31" s="19">
        <v>27</v>
      </c>
      <c r="S31" s="19">
        <f>求节点(其他调用!C$4:C$163,其他调用!$B$4:$B$163,其他调用!$C30)</f>
        <v>27</v>
      </c>
      <c r="T31" s="19">
        <f>求节点(其他调用!D$4:D$163,其他调用!$B$4:$B$163,其他调用!$C30)</f>
        <v>26.369463930509045</v>
      </c>
      <c r="U31" s="19">
        <f>求节点(其他调用!E$4:E$163,其他调用!$B$4:$B$163,其他调用!$C30)</f>
        <v>25.377401363147825</v>
      </c>
      <c r="V31" s="19">
        <f>求节点(其他调用!F$4:F$163,其他调用!$B$4:$B$163,其他调用!$C30)</f>
        <v>24.030019613443624</v>
      </c>
      <c r="W31" s="19">
        <f>求节点(其他调用!G$4:G$163,其他调用!$B$4:$B$163,其他调用!$C30)</f>
        <v>22.963099790930922</v>
      </c>
      <c r="X31" s="19">
        <f t="shared" si="9"/>
        <v>1337.3333333333333</v>
      </c>
      <c r="Y31" s="19">
        <f t="shared" si="10"/>
        <v>1408.31081637537</v>
      </c>
      <c r="Z31" s="19">
        <f t="shared" si="11"/>
        <v>1512.7839433240817</v>
      </c>
      <c r="AA31" s="19">
        <f t="shared" si="12"/>
        <v>1685.3051167148415</v>
      </c>
      <c r="AB31" s="19">
        <f t="shared" si="13"/>
        <v>1862.0482001077025</v>
      </c>
      <c r="AC31" s="19">
        <f t="shared" si="14"/>
        <v>13931.999999999993</v>
      </c>
      <c r="AD31" s="19">
        <f t="shared" si="15"/>
        <v>15045.389733988557</v>
      </c>
      <c r="AE31" s="19">
        <f t="shared" si="16"/>
        <v>16410.495752334504</v>
      </c>
      <c r="AF31" s="19">
        <f t="shared" si="17"/>
        <v>19175.675426743259</v>
      </c>
      <c r="AG31" s="19">
        <f t="shared" si="18"/>
        <v>20786.552738565679</v>
      </c>
      <c r="AH31" s="19">
        <f t="shared" si="19"/>
        <v>308399.99999999977</v>
      </c>
      <c r="AI31" s="19">
        <f t="shared" si="20"/>
        <v>334432.49378030788</v>
      </c>
      <c r="AJ31" s="19">
        <f t="shared" si="21"/>
        <v>370904.37681770051</v>
      </c>
      <c r="AK31" s="19">
        <f t="shared" si="22"/>
        <v>432180.46570765792</v>
      </c>
      <c r="AL31" s="19">
        <f t="shared" si="23"/>
        <v>464318.75812348991</v>
      </c>
      <c r="AM31" s="19">
        <f t="shared" si="24"/>
        <v>44633.333333333328</v>
      </c>
      <c r="AN31" s="19">
        <f t="shared" si="25"/>
        <v>46124.082977162943</v>
      </c>
      <c r="AO31" s="19">
        <f t="shared" si="26"/>
        <v>48375.089316844787</v>
      </c>
      <c r="AP31" s="19">
        <f t="shared" si="27"/>
        <v>51607.671749637157</v>
      </c>
      <c r="AQ31" s="19">
        <f t="shared" si="28"/>
        <v>54475.861784499844</v>
      </c>
      <c r="AW31" s="19">
        <v>27</v>
      </c>
      <c r="AX31" s="27"/>
      <c r="AY31" s="19">
        <f t="shared" si="33"/>
        <v>29.285714285714299</v>
      </c>
      <c r="AZ31" s="19">
        <v>20</v>
      </c>
      <c r="BA31" s="19">
        <v>600</v>
      </c>
      <c r="BB31" s="19">
        <v>24000</v>
      </c>
      <c r="BC31" s="19">
        <f>SUM(AZ$5:AZ31)</f>
        <v>355</v>
      </c>
      <c r="BD31" s="19">
        <f>SUM(BA$5:BA31)</f>
        <v>12000</v>
      </c>
      <c r="BE31" s="19">
        <f>SUM(BB$5:BB31)</f>
        <v>369000</v>
      </c>
    </row>
    <row r="32" spans="12:76" x14ac:dyDescent="0.15">
      <c r="L32" s="19">
        <v>28</v>
      </c>
      <c r="M32" s="19">
        <f t="shared" si="1"/>
        <v>1443.6666666666663</v>
      </c>
      <c r="N32" s="19">
        <f t="shared" si="2"/>
        <v>15599.999999999991</v>
      </c>
      <c r="O32" s="19">
        <f t="shared" si="3"/>
        <v>347399.99999999959</v>
      </c>
      <c r="P32" s="19">
        <f t="shared" si="4"/>
        <v>46866.666666666664</v>
      </c>
      <c r="R32" s="19">
        <v>28</v>
      </c>
      <c r="S32" s="19">
        <f>求节点(其他调用!C$4:C$163,其他调用!$B$4:$B$163,其他调用!$C31)</f>
        <v>28</v>
      </c>
      <c r="T32" s="19">
        <f>求节点(其他调用!D$4:D$163,其他调用!$B$4:$B$163,其他调用!$C31)</f>
        <v>27.314087481278836</v>
      </c>
      <c r="U32" s="19">
        <f>求节点(其他调用!E$4:E$163,其他调用!$B$4:$B$163,其他调用!$C31)</f>
        <v>26.302246496024633</v>
      </c>
      <c r="V32" s="19">
        <f>求节点(其他调用!F$4:F$163,其他调用!$B$4:$B$163,其他调用!$C31)</f>
        <v>24.890823818519127</v>
      </c>
      <c r="W32" s="19">
        <f>求节点(其他调用!G$4:G$163,其他调用!$B$4:$B$163,其他调用!$C31)</f>
        <v>23.771674523544078</v>
      </c>
      <c r="X32" s="19">
        <f t="shared" si="9"/>
        <v>1443.6666666666663</v>
      </c>
      <c r="Y32" s="19">
        <f t="shared" si="10"/>
        <v>1514.2921667632186</v>
      </c>
      <c r="Z32" s="19">
        <f t="shared" si="11"/>
        <v>1635.6927781270704</v>
      </c>
      <c r="AA32" s="19">
        <f t="shared" si="12"/>
        <v>1860.8024101748101</v>
      </c>
      <c r="AB32" s="19">
        <f t="shared" si="13"/>
        <v>2052.1916701230402</v>
      </c>
      <c r="AC32" s="19">
        <f t="shared" si="14"/>
        <v>15599.999999999991</v>
      </c>
      <c r="AD32" s="19">
        <f t="shared" si="15"/>
        <v>16428.181760089854</v>
      </c>
      <c r="AE32" s="19">
        <f t="shared" si="16"/>
        <v>18427.667308790973</v>
      </c>
      <c r="AF32" s="19">
        <f t="shared" si="17"/>
        <v>20775.434323677135</v>
      </c>
      <c r="AG32" s="19">
        <f t="shared" si="18"/>
        <v>22658.575309947086</v>
      </c>
      <c r="AH32" s="19">
        <f t="shared" si="19"/>
        <v>347399.99999999959</v>
      </c>
      <c r="AI32" s="19">
        <f t="shared" si="20"/>
        <v>371417.27104260563</v>
      </c>
      <c r="AJ32" s="19">
        <f t="shared" si="21"/>
        <v>416512.98650964751</v>
      </c>
      <c r="AK32" s="19">
        <f t="shared" si="22"/>
        <v>464114.71230718325</v>
      </c>
      <c r="AL32" s="19">
        <f t="shared" si="23"/>
        <v>498348.99525273516</v>
      </c>
      <c r="AM32" s="19">
        <f t="shared" si="24"/>
        <v>46866.666666666664</v>
      </c>
      <c r="AN32" s="19">
        <f t="shared" si="25"/>
        <v>48408.004942389467</v>
      </c>
      <c r="AO32" s="19">
        <f t="shared" si="26"/>
        <v>50737.443088423352</v>
      </c>
      <c r="AP32" s="19">
        <f t="shared" si="27"/>
        <v>54455.387799530305</v>
      </c>
      <c r="AQ32" s="19">
        <f t="shared" si="28"/>
        <v>57567.746885124834</v>
      </c>
      <c r="AW32" s="19">
        <v>28</v>
      </c>
      <c r="AX32" s="27"/>
      <c r="AY32" s="22">
        <f>G4</f>
        <v>30</v>
      </c>
      <c r="AZ32" s="19">
        <v>40</v>
      </c>
      <c r="BA32" s="19">
        <v>1620</v>
      </c>
      <c r="BB32" s="19">
        <v>36000</v>
      </c>
      <c r="BC32" s="19">
        <f>SUM(AZ$5:AZ32)</f>
        <v>395</v>
      </c>
      <c r="BD32" s="19">
        <f>SUM(BA$5:BA32)</f>
        <v>13620</v>
      </c>
      <c r="BE32" s="19">
        <f>SUM(BB$5:BB32)</f>
        <v>405000</v>
      </c>
    </row>
    <row r="33" spans="12:57" x14ac:dyDescent="0.15">
      <c r="L33" s="19">
        <v>29</v>
      </c>
      <c r="M33" s="19">
        <f t="shared" si="1"/>
        <v>1545.9999999999995</v>
      </c>
      <c r="N33" s="19">
        <f t="shared" si="2"/>
        <v>16799.999999999989</v>
      </c>
      <c r="O33" s="19">
        <f t="shared" si="3"/>
        <v>382199.99999999959</v>
      </c>
      <c r="P33" s="19">
        <f t="shared" si="4"/>
        <v>49100</v>
      </c>
      <c r="R33" s="19">
        <v>29</v>
      </c>
      <c r="S33" s="19">
        <f>求节点(其他调用!C$4:C$163,其他调用!$B$4:$B$163,其他调用!$C32)</f>
        <v>29</v>
      </c>
      <c r="T33" s="19">
        <f>求节点(其他调用!D$4:D$163,其他调用!$B$4:$B$163,其他调用!$C32)</f>
        <v>28.307945426636248</v>
      </c>
      <c r="U33" s="19">
        <f>求节点(其他调用!E$4:E$163,其他调用!$B$4:$B$163,其他调用!$C32)</f>
        <v>27.335323106677691</v>
      </c>
      <c r="V33" s="19">
        <f>求节点(其他调用!F$4:F$163,其他调用!$B$4:$B$163,其他调用!$C32)</f>
        <v>25.896346770322566</v>
      </c>
      <c r="W33" s="19">
        <f>求节点(其他调用!G$4:G$163,其他调用!$B$4:$B$163,其他调用!$C32)</f>
        <v>24.717347184926304</v>
      </c>
      <c r="X33" s="19">
        <f t="shared" si="9"/>
        <v>1545.9999999999995</v>
      </c>
      <c r="Y33" s="19">
        <f t="shared" si="10"/>
        <v>1640.2800357729843</v>
      </c>
      <c r="Z33" s="19">
        <f t="shared" si="11"/>
        <v>1798.6012833752395</v>
      </c>
      <c r="AA33" s="19">
        <f t="shared" si="12"/>
        <v>2055.6683465534247</v>
      </c>
      <c r="AB33" s="19">
        <f t="shared" si="13"/>
        <v>2253.9970380176419</v>
      </c>
      <c r="AC33" s="19">
        <f t="shared" si="14"/>
        <v>16799.999999999989</v>
      </c>
      <c r="AD33" s="19">
        <f t="shared" si="15"/>
        <v>18510.912910757695</v>
      </c>
      <c r="AE33" s="19">
        <f t="shared" si="16"/>
        <v>20214.896155452883</v>
      </c>
      <c r="AF33" s="19">
        <f t="shared" si="17"/>
        <v>22697.007700487309</v>
      </c>
      <c r="AG33" s="19">
        <f t="shared" si="18"/>
        <v>24779.531545595917</v>
      </c>
      <c r="AH33" s="19">
        <f t="shared" si="19"/>
        <v>382199.99999999959</v>
      </c>
      <c r="AI33" s="19">
        <f t="shared" si="20"/>
        <v>418267.89379435137</v>
      </c>
      <c r="AJ33" s="19">
        <f t="shared" si="21"/>
        <v>453411.85693935986</v>
      </c>
      <c r="AK33" s="19">
        <f t="shared" si="22"/>
        <v>499040.551542692</v>
      </c>
      <c r="AL33" s="19">
        <f t="shared" si="23"/>
        <v>532319.77542964229</v>
      </c>
      <c r="AM33" s="19">
        <f t="shared" si="24"/>
        <v>49100</v>
      </c>
      <c r="AN33" s="19">
        <f t="shared" si="25"/>
        <v>50821.188663975459</v>
      </c>
      <c r="AO33" s="19">
        <f t="shared" si="26"/>
        <v>53439.034443599761</v>
      </c>
      <c r="AP33" s="19">
        <f t="shared" si="27"/>
        <v>57623.487077894577</v>
      </c>
      <c r="AQ33" s="19">
        <f t="shared" si="28"/>
        <v>60873.82731546092</v>
      </c>
      <c r="AW33" s="19">
        <v>29</v>
      </c>
      <c r="AX33" s="27" t="s">
        <v>82</v>
      </c>
      <c r="AY33" s="19">
        <f>($AY$46-$AY$32)/($AW$46-$AW$32)+AY32</f>
        <v>30.571428571428573</v>
      </c>
      <c r="AZ33" s="19">
        <v>15</v>
      </c>
      <c r="BA33" s="19">
        <v>360</v>
      </c>
      <c r="BB33" s="19">
        <v>12000</v>
      </c>
      <c r="BC33" s="19">
        <f>SUM(AZ$5:AZ33)</f>
        <v>410</v>
      </c>
      <c r="BD33" s="19">
        <f>SUM(BA$5:BA33)</f>
        <v>13980</v>
      </c>
      <c r="BE33" s="19">
        <f>SUM(BB$5:BB33)</f>
        <v>417000</v>
      </c>
    </row>
    <row r="34" spans="12:57" x14ac:dyDescent="0.15">
      <c r="L34" s="19">
        <v>30</v>
      </c>
      <c r="M34" s="19">
        <f t="shared" si="1"/>
        <v>1668.3333333333335</v>
      </c>
      <c r="N34" s="19">
        <f t="shared" si="2"/>
        <v>19020</v>
      </c>
      <c r="O34" s="19">
        <f t="shared" si="3"/>
        <v>429000</v>
      </c>
      <c r="P34" s="19">
        <f t="shared" si="4"/>
        <v>51333.333333333328</v>
      </c>
      <c r="R34" s="19">
        <v>30</v>
      </c>
      <c r="S34" s="19">
        <f>求节点(其他调用!C$4:C$163,其他调用!$B$4:$B$163,其他调用!$C33)</f>
        <v>30</v>
      </c>
      <c r="T34" s="19">
        <f>求节点(其他调用!D$4:D$163,其他调用!$B$4:$B$163,其他调用!$C33)</f>
        <v>29.205922841621756</v>
      </c>
      <c r="U34" s="19">
        <f>求节点(其他调用!E$4:E$163,其他调用!$B$4:$B$163,其他调用!$C33)</f>
        <v>28.241885949837318</v>
      </c>
      <c r="V34" s="19">
        <f>求节点(其他调用!F$4:F$163,其他调用!$B$4:$B$163,其他调用!$C33)</f>
        <v>26.90085434657415</v>
      </c>
      <c r="W34" s="19">
        <f>求节点(其他调用!G$4:G$163,其他调用!$B$4:$B$163,其他调用!$C33)</f>
        <v>25.664626885943445</v>
      </c>
      <c r="X34" s="19">
        <f t="shared" si="9"/>
        <v>1668.3333333333335</v>
      </c>
      <c r="Y34" s="19">
        <f t="shared" si="10"/>
        <v>1788.4352308564232</v>
      </c>
      <c r="Z34" s="19">
        <f t="shared" si="11"/>
        <v>1968.3155143995832</v>
      </c>
      <c r="AA34" s="19">
        <f t="shared" si="12"/>
        <v>2251.9203272336572</v>
      </c>
      <c r="AB34" s="19">
        <f t="shared" si="13"/>
        <v>2457.961722706506</v>
      </c>
      <c r="AC34" s="19">
        <f t="shared" si="14"/>
        <v>19020</v>
      </c>
      <c r="AD34" s="19">
        <f t="shared" si="15"/>
        <v>20121.64699426659</v>
      </c>
      <c r="AE34" s="19">
        <f t="shared" si="16"/>
        <v>21734.966317928312</v>
      </c>
      <c r="AF34" s="19">
        <f t="shared" si="17"/>
        <v>24758.321095004434</v>
      </c>
      <c r="AG34" s="19">
        <f t="shared" si="18"/>
        <v>27578.169402724503</v>
      </c>
      <c r="AH34" s="19">
        <f t="shared" si="19"/>
        <v>429000</v>
      </c>
      <c r="AI34" s="19">
        <f t="shared" si="20"/>
        <v>451506.76654953242</v>
      </c>
      <c r="AJ34" s="19">
        <f t="shared" si="21"/>
        <v>481724.10096572549</v>
      </c>
      <c r="AK34" s="19">
        <f t="shared" si="22"/>
        <v>532004.76873768959</v>
      </c>
      <c r="AL34" s="19">
        <f t="shared" si="23"/>
        <v>590047.87678722851</v>
      </c>
      <c r="AM34" s="19">
        <f t="shared" si="24"/>
        <v>51333.333333333328</v>
      </c>
      <c r="AN34" s="19">
        <f t="shared" si="25"/>
        <v>53274.706471377802</v>
      </c>
      <c r="AO34" s="19">
        <f t="shared" si="26"/>
        <v>56222.316253363628</v>
      </c>
      <c r="AP34" s="19">
        <f t="shared" si="27"/>
        <v>60839.409917636454</v>
      </c>
      <c r="AQ34" s="19">
        <f t="shared" si="28"/>
        <v>67933.740087351325</v>
      </c>
      <c r="AW34" s="19">
        <v>30</v>
      </c>
      <c r="AX34" s="27"/>
      <c r="AY34" s="19">
        <f t="shared" ref="AY34:AY45" si="35">($AY$46-$AY$32)/($AW$46-$AW$32)+AY33</f>
        <v>31.142857142857146</v>
      </c>
      <c r="AZ34" s="19">
        <v>20</v>
      </c>
      <c r="BA34" s="19">
        <v>480</v>
      </c>
      <c r="BB34" s="19">
        <v>20000</v>
      </c>
      <c r="BC34" s="19">
        <f>SUM(AZ$5:AZ34)</f>
        <v>430</v>
      </c>
      <c r="BD34" s="19">
        <f>SUM(BA$5:BA34)</f>
        <v>14460</v>
      </c>
      <c r="BE34" s="19">
        <f>SUM(BB$5:BB34)</f>
        <v>437000</v>
      </c>
    </row>
    <row r="35" spans="12:57" x14ac:dyDescent="0.15">
      <c r="L35" s="19">
        <v>31</v>
      </c>
      <c r="M35" s="19">
        <f t="shared" si="1"/>
        <v>1820.4166666666665</v>
      </c>
      <c r="N35" s="19">
        <f t="shared" si="2"/>
        <v>20415</v>
      </c>
      <c r="O35" s="19">
        <f t="shared" si="3"/>
        <v>457499.99999999988</v>
      </c>
      <c r="P35" s="19">
        <f t="shared" si="4"/>
        <v>53791.666666666664</v>
      </c>
      <c r="R35" s="19">
        <v>31</v>
      </c>
      <c r="S35" s="19">
        <f>求节点(其他调用!C$4:C$163,其他调用!$B$4:$B$163,其他调用!$C34)</f>
        <v>31</v>
      </c>
      <c r="T35" s="19">
        <f>求节点(其他调用!D$4:D$163,其他调用!$B$4:$B$163,其他调用!$C34)</f>
        <v>30.211451510698836</v>
      </c>
      <c r="U35" s="19">
        <f>求节点(其他调用!E$4:E$163,其他调用!$B$4:$B$163,其他调用!$C34)</f>
        <v>29.126957924628389</v>
      </c>
      <c r="V35" s="19">
        <f>求节点(其他调用!F$4:F$163,其他调用!$B$4:$B$163,其他调用!$C34)</f>
        <v>27.789293770974517</v>
      </c>
      <c r="W35" s="19">
        <f>求节点(其他调用!G$4:G$163,其他调用!$B$4:$B$163,其他调用!$C34)</f>
        <v>26.769962028843818</v>
      </c>
      <c r="X35" s="19">
        <f t="shared" si="9"/>
        <v>1820.4166666666665</v>
      </c>
      <c r="Y35" s="19">
        <f t="shared" si="10"/>
        <v>1950.2216028813143</v>
      </c>
      <c r="Z35" s="19">
        <f t="shared" si="11"/>
        <v>2163.9459983925176</v>
      </c>
      <c r="AA35" s="19">
        <f t="shared" si="12"/>
        <v>2464.8268821203283</v>
      </c>
      <c r="AB35" s="19">
        <f t="shared" si="13"/>
        <v>2723.1474173923471</v>
      </c>
      <c r="AC35" s="19">
        <f t="shared" si="14"/>
        <v>20415</v>
      </c>
      <c r="AD35" s="19">
        <f t="shared" si="15"/>
        <v>21573.481937692843</v>
      </c>
      <c r="AE35" s="19">
        <f t="shared" si="16"/>
        <v>23859.796770098859</v>
      </c>
      <c r="AF35" s="19">
        <f t="shared" si="17"/>
        <v>27645.478065173007</v>
      </c>
      <c r="AG35" s="19">
        <f t="shared" si="18"/>
        <v>30470.03115145642</v>
      </c>
      <c r="AH35" s="19">
        <f t="shared" si="19"/>
        <v>457499.99999999988</v>
      </c>
      <c r="AI35" s="19">
        <f t="shared" si="20"/>
        <v>478760.52994267753</v>
      </c>
      <c r="AJ35" s="19">
        <f t="shared" si="21"/>
        <v>518660.34807077516</v>
      </c>
      <c r="AK35" s="19">
        <f t="shared" si="22"/>
        <v>591411.64707213279</v>
      </c>
      <c r="AL35" s="19">
        <f t="shared" si="23"/>
        <v>653141.8878587198</v>
      </c>
      <c r="AM35" s="19">
        <f t="shared" si="24"/>
        <v>53791.666666666664</v>
      </c>
      <c r="AN35" s="19">
        <f t="shared" si="25"/>
        <v>55924.951133704053</v>
      </c>
      <c r="AO35" s="19">
        <f t="shared" si="26"/>
        <v>59381.408400325432</v>
      </c>
      <c r="AP35" s="19">
        <f t="shared" si="27"/>
        <v>68831.150330006931</v>
      </c>
      <c r="AQ35" s="19">
        <f t="shared" si="28"/>
        <v>95241.15488980891</v>
      </c>
      <c r="AW35" s="19">
        <v>31</v>
      </c>
      <c r="AX35" s="27"/>
      <c r="AY35" s="19">
        <f t="shared" si="35"/>
        <v>31.714285714285719</v>
      </c>
      <c r="AZ35" s="19">
        <v>15</v>
      </c>
      <c r="BA35" s="19">
        <v>360</v>
      </c>
      <c r="BB35" s="19">
        <v>12000</v>
      </c>
      <c r="BC35" s="19">
        <f>SUM(AZ$5:AZ35)</f>
        <v>445</v>
      </c>
      <c r="BD35" s="19">
        <f>SUM(BA$5:BA35)</f>
        <v>14820</v>
      </c>
      <c r="BE35" s="19">
        <f>SUM(BB$5:BB35)</f>
        <v>449000</v>
      </c>
    </row>
    <row r="36" spans="12:57" x14ac:dyDescent="0.15">
      <c r="L36" s="19">
        <v>32</v>
      </c>
      <c r="M36" s="19">
        <f t="shared" si="1"/>
        <v>1970</v>
      </c>
      <c r="N36" s="19">
        <f t="shared" si="2"/>
        <v>21749.999999999996</v>
      </c>
      <c r="O36" s="19">
        <f t="shared" si="3"/>
        <v>481999.99999999988</v>
      </c>
      <c r="P36" s="19">
        <f t="shared" si="4"/>
        <v>56250</v>
      </c>
      <c r="R36" s="19">
        <v>32</v>
      </c>
      <c r="S36" s="19">
        <f>求节点(其他调用!C$4:C$163,其他调用!$B$4:$B$163,其他调用!$C35)</f>
        <v>32</v>
      </c>
      <c r="T36" s="19">
        <f>求节点(其他调用!D$4:D$163,其他调用!$B$4:$B$163,其他调用!$C35)</f>
        <v>31.120151248662438</v>
      </c>
      <c r="U36" s="19">
        <f>求节点(其他调用!E$4:E$163,其他调用!$B$4:$B$163,其他调用!$C35)</f>
        <v>30.009943463570298</v>
      </c>
      <c r="V36" s="19">
        <f>求节点(其他调用!F$4:F$163,其他调用!$B$4:$B$163,其他调用!$C35)</f>
        <v>28.569721153359421</v>
      </c>
      <c r="W36" s="19">
        <f>求节点(其他调用!G$4:G$163,其他调用!$B$4:$B$163,其他调用!$C35)</f>
        <v>27.596495275992034</v>
      </c>
      <c r="X36" s="19">
        <f t="shared" si="9"/>
        <v>1970</v>
      </c>
      <c r="Y36" s="19">
        <f t="shared" si="10"/>
        <v>2117.9773960043653</v>
      </c>
      <c r="Z36" s="19">
        <f t="shared" si="11"/>
        <v>2349.5262740496673</v>
      </c>
      <c r="AA36" s="19">
        <f t="shared" si="12"/>
        <v>2721.3589056350311</v>
      </c>
      <c r="AB36" s="19">
        <f t="shared" si="13"/>
        <v>2948.3833584438585</v>
      </c>
      <c r="AC36" s="19">
        <f t="shared" si="14"/>
        <v>21749.999999999996</v>
      </c>
      <c r="AD36" s="19">
        <f t="shared" si="15"/>
        <v>23385.793605830862</v>
      </c>
      <c r="AE36" s="19">
        <f t="shared" si="16"/>
        <v>26125.355210504265</v>
      </c>
      <c r="AF36" s="19">
        <f t="shared" si="17"/>
        <v>30444.347901476172</v>
      </c>
      <c r="AG36" s="19">
        <f t="shared" si="18"/>
        <v>34134.81731144066</v>
      </c>
      <c r="AH36" s="19">
        <f t="shared" si="19"/>
        <v>481999.99999999988</v>
      </c>
      <c r="AI36" s="19">
        <f t="shared" si="20"/>
        <v>511434.63420521613</v>
      </c>
      <c r="AJ36" s="19">
        <f t="shared" si="21"/>
        <v>559627.33233527537</v>
      </c>
      <c r="AK36" s="19">
        <f t="shared" si="22"/>
        <v>652495.86746044364</v>
      </c>
      <c r="AL36" s="19">
        <f t="shared" si="23"/>
        <v>736890.06418207474</v>
      </c>
      <c r="AM36" s="19">
        <f t="shared" si="24"/>
        <v>56250</v>
      </c>
      <c r="AN36" s="19">
        <f t="shared" si="25"/>
        <v>58622.463685939554</v>
      </c>
      <c r="AO36" s="19">
        <f t="shared" si="26"/>
        <v>62414.959285035431</v>
      </c>
      <c r="AP36" s="19">
        <f t="shared" si="27"/>
        <v>95212.751553941183</v>
      </c>
      <c r="AQ36" s="19">
        <f t="shared" si="28"/>
        <v>98597.459396601567</v>
      </c>
      <c r="AW36" s="19">
        <v>32</v>
      </c>
      <c r="AX36" s="27"/>
      <c r="AY36" s="19">
        <f t="shared" si="35"/>
        <v>32.285714285714292</v>
      </c>
      <c r="AZ36" s="19">
        <v>15</v>
      </c>
      <c r="BA36" s="19">
        <v>360</v>
      </c>
      <c r="BB36" s="19">
        <v>12000</v>
      </c>
      <c r="BC36" s="19">
        <f>SUM(AZ$5:AZ36)</f>
        <v>460</v>
      </c>
      <c r="BD36" s="19">
        <f>SUM(BA$5:BA36)</f>
        <v>15180</v>
      </c>
      <c r="BE36" s="19">
        <f>SUM(BB$5:BB36)</f>
        <v>461000</v>
      </c>
    </row>
    <row r="37" spans="12:57" x14ac:dyDescent="0.15">
      <c r="L37" s="19">
        <v>33</v>
      </c>
      <c r="M37" s="19">
        <f t="shared" ref="M37:M68" si="36">求节点($AY$5:$AY$46,BC$5:BC$46,$L37)+求节点($BK$5:$BK$10,$BN$5:$BN$10,$L37)+求节点($BT$21:$BT$23,$BU$21:$BU$23,$L37)*240+求节点($BT$21:$BT$23,$BV$21:$BV$23,$L37)+求节点($CC$5:$CC$7,$CF$5:$CF$7,$L37)*240</f>
        <v>2123.333333333333</v>
      </c>
      <c r="N37" s="19">
        <f t="shared" ref="N37:N68" si="37">求节点($AY$5:$AY$46,BD$5:BD$46,$L37)+求节点($CC$5:$CC$7,$CG$5:$CG$7,$L37)</f>
        <v>23444.999999999996</v>
      </c>
      <c r="O37" s="19">
        <f t="shared" ref="O37:O68" si="38">求节点($AY$5:$AY$46,BE$5:BE$46,$L37)+求节点($BT$21:$BT$23,$BW$21:$BW$23,$L37)</f>
        <v>512499.99999999994</v>
      </c>
      <c r="P37" s="19">
        <f t="shared" ref="P37:P68" si="39">求节点($BK$5:$BK$10,$BO$5:$BO$10,$L37)+求节点($BT$21:$BT$23,$BX$21:$BX$23,$L37)</f>
        <v>58708.333333333328</v>
      </c>
      <c r="R37" s="19">
        <v>33</v>
      </c>
      <c r="S37" s="19">
        <f>求节点(其他调用!C$4:C$163,其他调用!$B$4:$B$163,其他调用!$C36)</f>
        <v>33</v>
      </c>
      <c r="T37" s="19">
        <f>求节点(其他调用!D$4:D$163,其他调用!$B$4:$B$163,其他调用!$C36)</f>
        <v>32.031845504099799</v>
      </c>
      <c r="U37" s="19">
        <f>求节点(其他调用!E$4:E$163,其他调用!$B$4:$B$163,其他调用!$C36)</f>
        <v>30.787262409207109</v>
      </c>
      <c r="V37" s="19">
        <f>求节点(其他调用!F$4:F$163,其他调用!$B$4:$B$163,其他调用!$C36)</f>
        <v>29.339854959748202</v>
      </c>
      <c r="W37" s="19">
        <f>求节点(其他调用!G$4:G$163,其他调用!$B$4:$B$163,其他调用!$C36)</f>
        <v>28.349256769404541</v>
      </c>
      <c r="X37" s="19">
        <f t="shared" si="9"/>
        <v>2123.333333333333</v>
      </c>
      <c r="Y37" s="19">
        <f t="shared" si="10"/>
        <v>2281.1331078213561</v>
      </c>
      <c r="Z37" s="19">
        <f t="shared" si="11"/>
        <v>2566.958326801795</v>
      </c>
      <c r="AA37" s="19">
        <f t="shared" si="12"/>
        <v>2933.8791978311738</v>
      </c>
      <c r="AB37" s="19">
        <f t="shared" si="13"/>
        <v>3153.4314235889533</v>
      </c>
      <c r="AC37" s="19">
        <f t="shared" si="14"/>
        <v>23444.999999999996</v>
      </c>
      <c r="AD37" s="19">
        <f t="shared" si="15"/>
        <v>25101.687929021824</v>
      </c>
      <c r="AE37" s="19">
        <f t="shared" si="16"/>
        <v>28646.814016906646</v>
      </c>
      <c r="AF37" s="19">
        <f t="shared" si="17"/>
        <v>33874.098836645819</v>
      </c>
      <c r="AG37" s="19">
        <f t="shared" si="18"/>
        <v>35460</v>
      </c>
      <c r="AH37" s="19">
        <f t="shared" si="19"/>
        <v>512499.99999999994</v>
      </c>
      <c r="AI37" s="19">
        <f t="shared" si="20"/>
        <v>537994.27649566822</v>
      </c>
      <c r="AJ37" s="19">
        <f t="shared" si="21"/>
        <v>611700.15328372957</v>
      </c>
      <c r="AK37" s="19">
        <f t="shared" si="22"/>
        <v>731359.67229248723</v>
      </c>
      <c r="AL37" s="19">
        <f t="shared" si="23"/>
        <v>765000</v>
      </c>
      <c r="AM37" s="19">
        <f t="shared" si="24"/>
        <v>58708.333333333328</v>
      </c>
      <c r="AN37" s="19">
        <f t="shared" si="25"/>
        <v>61318.438413440221</v>
      </c>
      <c r="AO37" s="19">
        <f t="shared" si="26"/>
        <v>82181.722258435853</v>
      </c>
      <c r="AP37" s="19">
        <f t="shared" si="27"/>
        <v>98394.005129986777</v>
      </c>
      <c r="AQ37" s="19">
        <f t="shared" si="28"/>
        <v>139029.427076686</v>
      </c>
      <c r="AW37" s="19">
        <v>33</v>
      </c>
      <c r="AX37" s="27"/>
      <c r="AY37" s="19">
        <f t="shared" si="35"/>
        <v>32.857142857142861</v>
      </c>
      <c r="AZ37" s="19">
        <v>20</v>
      </c>
      <c r="BA37" s="19">
        <v>720</v>
      </c>
      <c r="BB37" s="19">
        <v>20000</v>
      </c>
      <c r="BC37" s="19">
        <f>SUM(AZ$5:AZ37)</f>
        <v>480</v>
      </c>
      <c r="BD37" s="19">
        <f>SUM(BA$5:BA37)</f>
        <v>15900</v>
      </c>
      <c r="BE37" s="19">
        <f>SUM(BB$5:BB37)</f>
        <v>481000</v>
      </c>
    </row>
    <row r="38" spans="12:57" x14ac:dyDescent="0.15">
      <c r="L38" s="19">
        <v>34</v>
      </c>
      <c r="M38" s="19">
        <f t="shared" si="36"/>
        <v>2271.6666666666665</v>
      </c>
      <c r="N38" s="19">
        <f t="shared" si="37"/>
        <v>24960</v>
      </c>
      <c r="O38" s="19">
        <f t="shared" si="38"/>
        <v>535000</v>
      </c>
      <c r="P38" s="19">
        <f t="shared" si="39"/>
        <v>61166.666666666664</v>
      </c>
      <c r="R38" s="19">
        <v>34</v>
      </c>
      <c r="S38" s="19">
        <f>求节点(其他调用!C$4:C$163,其他调用!$B$4:$B$163,其他调用!$C37)</f>
        <v>34</v>
      </c>
      <c r="T38" s="19">
        <f>求节点(其他调用!D$4:D$163,其他调用!$B$4:$B$163,其他调用!$C37)</f>
        <v>32.939252047255408</v>
      </c>
      <c r="U38" s="19">
        <f>求节点(其他调用!E$4:E$163,其他调用!$B$4:$B$163,其他调用!$C37)</f>
        <v>31.564263276341183</v>
      </c>
      <c r="V38" s="19">
        <f>求节点(其他调用!F$4:F$163,其他调用!$B$4:$B$163,其他调用!$C37)</f>
        <v>30.101374545313146</v>
      </c>
      <c r="W38" s="19">
        <f>求节点(其他调用!G$4:G$163,其他调用!$B$4:$B$163,其他调用!$C37)</f>
        <v>29.087999886871945</v>
      </c>
      <c r="X38" s="19">
        <f t="shared" si="9"/>
        <v>2271.6666666666665</v>
      </c>
      <c r="Y38" s="19">
        <f t="shared" si="10"/>
        <v>2441.7791710689253</v>
      </c>
      <c r="Z38" s="19">
        <f t="shared" si="11"/>
        <v>2765.1254501524127</v>
      </c>
      <c r="AA38" s="19">
        <f t="shared" si="12"/>
        <v>3122.9918128875297</v>
      </c>
      <c r="AB38" s="19">
        <f t="shared" si="13"/>
        <v>3180</v>
      </c>
      <c r="AC38" s="19">
        <f t="shared" si="14"/>
        <v>24960</v>
      </c>
      <c r="AD38" s="19">
        <f t="shared" si="15"/>
        <v>27419.509444510513</v>
      </c>
      <c r="AE38" s="19">
        <f t="shared" si="16"/>
        <v>31072.840892374148</v>
      </c>
      <c r="AF38" s="19">
        <f t="shared" si="17"/>
        <v>35460</v>
      </c>
      <c r="AG38" s="19">
        <f t="shared" si="18"/>
        <v>35460</v>
      </c>
      <c r="AH38" s="19">
        <f t="shared" si="19"/>
        <v>535000</v>
      </c>
      <c r="AI38" s="19">
        <f t="shared" si="20"/>
        <v>586833.19789531105</v>
      </c>
      <c r="AJ38" s="19">
        <f t="shared" si="21"/>
        <v>668304.5868633989</v>
      </c>
      <c r="AK38" s="19">
        <f t="shared" si="22"/>
        <v>765000</v>
      </c>
      <c r="AL38" s="19">
        <f t="shared" si="23"/>
        <v>765000</v>
      </c>
      <c r="AM38" s="19">
        <f t="shared" si="24"/>
        <v>61166.666666666664</v>
      </c>
      <c r="AN38" s="19">
        <f t="shared" si="25"/>
        <v>65818.364942146465</v>
      </c>
      <c r="AO38" s="19">
        <f t="shared" si="26"/>
        <v>95907.80757390424</v>
      </c>
      <c r="AP38" s="19">
        <f t="shared" si="27"/>
        <v>129897.54386625881</v>
      </c>
      <c r="AQ38" s="19">
        <f t="shared" si="28"/>
        <v>147000</v>
      </c>
      <c r="AW38" s="19">
        <v>34</v>
      </c>
      <c r="AX38" s="27"/>
      <c r="AY38" s="19">
        <f t="shared" si="35"/>
        <v>33.428571428571431</v>
      </c>
      <c r="AZ38" s="19">
        <v>15</v>
      </c>
      <c r="BA38" s="19">
        <v>480</v>
      </c>
      <c r="BB38" s="19">
        <v>12000</v>
      </c>
      <c r="BC38" s="19">
        <f>SUM(AZ$5:AZ38)</f>
        <v>495</v>
      </c>
      <c r="BD38" s="19">
        <f>SUM(BA$5:BA38)</f>
        <v>16380</v>
      </c>
      <c r="BE38" s="19">
        <f>SUM(BB$5:BB38)</f>
        <v>493000</v>
      </c>
    </row>
    <row r="39" spans="12:57" x14ac:dyDescent="0.15">
      <c r="L39" s="19">
        <v>35</v>
      </c>
      <c r="M39" s="19">
        <f t="shared" si="36"/>
        <v>2425</v>
      </c>
      <c r="N39" s="19">
        <f t="shared" si="37"/>
        <v>27255.000000000004</v>
      </c>
      <c r="O39" s="19">
        <f t="shared" si="38"/>
        <v>583500.00000000012</v>
      </c>
      <c r="P39" s="19">
        <f t="shared" si="39"/>
        <v>63625</v>
      </c>
      <c r="R39" s="19">
        <v>35</v>
      </c>
      <c r="S39" s="19">
        <f>求节点(其他调用!C$4:C$163,其他调用!$B$4:$B$163,其他调用!$C38)</f>
        <v>35</v>
      </c>
      <c r="T39" s="19">
        <f>求节点(其他调用!D$4:D$163,其他调用!$B$4:$B$163,其他调用!$C38)</f>
        <v>33.923221200530023</v>
      </c>
      <c r="U39" s="19">
        <f>求节点(其他调用!E$4:E$163,其他调用!$B$4:$B$163,其他调用!$C38)</f>
        <v>32.422384278232329</v>
      </c>
      <c r="V39" s="19">
        <f>求节点(其他调用!F$4:F$163,其他调用!$B$4:$B$163,其他调用!$C38)</f>
        <v>30.857815387160333</v>
      </c>
      <c r="W39" s="19">
        <f>求节点(其他调用!G$4:G$163,其他调用!$B$4:$B$163,其他调用!$C38)</f>
        <v>29.885710200665741</v>
      </c>
      <c r="X39" s="19">
        <f t="shared" si="9"/>
        <v>2425</v>
      </c>
      <c r="Y39" s="19">
        <f t="shared" si="10"/>
        <v>2660.0015626644913</v>
      </c>
      <c r="Z39" s="19">
        <f t="shared" si="11"/>
        <v>2936.7589398124851</v>
      </c>
      <c r="AA39" s="19">
        <f t="shared" si="12"/>
        <v>3180</v>
      </c>
      <c r="AB39" s="19">
        <f t="shared" si="13"/>
        <v>3180</v>
      </c>
      <c r="AC39" s="19">
        <f t="shared" si="14"/>
        <v>27255.000000000004</v>
      </c>
      <c r="AD39" s="19">
        <f t="shared" si="15"/>
        <v>29563.248869730756</v>
      </c>
      <c r="AE39" s="19">
        <f t="shared" si="16"/>
        <v>33925.863427318756</v>
      </c>
      <c r="AF39" s="19">
        <f t="shared" si="17"/>
        <v>35460</v>
      </c>
      <c r="AG39" s="19">
        <f t="shared" si="18"/>
        <v>35460</v>
      </c>
      <c r="AH39" s="19">
        <f t="shared" si="19"/>
        <v>583500.00000000012</v>
      </c>
      <c r="AI39" s="19">
        <f t="shared" si="20"/>
        <v>630333.25377850374</v>
      </c>
      <c r="AJ39" s="19">
        <f t="shared" si="21"/>
        <v>732457.70906433731</v>
      </c>
      <c r="AK39" s="19">
        <f t="shared" si="22"/>
        <v>765000</v>
      </c>
      <c r="AL39" s="19">
        <f t="shared" si="23"/>
        <v>765000</v>
      </c>
      <c r="AM39" s="19">
        <f t="shared" si="24"/>
        <v>63625</v>
      </c>
      <c r="AN39" s="19">
        <f t="shared" si="25"/>
        <v>94238.336254061287</v>
      </c>
      <c r="AO39" s="19">
        <f t="shared" si="26"/>
        <v>98434.400145492531</v>
      </c>
      <c r="AP39" s="19">
        <f t="shared" si="27"/>
        <v>147000</v>
      </c>
      <c r="AQ39" s="19">
        <f t="shared" si="28"/>
        <v>147000</v>
      </c>
      <c r="AW39" s="19">
        <v>35</v>
      </c>
      <c r="AX39" s="27"/>
      <c r="AY39" s="19">
        <f t="shared" si="35"/>
        <v>34</v>
      </c>
      <c r="AZ39" s="19">
        <v>15</v>
      </c>
      <c r="BA39" s="19">
        <v>480</v>
      </c>
      <c r="BB39" s="19">
        <v>12000</v>
      </c>
      <c r="BC39" s="19">
        <f>SUM(AZ$5:AZ39)</f>
        <v>510</v>
      </c>
      <c r="BD39" s="19">
        <f>SUM(BA$5:BA39)</f>
        <v>16860</v>
      </c>
      <c r="BE39" s="19">
        <f>SUM(BB$5:BB39)</f>
        <v>505000</v>
      </c>
    </row>
    <row r="40" spans="12:57" x14ac:dyDescent="0.15">
      <c r="L40" s="19">
        <v>36</v>
      </c>
      <c r="M40" s="19">
        <f t="shared" si="36"/>
        <v>2659.0789473684213</v>
      </c>
      <c r="N40" s="19">
        <f t="shared" si="37"/>
        <v>29550.000000000018</v>
      </c>
      <c r="O40" s="19">
        <f t="shared" si="38"/>
        <v>630000.00000000047</v>
      </c>
      <c r="P40" s="19">
        <f t="shared" si="39"/>
        <v>94223.68421052632</v>
      </c>
      <c r="R40" s="19">
        <v>36</v>
      </c>
      <c r="S40" s="19">
        <f>求节点(其他调用!C$4:C$163,其他调用!$B$4:$B$163,其他调用!$C39)</f>
        <v>36</v>
      </c>
      <c r="T40" s="19">
        <f>求节点(其他调用!D$4:D$163,其他调用!$B$4:$B$163,其他调用!$C39)</f>
        <v>34.994328973751777</v>
      </c>
      <c r="U40" s="19">
        <f>求节点(其他调用!E$4:E$163,其他调用!$B$4:$B$163,其他调用!$C39)</f>
        <v>33.374830557228044</v>
      </c>
      <c r="V40" s="19">
        <f>求节点(其他调用!F$4:F$163,其他调用!$B$4:$B$163,其他调用!$C39)</f>
        <v>31.693492767200784</v>
      </c>
      <c r="W40" s="19">
        <f>求节点(其他调用!G$4:G$163,其他调用!$B$4:$B$163,其他调用!$C39)</f>
        <v>30.697343626543411</v>
      </c>
      <c r="X40" s="19">
        <f t="shared" si="9"/>
        <v>2659.0789473684213</v>
      </c>
      <c r="Y40" s="19">
        <f t="shared" si="10"/>
        <v>2822.6908636282087</v>
      </c>
      <c r="Z40" s="19">
        <f t="shared" si="11"/>
        <v>3091.6646094421594</v>
      </c>
      <c r="AA40" s="19">
        <f t="shared" si="12"/>
        <v>3180</v>
      </c>
      <c r="AB40" s="19">
        <f t="shared" si="13"/>
        <v>3180</v>
      </c>
      <c r="AC40" s="19">
        <f t="shared" si="14"/>
        <v>29550.000000000018</v>
      </c>
      <c r="AD40" s="19">
        <f t="shared" si="15"/>
        <v>31899.487347712042</v>
      </c>
      <c r="AE40" s="19">
        <f t="shared" si="16"/>
        <v>35460</v>
      </c>
      <c r="AF40" s="19">
        <f t="shared" si="17"/>
        <v>35460</v>
      </c>
      <c r="AG40" s="19">
        <f t="shared" si="18"/>
        <v>35460</v>
      </c>
      <c r="AH40" s="19">
        <f t="shared" si="19"/>
        <v>630000.00000000047</v>
      </c>
      <c r="AI40" s="19">
        <f t="shared" si="20"/>
        <v>689097.53451300249</v>
      </c>
      <c r="AJ40" s="19">
        <f t="shared" si="21"/>
        <v>765000</v>
      </c>
      <c r="AK40" s="19">
        <f t="shared" si="22"/>
        <v>765000</v>
      </c>
      <c r="AL40" s="19">
        <f t="shared" si="23"/>
        <v>765000</v>
      </c>
      <c r="AM40" s="19">
        <f t="shared" si="24"/>
        <v>94223.68421052632</v>
      </c>
      <c r="AN40" s="19">
        <f t="shared" si="25"/>
        <v>96822.003282503618</v>
      </c>
      <c r="AO40" s="19">
        <f t="shared" si="26"/>
        <v>120499.38283264774</v>
      </c>
      <c r="AP40" s="19">
        <f t="shared" si="27"/>
        <v>147000</v>
      </c>
      <c r="AQ40" s="19">
        <f t="shared" si="28"/>
        <v>147000</v>
      </c>
      <c r="AW40" s="19">
        <v>36</v>
      </c>
      <c r="AX40" s="27"/>
      <c r="AY40" s="19">
        <f t="shared" si="35"/>
        <v>34.571428571428569</v>
      </c>
      <c r="AZ40" s="19">
        <v>20</v>
      </c>
      <c r="BA40" s="19">
        <v>1080</v>
      </c>
      <c r="BB40" s="19">
        <v>32000</v>
      </c>
      <c r="BC40" s="19">
        <f>SUM(AZ$5:AZ40)</f>
        <v>530</v>
      </c>
      <c r="BD40" s="19">
        <f>SUM(BA$5:BA40)</f>
        <v>17940</v>
      </c>
      <c r="BE40" s="19">
        <f>SUM(BB$5:BB40)</f>
        <v>537000</v>
      </c>
    </row>
    <row r="41" spans="12:57" x14ac:dyDescent="0.15">
      <c r="L41" s="19">
        <v>37</v>
      </c>
      <c r="M41" s="19">
        <f t="shared" si="36"/>
        <v>2829.3421052631584</v>
      </c>
      <c r="N41" s="19">
        <f t="shared" si="37"/>
        <v>31995.000000000015</v>
      </c>
      <c r="O41" s="19">
        <f t="shared" si="38"/>
        <v>691500.00000000058</v>
      </c>
      <c r="P41" s="19">
        <f t="shared" si="39"/>
        <v>96927.631578947374</v>
      </c>
      <c r="R41" s="19">
        <v>37</v>
      </c>
      <c r="S41" s="19">
        <f>求节点(其他调用!C$4:C$163,其他调用!$B$4:$B$163,其他调用!$C40)</f>
        <v>37</v>
      </c>
      <c r="T41" s="19">
        <f>求节点(其他调用!D$4:D$163,其他调用!$B$4:$B$163,其他调用!$C40)</f>
        <v>36.040883091853921</v>
      </c>
      <c r="U41" s="19">
        <f>求节点(其他调用!E$4:E$163,其他调用!$B$4:$B$163,其他调用!$C40)</f>
        <v>34.378572507704838</v>
      </c>
      <c r="V41" s="19">
        <f>求节点(其他调用!F$4:F$163,其他调用!$B$4:$B$163,其他调用!$C40)</f>
        <v>32.531433106700831</v>
      </c>
      <c r="W41" s="19">
        <f>求节点(其他调用!G$4:G$163,其他调用!$B$4:$B$163,其他调用!$C40)</f>
        <v>31.501658602106961</v>
      </c>
      <c r="X41" s="19">
        <f t="shared" si="9"/>
        <v>2829.3421052631584</v>
      </c>
      <c r="Y41" s="19">
        <f t="shared" si="10"/>
        <v>3005.5597796707361</v>
      </c>
      <c r="Z41" s="19">
        <f t="shared" si="11"/>
        <v>3180</v>
      </c>
      <c r="AA41" s="19">
        <f t="shared" si="12"/>
        <v>3180</v>
      </c>
      <c r="AB41" s="19">
        <f t="shared" si="13"/>
        <v>3180</v>
      </c>
      <c r="AC41" s="19">
        <f t="shared" si="14"/>
        <v>31995.000000000015</v>
      </c>
      <c r="AD41" s="19">
        <f t="shared" si="15"/>
        <v>35162.587875664954</v>
      </c>
      <c r="AE41" s="19">
        <f t="shared" si="16"/>
        <v>35460</v>
      </c>
      <c r="AF41" s="19">
        <f t="shared" si="17"/>
        <v>35460</v>
      </c>
      <c r="AG41" s="19">
        <f t="shared" si="18"/>
        <v>35460</v>
      </c>
      <c r="AH41" s="19">
        <f t="shared" si="19"/>
        <v>691500.00000000058</v>
      </c>
      <c r="AI41" s="19">
        <f t="shared" si="20"/>
        <v>758691.25796865067</v>
      </c>
      <c r="AJ41" s="19">
        <f t="shared" si="21"/>
        <v>765000</v>
      </c>
      <c r="AK41" s="19">
        <f t="shared" si="22"/>
        <v>765000</v>
      </c>
      <c r="AL41" s="19">
        <f t="shared" si="23"/>
        <v>765000</v>
      </c>
      <c r="AM41" s="19">
        <f t="shared" si="24"/>
        <v>96927.631578947374</v>
      </c>
      <c r="AN41" s="19">
        <f t="shared" si="25"/>
        <v>99399.490424732852</v>
      </c>
      <c r="AO41" s="19">
        <f t="shared" si="26"/>
        <v>147000</v>
      </c>
      <c r="AP41" s="19">
        <f t="shared" si="27"/>
        <v>147000</v>
      </c>
      <c r="AQ41" s="19">
        <f t="shared" si="28"/>
        <v>147000</v>
      </c>
      <c r="AW41" s="19">
        <v>37</v>
      </c>
      <c r="AX41" s="27"/>
      <c r="AY41" s="19">
        <f t="shared" si="35"/>
        <v>35.142857142857139</v>
      </c>
      <c r="AZ41" s="19">
        <v>15</v>
      </c>
      <c r="BA41" s="19">
        <v>720</v>
      </c>
      <c r="BB41" s="19">
        <v>20000</v>
      </c>
      <c r="BC41" s="19">
        <f>SUM(AZ$5:AZ41)</f>
        <v>545</v>
      </c>
      <c r="BD41" s="19">
        <f>SUM(BA$5:BA41)</f>
        <v>18660</v>
      </c>
      <c r="BE41" s="19">
        <f>SUM(BB$5:BB41)</f>
        <v>557000</v>
      </c>
    </row>
    <row r="42" spans="12:57" x14ac:dyDescent="0.15">
      <c r="L42" s="19">
        <v>38</v>
      </c>
      <c r="M42" s="19">
        <f t="shared" si="36"/>
        <v>3022.105263157895</v>
      </c>
      <c r="N42" s="19">
        <f t="shared" si="37"/>
        <v>35460</v>
      </c>
      <c r="O42" s="19">
        <f t="shared" si="38"/>
        <v>765000</v>
      </c>
      <c r="P42" s="19">
        <f t="shared" si="39"/>
        <v>99631.578947368427</v>
      </c>
      <c r="R42" s="19">
        <v>38</v>
      </c>
      <c r="S42" s="19">
        <f>求节点(其他调用!C$4:C$163,其他调用!$B$4:$B$163,其他调用!$C41)</f>
        <v>38</v>
      </c>
      <c r="T42" s="19">
        <f>求节点(其他调用!D$4:D$163,其他调用!$B$4:$B$163,其他调用!$C41)</f>
        <v>37.090053696482691</v>
      </c>
      <c r="U42" s="19">
        <f>求节点(其他调用!E$4:E$163,其他调用!$B$4:$B$163,其他调用!$C41)</f>
        <v>35.493745248737483</v>
      </c>
      <c r="V42" s="19">
        <f>求节点(其他调用!F$4:F$163,其他调用!$B$4:$B$163,其他调用!$C41)</f>
        <v>33.395455931694812</v>
      </c>
      <c r="W42" s="19">
        <f>求节点(其他调用!G$4:G$163,其他调用!$B$4:$B$163,其他调用!$C41)</f>
        <v>32.308621390223124</v>
      </c>
      <c r="X42" s="19">
        <f t="shared" si="9"/>
        <v>3022.105263157895</v>
      </c>
      <c r="Y42" s="19">
        <f t="shared" si="10"/>
        <v>3158.651838335154</v>
      </c>
      <c r="Z42" s="19">
        <f t="shared" si="11"/>
        <v>3180</v>
      </c>
      <c r="AA42" s="19">
        <f t="shared" si="12"/>
        <v>3180</v>
      </c>
      <c r="AB42" s="19">
        <f t="shared" si="13"/>
        <v>3180</v>
      </c>
      <c r="AC42" s="19">
        <f t="shared" si="14"/>
        <v>35460</v>
      </c>
      <c r="AD42" s="19">
        <f t="shared" si="15"/>
        <v>35460</v>
      </c>
      <c r="AE42" s="19">
        <f t="shared" si="16"/>
        <v>35460</v>
      </c>
      <c r="AF42" s="19">
        <f t="shared" si="17"/>
        <v>35460</v>
      </c>
      <c r="AG42" s="19">
        <f t="shared" si="18"/>
        <v>35460</v>
      </c>
      <c r="AH42" s="19">
        <f t="shared" si="19"/>
        <v>765000</v>
      </c>
      <c r="AI42" s="19">
        <f t="shared" si="20"/>
        <v>765000</v>
      </c>
      <c r="AJ42" s="19">
        <f t="shared" si="21"/>
        <v>765000</v>
      </c>
      <c r="AK42" s="19">
        <f t="shared" si="22"/>
        <v>765000</v>
      </c>
      <c r="AL42" s="19">
        <f t="shared" si="23"/>
        <v>765000</v>
      </c>
      <c r="AM42" s="19">
        <f t="shared" si="24"/>
        <v>99631.578947368427</v>
      </c>
      <c r="AN42" s="19">
        <f t="shared" si="25"/>
        <v>140595.55150054625</v>
      </c>
      <c r="AO42" s="19">
        <f t="shared" si="26"/>
        <v>147000</v>
      </c>
      <c r="AP42" s="19">
        <f t="shared" si="27"/>
        <v>147000</v>
      </c>
      <c r="AQ42" s="19">
        <f t="shared" si="28"/>
        <v>147000</v>
      </c>
      <c r="AW42" s="19">
        <v>38</v>
      </c>
      <c r="AX42" s="27"/>
      <c r="AY42" s="19">
        <f t="shared" si="35"/>
        <v>35.714285714285708</v>
      </c>
      <c r="AZ42" s="19">
        <v>15</v>
      </c>
      <c r="BA42" s="19">
        <v>720</v>
      </c>
      <c r="BB42" s="19">
        <v>20000</v>
      </c>
      <c r="BC42" s="19">
        <f>SUM(AZ$5:AZ42)</f>
        <v>560</v>
      </c>
      <c r="BD42" s="19">
        <f>SUM(BA$5:BA42)</f>
        <v>19380</v>
      </c>
      <c r="BE42" s="19">
        <f>SUM(BB$5:BB42)</f>
        <v>577000</v>
      </c>
    </row>
    <row r="43" spans="12:57" x14ac:dyDescent="0.15">
      <c r="L43" s="19">
        <v>39</v>
      </c>
      <c r="M43" s="19">
        <f t="shared" si="36"/>
        <v>3180</v>
      </c>
      <c r="N43" s="19">
        <f t="shared" si="37"/>
        <v>35460</v>
      </c>
      <c r="O43" s="19">
        <f t="shared" si="38"/>
        <v>765000</v>
      </c>
      <c r="P43" s="19">
        <f t="shared" si="39"/>
        <v>147000</v>
      </c>
      <c r="R43" s="19">
        <v>39</v>
      </c>
      <c r="S43" s="19">
        <f>求节点(其他调用!C$4:C$163,其他调用!$B$4:$B$163,其他调用!$C42)</f>
        <v>39</v>
      </c>
      <c r="T43" s="19">
        <f>求节点(其他调用!D$4:D$163,其他调用!$B$4:$B$163,其他调用!$C42)</f>
        <v>38.142264137848926</v>
      </c>
      <c r="U43" s="19">
        <f>求节点(其他调用!E$4:E$163,其他调用!$B$4:$B$163,其他调用!$C42)</f>
        <v>36.642907295186205</v>
      </c>
      <c r="V43" s="19">
        <f>求节点(其他调用!F$4:F$163,其他调用!$B$4:$B$163,其他调用!$C42)</f>
        <v>34.341611061692923</v>
      </c>
      <c r="W43" s="19">
        <f>求节点(其他调用!G$4:G$163,其他调用!$B$4:$B$163,其他调用!$C42)</f>
        <v>33.139872705959931</v>
      </c>
      <c r="X43" s="19">
        <f t="shared" si="9"/>
        <v>3180</v>
      </c>
      <c r="Y43" s="19">
        <f t="shared" si="10"/>
        <v>3180</v>
      </c>
      <c r="Z43" s="19">
        <f t="shared" si="11"/>
        <v>3180</v>
      </c>
      <c r="AA43" s="19">
        <f t="shared" si="12"/>
        <v>3180</v>
      </c>
      <c r="AB43" s="19">
        <f t="shared" si="13"/>
        <v>3180</v>
      </c>
      <c r="AC43" s="19">
        <f t="shared" si="14"/>
        <v>35460</v>
      </c>
      <c r="AD43" s="19">
        <f t="shared" si="15"/>
        <v>35460</v>
      </c>
      <c r="AE43" s="19">
        <f t="shared" si="16"/>
        <v>35460</v>
      </c>
      <c r="AF43" s="19">
        <f t="shared" si="17"/>
        <v>35460</v>
      </c>
      <c r="AG43" s="19">
        <f t="shared" si="18"/>
        <v>35460</v>
      </c>
      <c r="AH43" s="19">
        <f t="shared" si="19"/>
        <v>765000</v>
      </c>
      <c r="AI43" s="19">
        <f t="shared" si="20"/>
        <v>765000</v>
      </c>
      <c r="AJ43" s="19">
        <f t="shared" si="21"/>
        <v>765000</v>
      </c>
      <c r="AK43" s="19">
        <f t="shared" si="22"/>
        <v>765000</v>
      </c>
      <c r="AL43" s="19">
        <f t="shared" si="23"/>
        <v>765000</v>
      </c>
      <c r="AM43" s="19">
        <f t="shared" si="24"/>
        <v>147000</v>
      </c>
      <c r="AN43" s="19">
        <f t="shared" si="25"/>
        <v>147000</v>
      </c>
      <c r="AO43" s="19">
        <f t="shared" si="26"/>
        <v>147000</v>
      </c>
      <c r="AP43" s="19">
        <f t="shared" si="27"/>
        <v>147000</v>
      </c>
      <c r="AQ43" s="19">
        <f t="shared" si="28"/>
        <v>147000</v>
      </c>
      <c r="AW43" s="19">
        <v>39</v>
      </c>
      <c r="AX43" s="27"/>
      <c r="AY43" s="19">
        <f t="shared" si="35"/>
        <v>36.285714285714278</v>
      </c>
      <c r="AZ43" s="19">
        <v>30</v>
      </c>
      <c r="BA43" s="19">
        <v>1440</v>
      </c>
      <c r="BB43" s="19">
        <v>40000</v>
      </c>
      <c r="BC43" s="19">
        <f>SUM(AZ$5:AZ43)</f>
        <v>590</v>
      </c>
      <c r="BD43" s="19">
        <f>SUM(BA$5:BA43)</f>
        <v>20820</v>
      </c>
      <c r="BE43" s="19">
        <f>SUM(BB$5:BB43)</f>
        <v>617000</v>
      </c>
    </row>
    <row r="44" spans="12:57" x14ac:dyDescent="0.15">
      <c r="L44" s="19">
        <v>40</v>
      </c>
      <c r="M44" s="19">
        <f t="shared" si="36"/>
        <v>3180</v>
      </c>
      <c r="N44" s="19">
        <f t="shared" si="37"/>
        <v>35460</v>
      </c>
      <c r="O44" s="19">
        <f t="shared" si="38"/>
        <v>765000</v>
      </c>
      <c r="P44" s="19">
        <f t="shared" si="39"/>
        <v>147000</v>
      </c>
      <c r="R44" s="19">
        <v>40</v>
      </c>
      <c r="S44" s="19">
        <f>求节点(其他调用!C$4:C$163,其他调用!$B$4:$B$163,其他调用!$C43)</f>
        <v>40</v>
      </c>
      <c r="T44" s="19">
        <f>求节点(其他调用!D$4:D$163,其他调用!$B$4:$B$163,其他调用!$C43)</f>
        <v>39.215283137574886</v>
      </c>
      <c r="U44" s="19">
        <f>求节点(其他调用!E$4:E$163,其他调用!$B$4:$B$163,其他调用!$C43)</f>
        <v>37.803789425471116</v>
      </c>
      <c r="V44" s="19">
        <f>求节点(其他调用!F$4:F$163,其他调用!$B$4:$B$163,其他调用!$C43)</f>
        <v>35.387041956211888</v>
      </c>
      <c r="W44" s="19">
        <f>求节点(其他调用!G$4:G$163,其他调用!$B$4:$B$163,其他调用!$C43)</f>
        <v>34.064291010238307</v>
      </c>
      <c r="X44" s="19">
        <f t="shared" si="9"/>
        <v>3180</v>
      </c>
      <c r="Y44" s="19">
        <f t="shared" si="10"/>
        <v>3180</v>
      </c>
      <c r="Z44" s="19">
        <f t="shared" si="11"/>
        <v>3180</v>
      </c>
      <c r="AA44" s="19">
        <f t="shared" si="12"/>
        <v>3180</v>
      </c>
      <c r="AB44" s="19">
        <f t="shared" si="13"/>
        <v>3180</v>
      </c>
      <c r="AC44" s="19">
        <f t="shared" si="14"/>
        <v>35460</v>
      </c>
      <c r="AD44" s="19">
        <f t="shared" si="15"/>
        <v>35460</v>
      </c>
      <c r="AE44" s="19">
        <f t="shared" si="16"/>
        <v>35460</v>
      </c>
      <c r="AF44" s="19">
        <f t="shared" si="17"/>
        <v>35460</v>
      </c>
      <c r="AG44" s="19">
        <f t="shared" si="18"/>
        <v>35460</v>
      </c>
      <c r="AH44" s="19">
        <f t="shared" si="19"/>
        <v>765000</v>
      </c>
      <c r="AI44" s="19">
        <f t="shared" si="20"/>
        <v>765000</v>
      </c>
      <c r="AJ44" s="19">
        <f t="shared" si="21"/>
        <v>765000</v>
      </c>
      <c r="AK44" s="19">
        <f t="shared" si="22"/>
        <v>765000</v>
      </c>
      <c r="AL44" s="19">
        <f t="shared" si="23"/>
        <v>765000</v>
      </c>
      <c r="AM44" s="19">
        <f t="shared" si="24"/>
        <v>147000</v>
      </c>
      <c r="AN44" s="19">
        <f t="shared" si="25"/>
        <v>147000</v>
      </c>
      <c r="AO44" s="19">
        <f t="shared" si="26"/>
        <v>147000</v>
      </c>
      <c r="AP44" s="19">
        <f t="shared" si="27"/>
        <v>147000</v>
      </c>
      <c r="AQ44" s="19">
        <f t="shared" si="28"/>
        <v>147000</v>
      </c>
      <c r="AW44" s="19">
        <v>40</v>
      </c>
      <c r="AX44" s="27"/>
      <c r="AY44" s="19">
        <f t="shared" si="35"/>
        <v>36.857142857142847</v>
      </c>
      <c r="AZ44" s="19">
        <v>25</v>
      </c>
      <c r="BA44" s="19">
        <v>840</v>
      </c>
      <c r="BB44" s="19">
        <v>32000</v>
      </c>
      <c r="BC44" s="19">
        <f>SUM(AZ$5:AZ44)</f>
        <v>615</v>
      </c>
      <c r="BD44" s="19">
        <f>SUM(BA$5:BA44)</f>
        <v>21660</v>
      </c>
      <c r="BE44" s="19">
        <f>SUM(BB$5:BB44)</f>
        <v>649000</v>
      </c>
    </row>
    <row r="45" spans="12:57" x14ac:dyDescent="0.15">
      <c r="L45" s="19">
        <v>41</v>
      </c>
      <c r="M45" s="19">
        <f t="shared" si="36"/>
        <v>3180</v>
      </c>
      <c r="N45" s="19">
        <f t="shared" si="37"/>
        <v>35460</v>
      </c>
      <c r="O45" s="19">
        <f t="shared" si="38"/>
        <v>765000</v>
      </c>
      <c r="P45" s="19">
        <f t="shared" si="39"/>
        <v>147000</v>
      </c>
      <c r="R45" s="19">
        <v>41</v>
      </c>
      <c r="S45" s="19">
        <f>求节点(其他调用!C$4:C$163,其他调用!$B$4:$B$163,其他调用!$C44)</f>
        <v>41</v>
      </c>
      <c r="T45" s="19">
        <f>求节点(其他调用!D$4:D$163,其他调用!$B$4:$B$163,其他调用!$C44)</f>
        <v>39.975590423187299</v>
      </c>
      <c r="U45" s="19">
        <f>求节点(其他调用!E$4:E$163,其他调用!$B$4:$B$163,其他调用!$C44)</f>
        <v>38.574213832712431</v>
      </c>
      <c r="V45" s="19">
        <f>求节点(其他调用!F$4:F$163,其他调用!$B$4:$B$163,其他调用!$C44)</f>
        <v>36.094779806039917</v>
      </c>
      <c r="W45" s="19">
        <f>求节点(其他调用!G$4:G$163,其他调用!$B$4:$B$163,其他调用!$C44)</f>
        <v>34.734925827307904</v>
      </c>
      <c r="X45" s="19">
        <f t="shared" si="9"/>
        <v>3180</v>
      </c>
      <c r="Y45" s="19">
        <f t="shared" si="10"/>
        <v>3180</v>
      </c>
      <c r="Z45" s="19">
        <f t="shared" si="11"/>
        <v>3180</v>
      </c>
      <c r="AA45" s="19">
        <f t="shared" si="12"/>
        <v>3180</v>
      </c>
      <c r="AB45" s="19">
        <f t="shared" si="13"/>
        <v>3180</v>
      </c>
      <c r="AC45" s="19">
        <f t="shared" si="14"/>
        <v>35460</v>
      </c>
      <c r="AD45" s="19">
        <f t="shared" si="15"/>
        <v>35460</v>
      </c>
      <c r="AE45" s="19">
        <f t="shared" si="16"/>
        <v>35460</v>
      </c>
      <c r="AF45" s="19">
        <f t="shared" si="17"/>
        <v>35460</v>
      </c>
      <c r="AG45" s="19">
        <f t="shared" si="18"/>
        <v>35460</v>
      </c>
      <c r="AH45" s="19">
        <f t="shared" si="19"/>
        <v>765000</v>
      </c>
      <c r="AI45" s="19">
        <f t="shared" si="20"/>
        <v>765000</v>
      </c>
      <c r="AJ45" s="19">
        <f t="shared" si="21"/>
        <v>765000</v>
      </c>
      <c r="AK45" s="19">
        <f t="shared" si="22"/>
        <v>765000</v>
      </c>
      <c r="AL45" s="19">
        <f t="shared" si="23"/>
        <v>765000</v>
      </c>
      <c r="AM45" s="19">
        <f t="shared" si="24"/>
        <v>147000</v>
      </c>
      <c r="AN45" s="19">
        <f t="shared" si="25"/>
        <v>147000</v>
      </c>
      <c r="AO45" s="19">
        <f t="shared" si="26"/>
        <v>147000</v>
      </c>
      <c r="AP45" s="19">
        <f t="shared" si="27"/>
        <v>147000</v>
      </c>
      <c r="AQ45" s="19">
        <f t="shared" si="28"/>
        <v>147000</v>
      </c>
      <c r="AW45" s="19">
        <v>41</v>
      </c>
      <c r="AX45" s="27"/>
      <c r="AY45" s="19">
        <f t="shared" si="35"/>
        <v>37.428571428571416</v>
      </c>
      <c r="AZ45" s="19">
        <v>25</v>
      </c>
      <c r="BA45" s="19">
        <v>840</v>
      </c>
      <c r="BB45" s="19">
        <v>32000</v>
      </c>
      <c r="BC45" s="19">
        <f>SUM(AZ$5:AZ45)</f>
        <v>640</v>
      </c>
      <c r="BD45" s="19">
        <f>SUM(BA$5:BA45)</f>
        <v>22500</v>
      </c>
      <c r="BE45" s="19">
        <f>SUM(BB$5:BB45)</f>
        <v>681000</v>
      </c>
    </row>
    <row r="46" spans="12:57" x14ac:dyDescent="0.15">
      <c r="L46" s="19">
        <v>42</v>
      </c>
      <c r="M46" s="19">
        <f t="shared" si="36"/>
        <v>3180</v>
      </c>
      <c r="N46" s="19">
        <f t="shared" si="37"/>
        <v>35460</v>
      </c>
      <c r="O46" s="19">
        <f t="shared" si="38"/>
        <v>765000</v>
      </c>
      <c r="P46" s="19">
        <f t="shared" si="39"/>
        <v>147000</v>
      </c>
      <c r="R46" s="19">
        <v>42</v>
      </c>
      <c r="S46" s="19">
        <f>求节点(其他调用!C$4:C$163,其他调用!$B$4:$B$163,其他调用!$C45)</f>
        <v>42</v>
      </c>
      <c r="T46" s="19">
        <f>求节点(其他调用!D$4:D$163,其他调用!$B$4:$B$163,其他调用!$C45)</f>
        <v>41.011014734150677</v>
      </c>
      <c r="U46" s="19">
        <f>求节点(其他调用!E$4:E$163,其他调用!$B$4:$B$163,其他调用!$C45)</f>
        <v>39.360375852955542</v>
      </c>
      <c r="V46" s="19">
        <f>求节点(其他调用!F$4:F$163,其他调用!$B$4:$B$163,其他调用!$C45)</f>
        <v>36.806305874019117</v>
      </c>
      <c r="W46" s="19">
        <f>求节点(其他调用!G$4:G$163,其他调用!$B$4:$B$163,其他调用!$C45)</f>
        <v>35.419119753273336</v>
      </c>
      <c r="X46" s="19">
        <f t="shared" si="9"/>
        <v>3180</v>
      </c>
      <c r="Y46" s="19">
        <f t="shared" si="10"/>
        <v>3180</v>
      </c>
      <c r="Z46" s="19">
        <f t="shared" si="11"/>
        <v>3180</v>
      </c>
      <c r="AA46" s="19">
        <f t="shared" si="12"/>
        <v>3180</v>
      </c>
      <c r="AB46" s="19">
        <f t="shared" si="13"/>
        <v>3180</v>
      </c>
      <c r="AC46" s="19">
        <f t="shared" si="14"/>
        <v>35460</v>
      </c>
      <c r="AD46" s="19">
        <f t="shared" si="15"/>
        <v>35460</v>
      </c>
      <c r="AE46" s="19">
        <f t="shared" si="16"/>
        <v>35460</v>
      </c>
      <c r="AF46" s="19">
        <f t="shared" si="17"/>
        <v>35460</v>
      </c>
      <c r="AG46" s="19">
        <f t="shared" si="18"/>
        <v>35460</v>
      </c>
      <c r="AH46" s="19">
        <f t="shared" si="19"/>
        <v>765000</v>
      </c>
      <c r="AI46" s="19">
        <f t="shared" si="20"/>
        <v>765000</v>
      </c>
      <c r="AJ46" s="19">
        <f t="shared" si="21"/>
        <v>765000</v>
      </c>
      <c r="AK46" s="19">
        <f t="shared" si="22"/>
        <v>765000</v>
      </c>
      <c r="AL46" s="19">
        <f t="shared" si="23"/>
        <v>765000</v>
      </c>
      <c r="AM46" s="19">
        <f t="shared" si="24"/>
        <v>147000</v>
      </c>
      <c r="AN46" s="19">
        <f t="shared" si="25"/>
        <v>147000</v>
      </c>
      <c r="AO46" s="19">
        <f t="shared" si="26"/>
        <v>147000</v>
      </c>
      <c r="AP46" s="19">
        <f t="shared" si="27"/>
        <v>147000</v>
      </c>
      <c r="AQ46" s="19">
        <f t="shared" si="28"/>
        <v>147000</v>
      </c>
      <c r="AW46" s="19">
        <v>42</v>
      </c>
      <c r="AX46" s="27"/>
      <c r="AY46" s="22">
        <f>G5</f>
        <v>38</v>
      </c>
      <c r="AZ46" s="19">
        <v>50</v>
      </c>
      <c r="BA46" s="19">
        <v>2160</v>
      </c>
      <c r="BB46" s="19">
        <v>48000</v>
      </c>
      <c r="BC46" s="19">
        <f>SUM(AZ$5:AZ46)</f>
        <v>690</v>
      </c>
      <c r="BD46" s="19">
        <f>SUM(BA$5:BA46)</f>
        <v>24660</v>
      </c>
      <c r="BE46" s="19">
        <f>SUM(BB$5:BB46)</f>
        <v>729000</v>
      </c>
    </row>
    <row r="47" spans="12:57" x14ac:dyDescent="0.15">
      <c r="L47" s="19">
        <v>43</v>
      </c>
      <c r="M47" s="19">
        <f t="shared" si="36"/>
        <v>3180</v>
      </c>
      <c r="N47" s="19">
        <f t="shared" si="37"/>
        <v>35460</v>
      </c>
      <c r="O47" s="19">
        <f t="shared" si="38"/>
        <v>765000</v>
      </c>
      <c r="P47" s="19">
        <f t="shared" si="39"/>
        <v>147000</v>
      </c>
      <c r="R47" s="19">
        <v>43</v>
      </c>
      <c r="S47" s="19">
        <f>求节点(其他调用!C$4:C$163,其他调用!$B$4:$B$163,其他调用!$C46)</f>
        <v>43</v>
      </c>
      <c r="T47" s="19">
        <f>求节点(其他调用!D$4:D$163,其他调用!$B$4:$B$163,其他调用!$C46)</f>
        <v>42.040205689649454</v>
      </c>
      <c r="U47" s="19">
        <f>求节点(其他调用!E$4:E$163,其他调用!$B$4:$B$163,其他调用!$C46)</f>
        <v>40.184829691891757</v>
      </c>
      <c r="V47" s="19">
        <f>求节点(其他调用!F$4:F$163,其他调用!$B$4:$B$163,其他调用!$C46)</f>
        <v>37.510494266025773</v>
      </c>
      <c r="W47" s="19">
        <f>求节点(其他调用!G$4:G$163,其他调用!$B$4:$B$163,其他调用!$C46)</f>
        <v>36.109906208798535</v>
      </c>
      <c r="X47" s="19">
        <f t="shared" si="9"/>
        <v>3180</v>
      </c>
      <c r="Y47" s="19">
        <f t="shared" si="10"/>
        <v>3180</v>
      </c>
      <c r="Z47" s="19">
        <f t="shared" si="11"/>
        <v>3180</v>
      </c>
      <c r="AA47" s="19">
        <f t="shared" si="12"/>
        <v>3180</v>
      </c>
      <c r="AB47" s="19">
        <f t="shared" si="13"/>
        <v>3180</v>
      </c>
      <c r="AC47" s="19">
        <f t="shared" si="14"/>
        <v>35460</v>
      </c>
      <c r="AD47" s="19">
        <f t="shared" si="15"/>
        <v>35460</v>
      </c>
      <c r="AE47" s="19">
        <f t="shared" si="16"/>
        <v>35460</v>
      </c>
      <c r="AF47" s="19">
        <f t="shared" si="17"/>
        <v>35460</v>
      </c>
      <c r="AG47" s="19">
        <f t="shared" si="18"/>
        <v>35460</v>
      </c>
      <c r="AH47" s="19">
        <f t="shared" si="19"/>
        <v>765000</v>
      </c>
      <c r="AI47" s="19">
        <f t="shared" si="20"/>
        <v>765000</v>
      </c>
      <c r="AJ47" s="19">
        <f t="shared" si="21"/>
        <v>765000</v>
      </c>
      <c r="AK47" s="19">
        <f t="shared" si="22"/>
        <v>765000</v>
      </c>
      <c r="AL47" s="19">
        <f t="shared" si="23"/>
        <v>765000</v>
      </c>
      <c r="AM47" s="19">
        <f t="shared" si="24"/>
        <v>147000</v>
      </c>
      <c r="AN47" s="19">
        <f t="shared" si="25"/>
        <v>147000</v>
      </c>
      <c r="AO47" s="19">
        <f t="shared" si="26"/>
        <v>147000</v>
      </c>
      <c r="AP47" s="19">
        <f t="shared" si="27"/>
        <v>147000</v>
      </c>
      <c r="AQ47" s="19">
        <f t="shared" si="28"/>
        <v>147000</v>
      </c>
    </row>
    <row r="48" spans="12:57" x14ac:dyDescent="0.15">
      <c r="L48" s="19">
        <v>44</v>
      </c>
      <c r="M48" s="19">
        <f t="shared" si="36"/>
        <v>3180</v>
      </c>
      <c r="N48" s="19">
        <f t="shared" si="37"/>
        <v>35460</v>
      </c>
      <c r="O48" s="19">
        <f t="shared" si="38"/>
        <v>765000</v>
      </c>
      <c r="P48" s="19">
        <f t="shared" si="39"/>
        <v>147000</v>
      </c>
      <c r="R48" s="19">
        <v>44</v>
      </c>
      <c r="S48" s="19">
        <f>求节点(其他调用!C$4:C$163,其他调用!$B$4:$B$163,其他调用!$C47)</f>
        <v>44</v>
      </c>
      <c r="T48" s="19">
        <f>求节点(其他调用!D$4:D$163,其他调用!$B$4:$B$163,其他调用!$C47)</f>
        <v>43.044595553765831</v>
      </c>
      <c r="U48" s="19">
        <f>求节点(其他调用!E$4:E$163,其他调用!$B$4:$B$163,其他调用!$C47)</f>
        <v>41.166478810043287</v>
      </c>
      <c r="V48" s="19">
        <f>求节点(其他调用!F$4:F$163,其他调用!$B$4:$B$163,其他调用!$C47)</f>
        <v>38.238539585695356</v>
      </c>
      <c r="W48" s="19">
        <f>求节点(其他调用!G$4:G$163,其他调用!$B$4:$B$163,其他调用!$C47)</f>
        <v>36.806200498505156</v>
      </c>
      <c r="X48" s="19">
        <f t="shared" si="9"/>
        <v>3180</v>
      </c>
      <c r="Y48" s="19">
        <f t="shared" si="10"/>
        <v>3180</v>
      </c>
      <c r="Z48" s="19">
        <f t="shared" si="11"/>
        <v>3180</v>
      </c>
      <c r="AA48" s="19">
        <f t="shared" si="12"/>
        <v>3180</v>
      </c>
      <c r="AB48" s="19">
        <f t="shared" si="13"/>
        <v>3180</v>
      </c>
      <c r="AC48" s="19">
        <f t="shared" si="14"/>
        <v>35460</v>
      </c>
      <c r="AD48" s="19">
        <f t="shared" si="15"/>
        <v>35460</v>
      </c>
      <c r="AE48" s="19">
        <f t="shared" si="16"/>
        <v>35460</v>
      </c>
      <c r="AF48" s="19">
        <f t="shared" si="17"/>
        <v>35460</v>
      </c>
      <c r="AG48" s="19">
        <f t="shared" si="18"/>
        <v>35460</v>
      </c>
      <c r="AH48" s="19">
        <f t="shared" si="19"/>
        <v>765000</v>
      </c>
      <c r="AI48" s="19">
        <f t="shared" si="20"/>
        <v>765000</v>
      </c>
      <c r="AJ48" s="19">
        <f t="shared" si="21"/>
        <v>765000</v>
      </c>
      <c r="AK48" s="19">
        <f t="shared" si="22"/>
        <v>765000</v>
      </c>
      <c r="AL48" s="19">
        <f t="shared" si="23"/>
        <v>765000</v>
      </c>
      <c r="AM48" s="19">
        <f t="shared" si="24"/>
        <v>147000</v>
      </c>
      <c r="AN48" s="19">
        <f t="shared" si="25"/>
        <v>147000</v>
      </c>
      <c r="AO48" s="19">
        <f t="shared" si="26"/>
        <v>147000</v>
      </c>
      <c r="AP48" s="19">
        <f t="shared" si="27"/>
        <v>147000</v>
      </c>
      <c r="AQ48" s="19">
        <f t="shared" si="28"/>
        <v>147000</v>
      </c>
    </row>
    <row r="49" spans="12:43" x14ac:dyDescent="0.15">
      <c r="L49" s="19">
        <v>45</v>
      </c>
      <c r="M49" s="19">
        <f t="shared" si="36"/>
        <v>3180</v>
      </c>
      <c r="N49" s="19">
        <f t="shared" si="37"/>
        <v>35460</v>
      </c>
      <c r="O49" s="19">
        <f t="shared" si="38"/>
        <v>765000</v>
      </c>
      <c r="P49" s="19">
        <f t="shared" si="39"/>
        <v>147000</v>
      </c>
      <c r="R49" s="19">
        <v>45</v>
      </c>
      <c r="S49" s="19">
        <f>求节点(其他调用!C$4:C$163,其他调用!$B$4:$B$163,其他调用!$C48)</f>
        <v>45</v>
      </c>
      <c r="T49" s="19">
        <f>求节点(其他调用!D$4:D$163,其他调用!$B$4:$B$163,其他调用!$C48)</f>
        <v>44.025655342302272</v>
      </c>
      <c r="U49" s="19">
        <f>求节点(其他调用!E$4:E$163,其他调用!$B$4:$B$163,其他调用!$C48)</f>
        <v>42.139777644042496</v>
      </c>
      <c r="V49" s="19">
        <f>求节点(其他调用!F$4:F$163,其他调用!$B$4:$B$163,其他调用!$C48)</f>
        <v>38.966484133589248</v>
      </c>
      <c r="W49" s="19">
        <f>求节点(其他调用!G$4:G$163,其他调用!$B$4:$B$163,其他调用!$C48)</f>
        <v>37.496918416233719</v>
      </c>
      <c r="X49" s="19">
        <f t="shared" si="9"/>
        <v>3180</v>
      </c>
      <c r="Y49" s="19">
        <f t="shared" si="10"/>
        <v>3180</v>
      </c>
      <c r="Z49" s="19">
        <f t="shared" si="11"/>
        <v>3180</v>
      </c>
      <c r="AA49" s="19">
        <f t="shared" si="12"/>
        <v>3180</v>
      </c>
      <c r="AB49" s="19">
        <f t="shared" si="13"/>
        <v>3180</v>
      </c>
      <c r="AC49" s="19">
        <f t="shared" si="14"/>
        <v>35460</v>
      </c>
      <c r="AD49" s="19">
        <f t="shared" si="15"/>
        <v>35460</v>
      </c>
      <c r="AE49" s="19">
        <f t="shared" si="16"/>
        <v>35460</v>
      </c>
      <c r="AF49" s="19">
        <f t="shared" si="17"/>
        <v>35460</v>
      </c>
      <c r="AG49" s="19">
        <f t="shared" si="18"/>
        <v>35460</v>
      </c>
      <c r="AH49" s="19">
        <f t="shared" si="19"/>
        <v>765000</v>
      </c>
      <c r="AI49" s="19">
        <f t="shared" si="20"/>
        <v>765000</v>
      </c>
      <c r="AJ49" s="19">
        <f t="shared" si="21"/>
        <v>765000</v>
      </c>
      <c r="AK49" s="19">
        <f t="shared" si="22"/>
        <v>765000</v>
      </c>
      <c r="AL49" s="19">
        <f t="shared" si="23"/>
        <v>765000</v>
      </c>
      <c r="AM49" s="19">
        <f t="shared" si="24"/>
        <v>147000</v>
      </c>
      <c r="AN49" s="19">
        <f t="shared" si="25"/>
        <v>147000</v>
      </c>
      <c r="AO49" s="19">
        <f t="shared" si="26"/>
        <v>147000</v>
      </c>
      <c r="AP49" s="19">
        <f t="shared" si="27"/>
        <v>147000</v>
      </c>
      <c r="AQ49" s="19">
        <f t="shared" si="28"/>
        <v>147000</v>
      </c>
    </row>
    <row r="50" spans="12:43" x14ac:dyDescent="0.15">
      <c r="L50" s="19">
        <v>46</v>
      </c>
      <c r="M50" s="19">
        <f t="shared" si="36"/>
        <v>3180</v>
      </c>
      <c r="N50" s="19">
        <f t="shared" si="37"/>
        <v>35460</v>
      </c>
      <c r="O50" s="19">
        <f t="shared" si="38"/>
        <v>765000</v>
      </c>
      <c r="P50" s="19">
        <f t="shared" si="39"/>
        <v>147000</v>
      </c>
      <c r="R50" s="19">
        <v>46</v>
      </c>
      <c r="S50" s="19">
        <f>求节点(其他调用!C$4:C$163,其他调用!$B$4:$B$163,其他调用!$C49)</f>
        <v>46</v>
      </c>
      <c r="T50" s="19">
        <f>求节点(其他调用!D$4:D$163,其他调用!$B$4:$B$163,其他调用!$C49)</f>
        <v>44.989781381783857</v>
      </c>
      <c r="U50" s="19">
        <f>求节点(其他调用!E$4:E$163,其他调用!$B$4:$B$163,其他调用!$C49)</f>
        <v>43.125005992430538</v>
      </c>
      <c r="V50" s="19">
        <f>求节点(其他调用!F$4:F$163,其他调用!$B$4:$B$163,其他调用!$C49)</f>
        <v>39.674753323076331</v>
      </c>
      <c r="W50" s="19">
        <f>求节点(其他调用!G$4:G$163,其他调用!$B$4:$B$163,其他调用!$C49)</f>
        <v>38.204344126449833</v>
      </c>
      <c r="X50" s="19">
        <f t="shared" si="9"/>
        <v>3180</v>
      </c>
      <c r="Y50" s="19">
        <f t="shared" si="10"/>
        <v>3180</v>
      </c>
      <c r="Z50" s="19">
        <f t="shared" si="11"/>
        <v>3180</v>
      </c>
      <c r="AA50" s="19">
        <f t="shared" si="12"/>
        <v>3180</v>
      </c>
      <c r="AB50" s="19">
        <f t="shared" si="13"/>
        <v>3180</v>
      </c>
      <c r="AC50" s="19">
        <f t="shared" si="14"/>
        <v>35460</v>
      </c>
      <c r="AD50" s="19">
        <f t="shared" si="15"/>
        <v>35460</v>
      </c>
      <c r="AE50" s="19">
        <f t="shared" si="16"/>
        <v>35460</v>
      </c>
      <c r="AF50" s="19">
        <f t="shared" si="17"/>
        <v>35460</v>
      </c>
      <c r="AG50" s="19">
        <f t="shared" si="18"/>
        <v>35460</v>
      </c>
      <c r="AH50" s="19">
        <f t="shared" si="19"/>
        <v>765000</v>
      </c>
      <c r="AI50" s="19">
        <f t="shared" si="20"/>
        <v>765000</v>
      </c>
      <c r="AJ50" s="19">
        <f t="shared" si="21"/>
        <v>765000</v>
      </c>
      <c r="AK50" s="19">
        <f t="shared" si="22"/>
        <v>765000</v>
      </c>
      <c r="AL50" s="19">
        <f t="shared" si="23"/>
        <v>765000</v>
      </c>
      <c r="AM50" s="19">
        <f t="shared" si="24"/>
        <v>147000</v>
      </c>
      <c r="AN50" s="19">
        <f t="shared" si="25"/>
        <v>147000</v>
      </c>
      <c r="AO50" s="19">
        <f t="shared" si="26"/>
        <v>147000</v>
      </c>
      <c r="AP50" s="19">
        <f t="shared" si="27"/>
        <v>147000</v>
      </c>
      <c r="AQ50" s="19">
        <f t="shared" si="28"/>
        <v>147000</v>
      </c>
    </row>
    <row r="51" spans="12:43" x14ac:dyDescent="0.15">
      <c r="L51" s="19">
        <v>47</v>
      </c>
      <c r="M51" s="19">
        <f t="shared" si="36"/>
        <v>3180</v>
      </c>
      <c r="N51" s="19">
        <f t="shared" si="37"/>
        <v>35460</v>
      </c>
      <c r="O51" s="19">
        <f t="shared" si="38"/>
        <v>765000</v>
      </c>
      <c r="P51" s="19">
        <f t="shared" si="39"/>
        <v>147000</v>
      </c>
      <c r="R51" s="19">
        <v>47</v>
      </c>
      <c r="S51" s="19">
        <f>求节点(其他调用!C$4:C$163,其他调用!$B$4:$B$163,其他调用!$C50)</f>
        <v>47</v>
      </c>
      <c r="T51" s="19">
        <f>求节点(其他调用!D$4:D$163,其他调用!$B$4:$B$163,其他调用!$C50)</f>
        <v>45.954177502375671</v>
      </c>
      <c r="U51" s="19">
        <f>求节点(其他调用!E$4:E$163,其他调用!$B$4:$B$163,其他调用!$C50)</f>
        <v>44.079212876786755</v>
      </c>
      <c r="V51" s="19">
        <f>求节点(其他调用!F$4:F$163,其他调用!$B$4:$B$163,其他调用!$C50)</f>
        <v>40.463068303560568</v>
      </c>
      <c r="W51" s="19">
        <f>求节点(其他调用!G$4:G$163,其他调用!$B$4:$B$163,其他调用!$C50)</f>
        <v>38.912944109090709</v>
      </c>
      <c r="X51" s="19">
        <f t="shared" si="9"/>
        <v>3180</v>
      </c>
      <c r="Y51" s="19">
        <f t="shared" si="10"/>
        <v>3180</v>
      </c>
      <c r="Z51" s="19">
        <f t="shared" si="11"/>
        <v>3180</v>
      </c>
      <c r="AA51" s="19">
        <f t="shared" si="12"/>
        <v>3180</v>
      </c>
      <c r="AB51" s="19">
        <f t="shared" si="13"/>
        <v>3180</v>
      </c>
      <c r="AC51" s="19">
        <f t="shared" si="14"/>
        <v>35460</v>
      </c>
      <c r="AD51" s="19">
        <f t="shared" si="15"/>
        <v>35460</v>
      </c>
      <c r="AE51" s="19">
        <f t="shared" si="16"/>
        <v>35460</v>
      </c>
      <c r="AF51" s="19">
        <f t="shared" si="17"/>
        <v>35460</v>
      </c>
      <c r="AG51" s="19">
        <f t="shared" si="18"/>
        <v>35460</v>
      </c>
      <c r="AH51" s="19">
        <f t="shared" si="19"/>
        <v>765000</v>
      </c>
      <c r="AI51" s="19">
        <f t="shared" si="20"/>
        <v>765000</v>
      </c>
      <c r="AJ51" s="19">
        <f t="shared" si="21"/>
        <v>765000</v>
      </c>
      <c r="AK51" s="19">
        <f t="shared" si="22"/>
        <v>765000</v>
      </c>
      <c r="AL51" s="19">
        <f t="shared" si="23"/>
        <v>765000</v>
      </c>
      <c r="AM51" s="19">
        <f t="shared" si="24"/>
        <v>147000</v>
      </c>
      <c r="AN51" s="19">
        <f t="shared" si="25"/>
        <v>147000</v>
      </c>
      <c r="AO51" s="19">
        <f t="shared" si="26"/>
        <v>147000</v>
      </c>
      <c r="AP51" s="19">
        <f t="shared" si="27"/>
        <v>147000</v>
      </c>
      <c r="AQ51" s="19">
        <f t="shared" si="28"/>
        <v>147000</v>
      </c>
    </row>
    <row r="52" spans="12:43" x14ac:dyDescent="0.15">
      <c r="L52" s="19">
        <v>48</v>
      </c>
      <c r="M52" s="19">
        <f t="shared" si="36"/>
        <v>3180</v>
      </c>
      <c r="N52" s="19">
        <f t="shared" si="37"/>
        <v>35460</v>
      </c>
      <c r="O52" s="19">
        <f t="shared" si="38"/>
        <v>765000</v>
      </c>
      <c r="P52" s="19">
        <f t="shared" si="39"/>
        <v>147000</v>
      </c>
      <c r="R52" s="19">
        <v>48</v>
      </c>
      <c r="S52" s="19">
        <f>求节点(其他调用!C$4:C$163,其他调用!$B$4:$B$163,其他调用!$C51)</f>
        <v>48</v>
      </c>
      <c r="T52" s="19">
        <f>求节点(其他调用!D$4:D$163,其他调用!$B$4:$B$163,其他调用!$C51)</f>
        <v>46.927182157769252</v>
      </c>
      <c r="U52" s="19">
        <f>求节点(其他调用!E$4:E$163,其他调用!$B$4:$B$163,其他调用!$C51)</f>
        <v>45.00366434730347</v>
      </c>
      <c r="V52" s="19">
        <f>求节点(其他调用!F$4:F$163,其他调用!$B$4:$B$163,其他调用!$C51)</f>
        <v>41.312198404052296</v>
      </c>
      <c r="W52" s="19">
        <f>求节点(其他调用!G$4:G$163,其他调用!$B$4:$B$163,其他调用!$C51)</f>
        <v>39.609584229605339</v>
      </c>
      <c r="X52" s="19">
        <f t="shared" si="9"/>
        <v>3180</v>
      </c>
      <c r="Y52" s="19">
        <f t="shared" si="10"/>
        <v>3180</v>
      </c>
      <c r="Z52" s="19">
        <f t="shared" si="11"/>
        <v>3180</v>
      </c>
      <c r="AA52" s="19">
        <f t="shared" si="12"/>
        <v>3180</v>
      </c>
      <c r="AB52" s="19">
        <f t="shared" si="13"/>
        <v>3180</v>
      </c>
      <c r="AC52" s="19">
        <f t="shared" si="14"/>
        <v>35460</v>
      </c>
      <c r="AD52" s="19">
        <f t="shared" si="15"/>
        <v>35460</v>
      </c>
      <c r="AE52" s="19">
        <f t="shared" si="16"/>
        <v>35460</v>
      </c>
      <c r="AF52" s="19">
        <f t="shared" si="17"/>
        <v>35460</v>
      </c>
      <c r="AG52" s="19">
        <f t="shared" si="18"/>
        <v>35460</v>
      </c>
      <c r="AH52" s="19">
        <f t="shared" si="19"/>
        <v>765000</v>
      </c>
      <c r="AI52" s="19">
        <f t="shared" si="20"/>
        <v>765000</v>
      </c>
      <c r="AJ52" s="19">
        <f t="shared" si="21"/>
        <v>765000</v>
      </c>
      <c r="AK52" s="19">
        <f t="shared" si="22"/>
        <v>765000</v>
      </c>
      <c r="AL52" s="19">
        <f t="shared" si="23"/>
        <v>765000</v>
      </c>
      <c r="AM52" s="19">
        <f t="shared" si="24"/>
        <v>147000</v>
      </c>
      <c r="AN52" s="19">
        <f t="shared" si="25"/>
        <v>147000</v>
      </c>
      <c r="AO52" s="19">
        <f t="shared" si="26"/>
        <v>147000</v>
      </c>
      <c r="AP52" s="19">
        <f t="shared" si="27"/>
        <v>147000</v>
      </c>
      <c r="AQ52" s="19">
        <f t="shared" si="28"/>
        <v>147000</v>
      </c>
    </row>
    <row r="53" spans="12:43" x14ac:dyDescent="0.15">
      <c r="L53" s="19">
        <v>49</v>
      </c>
      <c r="M53" s="19">
        <f t="shared" si="36"/>
        <v>3180</v>
      </c>
      <c r="N53" s="19">
        <f t="shared" si="37"/>
        <v>35460</v>
      </c>
      <c r="O53" s="19">
        <f t="shared" si="38"/>
        <v>765000</v>
      </c>
      <c r="P53" s="19">
        <f t="shared" si="39"/>
        <v>147000</v>
      </c>
      <c r="R53" s="19">
        <v>49</v>
      </c>
      <c r="S53" s="19">
        <f>求节点(其他调用!C$4:C$163,其他调用!$B$4:$B$163,其他调用!$C52)</f>
        <v>49</v>
      </c>
      <c r="T53" s="19">
        <f>求节点(其他调用!D$4:D$163,其他调用!$B$4:$B$163,其他调用!$C52)</f>
        <v>47.914818849476326</v>
      </c>
      <c r="U53" s="19">
        <f>求节点(其他调用!E$4:E$163,其他调用!$B$4:$B$163,其他调用!$C52)</f>
        <v>45.888397577021202</v>
      </c>
      <c r="V53" s="19">
        <f>求节点(其他调用!F$4:F$163,其他调用!$B$4:$B$163,其他调用!$C52)</f>
        <v>42.156144499003226</v>
      </c>
      <c r="W53" s="19">
        <f>求节点(其他调用!G$4:G$163,其他调用!$B$4:$B$163,其他调用!$C52)</f>
        <v>40.361479781327184</v>
      </c>
      <c r="X53" s="19">
        <f t="shared" si="9"/>
        <v>3180</v>
      </c>
      <c r="Y53" s="19">
        <f t="shared" si="10"/>
        <v>3180</v>
      </c>
      <c r="Z53" s="19">
        <f t="shared" si="11"/>
        <v>3180</v>
      </c>
      <c r="AA53" s="19">
        <f t="shared" si="12"/>
        <v>3180</v>
      </c>
      <c r="AB53" s="19">
        <f t="shared" si="13"/>
        <v>3180</v>
      </c>
      <c r="AC53" s="19">
        <f t="shared" si="14"/>
        <v>35460</v>
      </c>
      <c r="AD53" s="19">
        <f t="shared" si="15"/>
        <v>35460</v>
      </c>
      <c r="AE53" s="19">
        <f t="shared" si="16"/>
        <v>35460</v>
      </c>
      <c r="AF53" s="19">
        <f t="shared" si="17"/>
        <v>35460</v>
      </c>
      <c r="AG53" s="19">
        <f t="shared" si="18"/>
        <v>35460</v>
      </c>
      <c r="AH53" s="19">
        <f t="shared" si="19"/>
        <v>765000</v>
      </c>
      <c r="AI53" s="19">
        <f t="shared" si="20"/>
        <v>765000</v>
      </c>
      <c r="AJ53" s="19">
        <f t="shared" si="21"/>
        <v>765000</v>
      </c>
      <c r="AK53" s="19">
        <f t="shared" si="22"/>
        <v>765000</v>
      </c>
      <c r="AL53" s="19">
        <f t="shared" si="23"/>
        <v>765000</v>
      </c>
      <c r="AM53" s="19">
        <f t="shared" si="24"/>
        <v>147000</v>
      </c>
      <c r="AN53" s="19">
        <f t="shared" si="25"/>
        <v>147000</v>
      </c>
      <c r="AO53" s="19">
        <f t="shared" si="26"/>
        <v>147000</v>
      </c>
      <c r="AP53" s="19">
        <f t="shared" si="27"/>
        <v>147000</v>
      </c>
      <c r="AQ53" s="19">
        <f t="shared" si="28"/>
        <v>147000</v>
      </c>
    </row>
    <row r="54" spans="12:43" x14ac:dyDescent="0.15">
      <c r="L54" s="19">
        <v>50</v>
      </c>
      <c r="M54" s="19">
        <f t="shared" si="36"/>
        <v>3180</v>
      </c>
      <c r="N54" s="19">
        <f t="shared" si="37"/>
        <v>35460</v>
      </c>
      <c r="O54" s="19">
        <f t="shared" si="38"/>
        <v>765000</v>
      </c>
      <c r="P54" s="19">
        <f t="shared" si="39"/>
        <v>147000</v>
      </c>
      <c r="R54" s="19">
        <v>50</v>
      </c>
      <c r="S54" s="19">
        <f>求节点(其他调用!C$4:C$163,其他调用!$B$4:$B$163,其他调用!$C53)</f>
        <v>50</v>
      </c>
      <c r="T54" s="19">
        <f>求节点(其他调用!D$4:D$163,其他调用!$B$4:$B$163,其他调用!$C53)</f>
        <v>48.940077825679509</v>
      </c>
      <c r="U54" s="19">
        <f>求节点(其他调用!E$4:E$163,其他调用!$B$4:$B$163,其他调用!$C53)</f>
        <v>46.814155459037075</v>
      </c>
      <c r="V54" s="19">
        <f>求节点(其他调用!F$4:F$163,其他调用!$B$4:$B$163,其他调用!$C53)</f>
        <v>43.010454059262905</v>
      </c>
      <c r="W54" s="19">
        <f>求节点(其他调用!G$4:G$163,其他调用!$B$4:$B$163,其他调用!$C53)</f>
        <v>41.182344780581573</v>
      </c>
      <c r="X54" s="19">
        <f t="shared" si="9"/>
        <v>3180</v>
      </c>
      <c r="Y54" s="19">
        <f t="shared" si="10"/>
        <v>3180</v>
      </c>
      <c r="Z54" s="19">
        <f t="shared" si="11"/>
        <v>3180</v>
      </c>
      <c r="AA54" s="19">
        <f t="shared" si="12"/>
        <v>3180</v>
      </c>
      <c r="AB54" s="19">
        <f t="shared" si="13"/>
        <v>3180</v>
      </c>
      <c r="AC54" s="19">
        <f t="shared" si="14"/>
        <v>35460</v>
      </c>
      <c r="AD54" s="19">
        <f t="shared" si="15"/>
        <v>35460</v>
      </c>
      <c r="AE54" s="19">
        <f t="shared" si="16"/>
        <v>35460</v>
      </c>
      <c r="AF54" s="19">
        <f t="shared" si="17"/>
        <v>35460</v>
      </c>
      <c r="AG54" s="19">
        <f t="shared" si="18"/>
        <v>35460</v>
      </c>
      <c r="AH54" s="19">
        <f t="shared" si="19"/>
        <v>765000</v>
      </c>
      <c r="AI54" s="19">
        <f t="shared" si="20"/>
        <v>765000</v>
      </c>
      <c r="AJ54" s="19">
        <f t="shared" si="21"/>
        <v>765000</v>
      </c>
      <c r="AK54" s="19">
        <f t="shared" si="22"/>
        <v>765000</v>
      </c>
      <c r="AL54" s="19">
        <f t="shared" si="23"/>
        <v>765000</v>
      </c>
      <c r="AM54" s="19">
        <f t="shared" si="24"/>
        <v>147000</v>
      </c>
      <c r="AN54" s="19">
        <f t="shared" si="25"/>
        <v>147000</v>
      </c>
      <c r="AO54" s="19">
        <f t="shared" si="26"/>
        <v>147000</v>
      </c>
      <c r="AP54" s="19">
        <f t="shared" si="27"/>
        <v>147000</v>
      </c>
      <c r="AQ54" s="19">
        <f t="shared" si="28"/>
        <v>147000</v>
      </c>
    </row>
    <row r="55" spans="12:43" x14ac:dyDescent="0.15">
      <c r="L55" s="19">
        <v>51</v>
      </c>
      <c r="M55" s="19">
        <f t="shared" si="36"/>
        <v>3180</v>
      </c>
      <c r="N55" s="19">
        <f t="shared" si="37"/>
        <v>35460</v>
      </c>
      <c r="O55" s="19">
        <f t="shared" si="38"/>
        <v>765000</v>
      </c>
      <c r="P55" s="19">
        <f t="shared" si="39"/>
        <v>147000</v>
      </c>
      <c r="R55" s="19">
        <v>51</v>
      </c>
      <c r="S55" s="19">
        <f>求节点(其他调用!C$4:C$163,其他调用!$B$4:$B$163,其他调用!$C54)</f>
        <v>51</v>
      </c>
      <c r="T55" s="19">
        <f>求节点(其他调用!D$4:D$163,其他调用!$B$4:$B$163,其他调用!$C54)</f>
        <v>50.17601066521982</v>
      </c>
      <c r="U55" s="19">
        <f>求节点(其他调用!E$4:E$163,其他调用!$B$4:$B$163,其他调用!$C54)</f>
        <v>48.114727522013901</v>
      </c>
      <c r="V55" s="19">
        <f>求节点(其他调用!F$4:F$163,其他调用!$B$4:$B$163,其他调用!$C54)</f>
        <v>44.142666529165915</v>
      </c>
      <c r="W55" s="19">
        <f>求节点(其他调用!G$4:G$163,其他调用!$B$4:$B$163,其他调用!$C54)</f>
        <v>42.314284870508764</v>
      </c>
      <c r="X55" s="19">
        <f t="shared" si="9"/>
        <v>3180</v>
      </c>
      <c r="Y55" s="19">
        <f t="shared" si="10"/>
        <v>3180</v>
      </c>
      <c r="Z55" s="19">
        <f t="shared" si="11"/>
        <v>3180</v>
      </c>
      <c r="AA55" s="19">
        <f t="shared" si="12"/>
        <v>3180</v>
      </c>
      <c r="AB55" s="19">
        <f t="shared" si="13"/>
        <v>3180</v>
      </c>
      <c r="AC55" s="19">
        <f t="shared" si="14"/>
        <v>35460</v>
      </c>
      <c r="AD55" s="19">
        <f t="shared" si="15"/>
        <v>35460</v>
      </c>
      <c r="AE55" s="19">
        <f t="shared" si="16"/>
        <v>35460</v>
      </c>
      <c r="AF55" s="19">
        <f t="shared" si="17"/>
        <v>35460</v>
      </c>
      <c r="AG55" s="19">
        <f t="shared" si="18"/>
        <v>35460</v>
      </c>
      <c r="AH55" s="19">
        <f t="shared" si="19"/>
        <v>765000</v>
      </c>
      <c r="AI55" s="19">
        <f t="shared" si="20"/>
        <v>765000</v>
      </c>
      <c r="AJ55" s="19">
        <f t="shared" si="21"/>
        <v>765000</v>
      </c>
      <c r="AK55" s="19">
        <f t="shared" si="22"/>
        <v>765000</v>
      </c>
      <c r="AL55" s="19">
        <f t="shared" si="23"/>
        <v>765000</v>
      </c>
      <c r="AM55" s="19">
        <f t="shared" si="24"/>
        <v>147000</v>
      </c>
      <c r="AN55" s="19">
        <f t="shared" si="25"/>
        <v>147000</v>
      </c>
      <c r="AO55" s="19">
        <f t="shared" si="26"/>
        <v>147000</v>
      </c>
      <c r="AP55" s="19">
        <f t="shared" si="27"/>
        <v>147000</v>
      </c>
      <c r="AQ55" s="19">
        <f t="shared" si="28"/>
        <v>147000</v>
      </c>
    </row>
    <row r="56" spans="12:43" x14ac:dyDescent="0.15">
      <c r="L56" s="19">
        <v>52</v>
      </c>
      <c r="M56" s="19">
        <f t="shared" si="36"/>
        <v>3180</v>
      </c>
      <c r="N56" s="19">
        <f t="shared" si="37"/>
        <v>35460</v>
      </c>
      <c r="O56" s="19">
        <f t="shared" si="38"/>
        <v>765000</v>
      </c>
      <c r="P56" s="19">
        <f t="shared" si="39"/>
        <v>147000</v>
      </c>
      <c r="R56" s="19">
        <v>52</v>
      </c>
      <c r="S56" s="19">
        <f>求节点(其他调用!C$4:C$163,其他调用!$B$4:$B$163,其他调用!$C55)</f>
        <v>52</v>
      </c>
      <c r="T56" s="19">
        <f>求节点(其他调用!D$4:D$163,其他调用!$B$4:$B$163,其他调用!$C55)</f>
        <v>51.15785544161804</v>
      </c>
      <c r="U56" s="19">
        <f>求节点(其他调用!E$4:E$163,其他调用!$B$4:$B$163,其他调用!$C55)</f>
        <v>49.241189917005954</v>
      </c>
      <c r="V56" s="19">
        <f>求节点(其他调用!F$4:F$163,其他调用!$B$4:$B$163,其他调用!$C55)</f>
        <v>45.292401630119812</v>
      </c>
      <c r="W56" s="19">
        <f>求节点(其他调用!G$4:G$163,其他调用!$B$4:$B$163,其他调用!$C55)</f>
        <v>43.428776066921237</v>
      </c>
      <c r="X56" s="19">
        <f t="shared" si="9"/>
        <v>3180</v>
      </c>
      <c r="Y56" s="19">
        <f t="shared" si="10"/>
        <v>3180</v>
      </c>
      <c r="Z56" s="19">
        <f t="shared" si="11"/>
        <v>3180</v>
      </c>
      <c r="AA56" s="19">
        <f t="shared" si="12"/>
        <v>3180</v>
      </c>
      <c r="AB56" s="19">
        <f t="shared" si="13"/>
        <v>3180</v>
      </c>
      <c r="AC56" s="19">
        <f t="shared" si="14"/>
        <v>35460</v>
      </c>
      <c r="AD56" s="19">
        <f t="shared" si="15"/>
        <v>35460</v>
      </c>
      <c r="AE56" s="19">
        <f t="shared" si="16"/>
        <v>35460</v>
      </c>
      <c r="AF56" s="19">
        <f t="shared" si="17"/>
        <v>35460</v>
      </c>
      <c r="AG56" s="19">
        <f t="shared" si="18"/>
        <v>35460</v>
      </c>
      <c r="AH56" s="19">
        <f t="shared" si="19"/>
        <v>765000</v>
      </c>
      <c r="AI56" s="19">
        <f t="shared" si="20"/>
        <v>765000</v>
      </c>
      <c r="AJ56" s="19">
        <f t="shared" si="21"/>
        <v>765000</v>
      </c>
      <c r="AK56" s="19">
        <f t="shared" si="22"/>
        <v>765000</v>
      </c>
      <c r="AL56" s="19">
        <f t="shared" si="23"/>
        <v>765000</v>
      </c>
      <c r="AM56" s="19">
        <f t="shared" si="24"/>
        <v>147000</v>
      </c>
      <c r="AN56" s="19">
        <f t="shared" si="25"/>
        <v>147000</v>
      </c>
      <c r="AO56" s="19">
        <f t="shared" si="26"/>
        <v>147000</v>
      </c>
      <c r="AP56" s="19">
        <f t="shared" si="27"/>
        <v>147000</v>
      </c>
      <c r="AQ56" s="19">
        <f t="shared" si="28"/>
        <v>147000</v>
      </c>
    </row>
    <row r="57" spans="12:43" x14ac:dyDescent="0.15">
      <c r="L57" s="19">
        <v>53</v>
      </c>
      <c r="M57" s="19">
        <f t="shared" si="36"/>
        <v>3180</v>
      </c>
      <c r="N57" s="19">
        <f t="shared" si="37"/>
        <v>35460</v>
      </c>
      <c r="O57" s="19">
        <f t="shared" si="38"/>
        <v>765000</v>
      </c>
      <c r="P57" s="19">
        <f t="shared" si="39"/>
        <v>147000</v>
      </c>
      <c r="R57" s="19">
        <v>53</v>
      </c>
      <c r="S57" s="19">
        <f>求节点(其他调用!C$4:C$163,其他调用!$B$4:$B$163,其他调用!$C56)</f>
        <v>53</v>
      </c>
      <c r="T57" s="19">
        <f>求节点(其他调用!D$4:D$163,其他调用!$B$4:$B$163,其他调用!$C56)</f>
        <v>52.124163654282924</v>
      </c>
      <c r="U57" s="19">
        <f>求节点(其他调用!E$4:E$163,其他调用!$B$4:$B$163,其他调用!$C56)</f>
        <v>50.026494652360654</v>
      </c>
      <c r="V57" s="19">
        <f>求节点(其他调用!F$4:F$163,其他调用!$B$4:$B$163,其他调用!$C56)</f>
        <v>46.48186624987045</v>
      </c>
      <c r="W57" s="19">
        <f>求节点(其他调用!G$4:G$163,其他调用!$B$4:$B$163,其他调用!$C56)</f>
        <v>44.5616418098626</v>
      </c>
      <c r="X57" s="19">
        <f t="shared" si="9"/>
        <v>3180</v>
      </c>
      <c r="Y57" s="19">
        <f t="shared" si="10"/>
        <v>3180</v>
      </c>
      <c r="Z57" s="19">
        <f t="shared" si="11"/>
        <v>3180</v>
      </c>
      <c r="AA57" s="19">
        <f t="shared" si="12"/>
        <v>3180</v>
      </c>
      <c r="AB57" s="19">
        <f t="shared" si="13"/>
        <v>3180</v>
      </c>
      <c r="AC57" s="19">
        <f t="shared" si="14"/>
        <v>35460</v>
      </c>
      <c r="AD57" s="19">
        <f t="shared" si="15"/>
        <v>35460</v>
      </c>
      <c r="AE57" s="19">
        <f t="shared" si="16"/>
        <v>35460</v>
      </c>
      <c r="AF57" s="19">
        <f t="shared" si="17"/>
        <v>35460</v>
      </c>
      <c r="AG57" s="19">
        <f t="shared" si="18"/>
        <v>35460</v>
      </c>
      <c r="AH57" s="19">
        <f t="shared" si="19"/>
        <v>765000</v>
      </c>
      <c r="AI57" s="19">
        <f t="shared" si="20"/>
        <v>765000</v>
      </c>
      <c r="AJ57" s="19">
        <f t="shared" si="21"/>
        <v>765000</v>
      </c>
      <c r="AK57" s="19">
        <f t="shared" si="22"/>
        <v>765000</v>
      </c>
      <c r="AL57" s="19">
        <f t="shared" si="23"/>
        <v>765000</v>
      </c>
      <c r="AM57" s="19">
        <f t="shared" si="24"/>
        <v>147000</v>
      </c>
      <c r="AN57" s="19">
        <f t="shared" si="25"/>
        <v>147000</v>
      </c>
      <c r="AO57" s="19">
        <f t="shared" si="26"/>
        <v>147000</v>
      </c>
      <c r="AP57" s="19">
        <f t="shared" si="27"/>
        <v>147000</v>
      </c>
      <c r="AQ57" s="19">
        <f t="shared" si="28"/>
        <v>147000</v>
      </c>
    </row>
    <row r="58" spans="12:43" x14ac:dyDescent="0.15">
      <c r="L58" s="19">
        <v>54</v>
      </c>
      <c r="M58" s="19">
        <f t="shared" si="36"/>
        <v>3180</v>
      </c>
      <c r="N58" s="19">
        <f t="shared" si="37"/>
        <v>35460</v>
      </c>
      <c r="O58" s="19">
        <f t="shared" si="38"/>
        <v>765000</v>
      </c>
      <c r="P58" s="19">
        <f t="shared" si="39"/>
        <v>147000</v>
      </c>
      <c r="R58" s="19">
        <v>54</v>
      </c>
      <c r="S58" s="19">
        <f>求节点(其他调用!C$4:C$163,其他调用!$B$4:$B$163,其他调用!$C57)</f>
        <v>54</v>
      </c>
      <c r="T58" s="19">
        <f>求节点(其他调用!D$4:D$163,其他调用!$B$4:$B$163,其他调用!$C57)</f>
        <v>53.10459741945877</v>
      </c>
      <c r="U58" s="19">
        <f>求节点(其他调用!E$4:E$163,其他调用!$B$4:$B$163,其他调用!$C57)</f>
        <v>50.64776435351115</v>
      </c>
      <c r="V58" s="19">
        <f>求节点(其他调用!F$4:F$163,其他调用!$B$4:$B$163,其他调用!$C57)</f>
        <v>47.707840717256921</v>
      </c>
      <c r="W58" s="19">
        <f>求节点(其他调用!G$4:G$163,其他调用!$B$4:$B$163,其他调用!$C57)</f>
        <v>45.731279310915319</v>
      </c>
      <c r="X58" s="19">
        <f t="shared" si="9"/>
        <v>3180</v>
      </c>
      <c r="Y58" s="19">
        <f t="shared" si="10"/>
        <v>3180</v>
      </c>
      <c r="Z58" s="19">
        <f t="shared" si="11"/>
        <v>3180</v>
      </c>
      <c r="AA58" s="19">
        <f t="shared" si="12"/>
        <v>3180</v>
      </c>
      <c r="AB58" s="19">
        <f t="shared" si="13"/>
        <v>3180</v>
      </c>
      <c r="AC58" s="19">
        <f t="shared" si="14"/>
        <v>35460</v>
      </c>
      <c r="AD58" s="19">
        <f t="shared" si="15"/>
        <v>35460</v>
      </c>
      <c r="AE58" s="19">
        <f t="shared" si="16"/>
        <v>35460</v>
      </c>
      <c r="AF58" s="19">
        <f t="shared" si="17"/>
        <v>35460</v>
      </c>
      <c r="AG58" s="19">
        <f t="shared" si="18"/>
        <v>35460</v>
      </c>
      <c r="AH58" s="19">
        <f t="shared" si="19"/>
        <v>765000</v>
      </c>
      <c r="AI58" s="19">
        <f t="shared" si="20"/>
        <v>765000</v>
      </c>
      <c r="AJ58" s="19">
        <f t="shared" si="21"/>
        <v>765000</v>
      </c>
      <c r="AK58" s="19">
        <f t="shared" si="22"/>
        <v>765000</v>
      </c>
      <c r="AL58" s="19">
        <f t="shared" si="23"/>
        <v>765000</v>
      </c>
      <c r="AM58" s="19">
        <f t="shared" si="24"/>
        <v>147000</v>
      </c>
      <c r="AN58" s="19">
        <f t="shared" si="25"/>
        <v>147000</v>
      </c>
      <c r="AO58" s="19">
        <f t="shared" si="26"/>
        <v>147000</v>
      </c>
      <c r="AP58" s="19">
        <f t="shared" si="27"/>
        <v>147000</v>
      </c>
      <c r="AQ58" s="19">
        <f t="shared" si="28"/>
        <v>147000</v>
      </c>
    </row>
    <row r="59" spans="12:43" x14ac:dyDescent="0.15">
      <c r="L59" s="19">
        <v>55</v>
      </c>
      <c r="M59" s="19">
        <f t="shared" si="36"/>
        <v>3180</v>
      </c>
      <c r="N59" s="19">
        <f t="shared" si="37"/>
        <v>35460</v>
      </c>
      <c r="O59" s="19">
        <f t="shared" si="38"/>
        <v>765000</v>
      </c>
      <c r="P59" s="19">
        <f t="shared" si="39"/>
        <v>147000</v>
      </c>
      <c r="R59" s="19">
        <v>55</v>
      </c>
      <c r="S59" s="19">
        <f>求节点(其他调用!C$4:C$163,其他调用!$B$4:$B$163,其他调用!$C58)</f>
        <v>55</v>
      </c>
      <c r="T59" s="19">
        <f>求节点(其他调用!D$4:D$163,其他调用!$B$4:$B$163,其他调用!$C58)</f>
        <v>54.079540260108487</v>
      </c>
      <c r="U59" s="19">
        <f>求节点(其他调用!E$4:E$163,其他调用!$B$4:$B$163,其他调用!$C58)</f>
        <v>51.309360607226651</v>
      </c>
      <c r="V59" s="19">
        <f>求节点(其他调用!F$4:F$163,其他调用!$B$4:$B$163,其他调用!$C58)</f>
        <v>48.732875721515796</v>
      </c>
      <c r="W59" s="19">
        <f>求节点(其他调用!G$4:G$163,其他调用!$B$4:$B$163,其他调用!$C58)</f>
        <v>46.947744402749031</v>
      </c>
      <c r="X59" s="19">
        <f t="shared" si="9"/>
        <v>3180</v>
      </c>
      <c r="Y59" s="19">
        <f t="shared" si="10"/>
        <v>3180</v>
      </c>
      <c r="Z59" s="19">
        <f t="shared" si="11"/>
        <v>3180</v>
      </c>
      <c r="AA59" s="19">
        <f t="shared" si="12"/>
        <v>3180</v>
      </c>
      <c r="AB59" s="19">
        <f t="shared" si="13"/>
        <v>3180</v>
      </c>
      <c r="AC59" s="19">
        <f t="shared" si="14"/>
        <v>35460</v>
      </c>
      <c r="AD59" s="19">
        <f t="shared" si="15"/>
        <v>35460</v>
      </c>
      <c r="AE59" s="19">
        <f t="shared" si="16"/>
        <v>35460</v>
      </c>
      <c r="AF59" s="19">
        <f t="shared" si="17"/>
        <v>35460</v>
      </c>
      <c r="AG59" s="19">
        <f t="shared" si="18"/>
        <v>35460</v>
      </c>
      <c r="AH59" s="19">
        <f t="shared" si="19"/>
        <v>765000</v>
      </c>
      <c r="AI59" s="19">
        <f t="shared" si="20"/>
        <v>765000</v>
      </c>
      <c r="AJ59" s="19">
        <f t="shared" si="21"/>
        <v>765000</v>
      </c>
      <c r="AK59" s="19">
        <f t="shared" si="22"/>
        <v>765000</v>
      </c>
      <c r="AL59" s="19">
        <f t="shared" si="23"/>
        <v>765000</v>
      </c>
      <c r="AM59" s="19">
        <f t="shared" si="24"/>
        <v>147000</v>
      </c>
      <c r="AN59" s="19">
        <f t="shared" si="25"/>
        <v>147000</v>
      </c>
      <c r="AO59" s="19">
        <f t="shared" si="26"/>
        <v>147000</v>
      </c>
      <c r="AP59" s="19">
        <f t="shared" si="27"/>
        <v>147000</v>
      </c>
      <c r="AQ59" s="19">
        <f t="shared" si="28"/>
        <v>147000</v>
      </c>
    </row>
    <row r="60" spans="12:43" x14ac:dyDescent="0.15">
      <c r="L60" s="19">
        <v>56</v>
      </c>
      <c r="M60" s="19">
        <f t="shared" si="36"/>
        <v>3180</v>
      </c>
      <c r="N60" s="19">
        <f t="shared" si="37"/>
        <v>35460</v>
      </c>
      <c r="O60" s="19">
        <f t="shared" si="38"/>
        <v>765000</v>
      </c>
      <c r="P60" s="19">
        <f t="shared" si="39"/>
        <v>147000</v>
      </c>
      <c r="R60" s="19">
        <v>56</v>
      </c>
      <c r="S60" s="19">
        <f>求节点(其他调用!C$4:C$163,其他调用!$B$4:$B$163,其他调用!$C59)</f>
        <v>56</v>
      </c>
      <c r="T60" s="19">
        <f>求节点(其他调用!D$4:D$163,其他调用!$B$4:$B$163,其他调用!$C59)</f>
        <v>55.065248360746388</v>
      </c>
      <c r="U60" s="19">
        <f>求节点(其他调用!E$4:E$163,其他调用!$B$4:$B$163,其他调用!$C59)</f>
        <v>52.000022206194622</v>
      </c>
      <c r="V60" s="19">
        <f>求节点(其他调用!F$4:F$163,其他调用!$B$4:$B$163,其他调用!$C59)</f>
        <v>49.933875095938703</v>
      </c>
      <c r="W60" s="19">
        <f>求节点(其他调用!G$4:G$163,其他调用!$B$4:$B$163,其他调用!$C59)</f>
        <v>48.174598129921307</v>
      </c>
      <c r="X60" s="19">
        <f t="shared" si="9"/>
        <v>3180</v>
      </c>
      <c r="Y60" s="19">
        <f t="shared" si="10"/>
        <v>3180</v>
      </c>
      <c r="Z60" s="19">
        <f t="shared" si="11"/>
        <v>3180</v>
      </c>
      <c r="AA60" s="19">
        <f t="shared" si="12"/>
        <v>3180</v>
      </c>
      <c r="AB60" s="19">
        <f t="shared" si="13"/>
        <v>3180</v>
      </c>
      <c r="AC60" s="19">
        <f t="shared" si="14"/>
        <v>35460</v>
      </c>
      <c r="AD60" s="19">
        <f t="shared" si="15"/>
        <v>35460</v>
      </c>
      <c r="AE60" s="19">
        <f t="shared" si="16"/>
        <v>35460</v>
      </c>
      <c r="AF60" s="19">
        <f t="shared" si="17"/>
        <v>35460</v>
      </c>
      <c r="AG60" s="19">
        <f t="shared" si="18"/>
        <v>35460</v>
      </c>
      <c r="AH60" s="19">
        <f t="shared" si="19"/>
        <v>765000</v>
      </c>
      <c r="AI60" s="19">
        <f t="shared" si="20"/>
        <v>765000</v>
      </c>
      <c r="AJ60" s="19">
        <f t="shared" si="21"/>
        <v>765000</v>
      </c>
      <c r="AK60" s="19">
        <f t="shared" si="22"/>
        <v>765000</v>
      </c>
      <c r="AL60" s="19">
        <f t="shared" si="23"/>
        <v>765000</v>
      </c>
      <c r="AM60" s="19">
        <f t="shared" si="24"/>
        <v>147000</v>
      </c>
      <c r="AN60" s="19">
        <f t="shared" si="25"/>
        <v>147000</v>
      </c>
      <c r="AO60" s="19">
        <f t="shared" si="26"/>
        <v>147000</v>
      </c>
      <c r="AP60" s="19">
        <f t="shared" si="27"/>
        <v>147000</v>
      </c>
      <c r="AQ60" s="19">
        <f t="shared" si="28"/>
        <v>147000</v>
      </c>
    </row>
    <row r="61" spans="12:43" x14ac:dyDescent="0.15">
      <c r="L61" s="19">
        <v>57</v>
      </c>
      <c r="M61" s="19">
        <f t="shared" si="36"/>
        <v>3180</v>
      </c>
      <c r="N61" s="19">
        <f t="shared" si="37"/>
        <v>35460</v>
      </c>
      <c r="O61" s="19">
        <f t="shared" si="38"/>
        <v>765000</v>
      </c>
      <c r="P61" s="19">
        <f t="shared" si="39"/>
        <v>147000</v>
      </c>
      <c r="R61" s="19">
        <v>57</v>
      </c>
      <c r="S61" s="19">
        <f>求节点(其他调用!C$4:C$163,其他调用!$B$4:$B$163,其他调用!$C60)</f>
        <v>57</v>
      </c>
      <c r="T61" s="19">
        <f>求节点(其他调用!D$4:D$163,其他调用!$B$4:$B$163,其他调用!$C60)</f>
        <v>56.122203150228408</v>
      </c>
      <c r="U61" s="19">
        <f>求节点(其他调用!E$4:E$163,其他调用!$B$4:$B$163,其他调用!$C60)</f>
        <v>52.720756910363008</v>
      </c>
      <c r="V61" s="19">
        <f>求节点(其他调用!F$4:F$163,其他调用!$B$4:$B$163,其他调用!$C60)</f>
        <v>50.93185632612898</v>
      </c>
      <c r="W61" s="19">
        <f>求节点(其他调用!G$4:G$163,其他调用!$B$4:$B$163,其他调用!$C60)</f>
        <v>49.491771378560095</v>
      </c>
      <c r="X61" s="19">
        <f t="shared" si="9"/>
        <v>3180</v>
      </c>
      <c r="Y61" s="19">
        <f t="shared" si="10"/>
        <v>3180</v>
      </c>
      <c r="Z61" s="19">
        <f t="shared" si="11"/>
        <v>3180</v>
      </c>
      <c r="AA61" s="19">
        <f t="shared" si="12"/>
        <v>3180</v>
      </c>
      <c r="AB61" s="19">
        <f t="shared" si="13"/>
        <v>3180</v>
      </c>
      <c r="AC61" s="19">
        <f t="shared" si="14"/>
        <v>35460</v>
      </c>
      <c r="AD61" s="19">
        <f t="shared" si="15"/>
        <v>35460</v>
      </c>
      <c r="AE61" s="19">
        <f t="shared" si="16"/>
        <v>35460</v>
      </c>
      <c r="AF61" s="19">
        <f t="shared" si="17"/>
        <v>35460</v>
      </c>
      <c r="AG61" s="19">
        <f t="shared" si="18"/>
        <v>35460</v>
      </c>
      <c r="AH61" s="19">
        <f t="shared" si="19"/>
        <v>765000</v>
      </c>
      <c r="AI61" s="19">
        <f t="shared" si="20"/>
        <v>765000</v>
      </c>
      <c r="AJ61" s="19">
        <f t="shared" si="21"/>
        <v>765000</v>
      </c>
      <c r="AK61" s="19">
        <f t="shared" si="22"/>
        <v>765000</v>
      </c>
      <c r="AL61" s="19">
        <f t="shared" si="23"/>
        <v>765000</v>
      </c>
      <c r="AM61" s="19">
        <f t="shared" si="24"/>
        <v>147000</v>
      </c>
      <c r="AN61" s="19">
        <f t="shared" si="25"/>
        <v>147000</v>
      </c>
      <c r="AO61" s="19">
        <f t="shared" si="26"/>
        <v>147000</v>
      </c>
      <c r="AP61" s="19">
        <f t="shared" si="27"/>
        <v>147000</v>
      </c>
      <c r="AQ61" s="19">
        <f t="shared" si="28"/>
        <v>147000</v>
      </c>
    </row>
    <row r="62" spans="12:43" x14ac:dyDescent="0.15">
      <c r="L62" s="19">
        <v>58</v>
      </c>
      <c r="M62" s="19">
        <f t="shared" si="36"/>
        <v>3180</v>
      </c>
      <c r="N62" s="19">
        <f t="shared" si="37"/>
        <v>35460</v>
      </c>
      <c r="O62" s="19">
        <f t="shared" si="38"/>
        <v>765000</v>
      </c>
      <c r="P62" s="19">
        <f t="shared" si="39"/>
        <v>147000</v>
      </c>
      <c r="R62" s="19">
        <v>58</v>
      </c>
      <c r="S62" s="19">
        <f>求节点(其他调用!C$4:C$163,其他调用!$B$4:$B$163,其他调用!$C61)</f>
        <v>58</v>
      </c>
      <c r="T62" s="19">
        <f>求节点(其他调用!D$4:D$163,其他调用!$B$4:$B$163,其他调用!$C61)</f>
        <v>57.123022645022516</v>
      </c>
      <c r="U62" s="19">
        <f>求节点(其他调用!E$4:E$163,其他调用!$B$4:$B$163,其他调用!$C61)</f>
        <v>53.725270472306235</v>
      </c>
      <c r="V62" s="19">
        <f>求节点(其他调用!F$4:F$163,其他调用!$B$4:$B$163,其他调用!$C61)</f>
        <v>51.85459145738367</v>
      </c>
      <c r="W62" s="19">
        <f>求节点(其他调用!G$4:G$163,其他调用!$B$4:$B$163,其他调用!$C61)</f>
        <v>50.497389137865042</v>
      </c>
      <c r="X62" s="19">
        <f t="shared" si="9"/>
        <v>3180</v>
      </c>
      <c r="Y62" s="19">
        <f t="shared" si="10"/>
        <v>3180</v>
      </c>
      <c r="Z62" s="19">
        <f t="shared" si="11"/>
        <v>3180</v>
      </c>
      <c r="AA62" s="19">
        <f t="shared" si="12"/>
        <v>3180</v>
      </c>
      <c r="AB62" s="19">
        <f t="shared" si="13"/>
        <v>3180</v>
      </c>
      <c r="AC62" s="19">
        <f t="shared" si="14"/>
        <v>35460</v>
      </c>
      <c r="AD62" s="19">
        <f t="shared" si="15"/>
        <v>35460</v>
      </c>
      <c r="AE62" s="19">
        <f t="shared" si="16"/>
        <v>35460</v>
      </c>
      <c r="AF62" s="19">
        <f t="shared" si="17"/>
        <v>35460</v>
      </c>
      <c r="AG62" s="19">
        <f t="shared" si="18"/>
        <v>35460</v>
      </c>
      <c r="AH62" s="19">
        <f t="shared" si="19"/>
        <v>765000</v>
      </c>
      <c r="AI62" s="19">
        <f t="shared" si="20"/>
        <v>765000</v>
      </c>
      <c r="AJ62" s="19">
        <f t="shared" si="21"/>
        <v>765000</v>
      </c>
      <c r="AK62" s="19">
        <f t="shared" si="22"/>
        <v>765000</v>
      </c>
      <c r="AL62" s="19">
        <f t="shared" si="23"/>
        <v>765000</v>
      </c>
      <c r="AM62" s="19">
        <f t="shared" si="24"/>
        <v>147000</v>
      </c>
      <c r="AN62" s="19">
        <f t="shared" si="25"/>
        <v>147000</v>
      </c>
      <c r="AO62" s="19">
        <f t="shared" si="26"/>
        <v>147000</v>
      </c>
      <c r="AP62" s="19">
        <f t="shared" si="27"/>
        <v>147000</v>
      </c>
      <c r="AQ62" s="19">
        <f t="shared" si="28"/>
        <v>147000</v>
      </c>
    </row>
    <row r="63" spans="12:43" x14ac:dyDescent="0.15">
      <c r="L63" s="19">
        <v>59</v>
      </c>
      <c r="M63" s="19">
        <f t="shared" si="36"/>
        <v>3180</v>
      </c>
      <c r="N63" s="19">
        <f t="shared" si="37"/>
        <v>35460</v>
      </c>
      <c r="O63" s="19">
        <f t="shared" si="38"/>
        <v>765000</v>
      </c>
      <c r="P63" s="19">
        <f t="shared" si="39"/>
        <v>147000</v>
      </c>
      <c r="R63" s="19">
        <v>59</v>
      </c>
      <c r="S63" s="19">
        <f>求节点(其他调用!C$4:C$163,其他调用!$B$4:$B$163,其他调用!$C62)</f>
        <v>59</v>
      </c>
      <c r="T63" s="19">
        <f>求节点(其他调用!D$4:D$163,其他调用!$B$4:$B$163,其他调用!$C62)</f>
        <v>58.126626391332984</v>
      </c>
      <c r="U63" s="19">
        <f>求节点(其他调用!E$4:E$163,其他调用!$B$4:$B$163,其他调用!$C62)</f>
        <v>55.092538850984688</v>
      </c>
      <c r="V63" s="19">
        <f>求节点(其他调用!F$4:F$163,其他调用!$B$4:$B$163,其他调用!$C62)</f>
        <v>52.760766264054546</v>
      </c>
      <c r="W63" s="19">
        <f>求节点(其他调用!G$4:G$163,其他调用!$B$4:$B$163,其他调用!$C62)</f>
        <v>51.344694430119716</v>
      </c>
      <c r="X63" s="19">
        <f t="shared" si="9"/>
        <v>3180</v>
      </c>
      <c r="Y63" s="19">
        <f t="shared" si="10"/>
        <v>3180</v>
      </c>
      <c r="Z63" s="19">
        <f t="shared" si="11"/>
        <v>3180</v>
      </c>
      <c r="AA63" s="19">
        <f t="shared" si="12"/>
        <v>3180</v>
      </c>
      <c r="AB63" s="19">
        <f t="shared" si="13"/>
        <v>3180</v>
      </c>
      <c r="AC63" s="19">
        <f t="shared" si="14"/>
        <v>35460</v>
      </c>
      <c r="AD63" s="19">
        <f t="shared" si="15"/>
        <v>35460</v>
      </c>
      <c r="AE63" s="19">
        <f t="shared" si="16"/>
        <v>35460</v>
      </c>
      <c r="AF63" s="19">
        <f t="shared" si="17"/>
        <v>35460</v>
      </c>
      <c r="AG63" s="19">
        <f t="shared" si="18"/>
        <v>35460</v>
      </c>
      <c r="AH63" s="19">
        <f t="shared" si="19"/>
        <v>765000</v>
      </c>
      <c r="AI63" s="19">
        <f t="shared" si="20"/>
        <v>765000</v>
      </c>
      <c r="AJ63" s="19">
        <f t="shared" si="21"/>
        <v>765000</v>
      </c>
      <c r="AK63" s="19">
        <f t="shared" si="22"/>
        <v>765000</v>
      </c>
      <c r="AL63" s="19">
        <f t="shared" si="23"/>
        <v>765000</v>
      </c>
      <c r="AM63" s="19">
        <f t="shared" si="24"/>
        <v>147000</v>
      </c>
      <c r="AN63" s="19">
        <f t="shared" si="25"/>
        <v>147000</v>
      </c>
      <c r="AO63" s="19">
        <f t="shared" si="26"/>
        <v>147000</v>
      </c>
      <c r="AP63" s="19">
        <f t="shared" si="27"/>
        <v>147000</v>
      </c>
      <c r="AQ63" s="19">
        <f t="shared" si="28"/>
        <v>147000</v>
      </c>
    </row>
    <row r="64" spans="12:43" x14ac:dyDescent="0.15">
      <c r="L64" s="19">
        <v>60</v>
      </c>
      <c r="M64" s="19">
        <f t="shared" si="36"/>
        <v>3180</v>
      </c>
      <c r="N64" s="19">
        <f t="shared" si="37"/>
        <v>35460</v>
      </c>
      <c r="O64" s="19">
        <f t="shared" si="38"/>
        <v>765000</v>
      </c>
      <c r="P64" s="19">
        <f t="shared" si="39"/>
        <v>147000</v>
      </c>
      <c r="R64" s="19">
        <v>60</v>
      </c>
      <c r="S64" s="19">
        <f>求节点(其他调用!C$4:C$163,其他调用!$B$4:$B$163,其他调用!$C63)</f>
        <v>60</v>
      </c>
      <c r="T64" s="19">
        <f>求节点(其他调用!D$4:D$163,其他调用!$B$4:$B$163,其他调用!$C63)</f>
        <v>59.205358406697492</v>
      </c>
      <c r="U64" s="19">
        <f>求节点(其他调用!E$4:E$163,其他调用!$B$4:$B$163,其他调用!$C63)</f>
        <v>56.737858137093006</v>
      </c>
      <c r="V64" s="19">
        <f>求节点(其他调用!F$4:F$163,其他调用!$B$4:$B$163,其他调用!$C63)</f>
        <v>53.763092981878088</v>
      </c>
      <c r="W64" s="19">
        <f>求节点(其他调用!G$4:G$163,其他调用!$B$4:$B$163,其他调用!$C63)</f>
        <v>52.338371395299703</v>
      </c>
      <c r="X64" s="19">
        <f t="shared" si="9"/>
        <v>3180</v>
      </c>
      <c r="Y64" s="19">
        <f t="shared" si="10"/>
        <v>3180</v>
      </c>
      <c r="Z64" s="19">
        <f t="shared" si="11"/>
        <v>3180</v>
      </c>
      <c r="AA64" s="19">
        <f t="shared" si="12"/>
        <v>3180</v>
      </c>
      <c r="AB64" s="19">
        <f t="shared" si="13"/>
        <v>3180</v>
      </c>
      <c r="AC64" s="19">
        <f t="shared" si="14"/>
        <v>35460</v>
      </c>
      <c r="AD64" s="19">
        <f t="shared" si="15"/>
        <v>35460</v>
      </c>
      <c r="AE64" s="19">
        <f t="shared" si="16"/>
        <v>35460</v>
      </c>
      <c r="AF64" s="19">
        <f t="shared" si="17"/>
        <v>35460</v>
      </c>
      <c r="AG64" s="19">
        <f t="shared" si="18"/>
        <v>35460</v>
      </c>
      <c r="AH64" s="19">
        <f t="shared" si="19"/>
        <v>765000</v>
      </c>
      <c r="AI64" s="19">
        <f t="shared" si="20"/>
        <v>765000</v>
      </c>
      <c r="AJ64" s="19">
        <f t="shared" si="21"/>
        <v>765000</v>
      </c>
      <c r="AK64" s="19">
        <f t="shared" si="22"/>
        <v>765000</v>
      </c>
      <c r="AL64" s="19">
        <f t="shared" si="23"/>
        <v>765000</v>
      </c>
      <c r="AM64" s="19">
        <f t="shared" si="24"/>
        <v>147000</v>
      </c>
      <c r="AN64" s="19">
        <f t="shared" si="25"/>
        <v>147000</v>
      </c>
      <c r="AO64" s="19">
        <f t="shared" si="26"/>
        <v>147000</v>
      </c>
      <c r="AP64" s="19">
        <f t="shared" si="27"/>
        <v>147000</v>
      </c>
      <c r="AQ64" s="19">
        <f t="shared" si="28"/>
        <v>147000</v>
      </c>
    </row>
    <row r="65" spans="12:43" x14ac:dyDescent="0.15">
      <c r="L65" s="19">
        <v>61</v>
      </c>
      <c r="M65" s="19">
        <f t="shared" si="36"/>
        <v>3180</v>
      </c>
      <c r="N65" s="19">
        <f t="shared" si="37"/>
        <v>35460</v>
      </c>
      <c r="O65" s="19">
        <f t="shared" si="38"/>
        <v>765000</v>
      </c>
      <c r="P65" s="19">
        <f t="shared" si="39"/>
        <v>147000</v>
      </c>
      <c r="R65" s="19">
        <v>61</v>
      </c>
      <c r="S65" s="19">
        <f>求节点(其他调用!C$4:C$163,其他调用!$B$4:$B$163,其他调用!$C64)</f>
        <v>61</v>
      </c>
      <c r="T65" s="19">
        <f>求节点(其他调用!D$4:D$163,其他调用!$B$4:$B$163,其他调用!$C64)</f>
        <v>60.159162710692087</v>
      </c>
      <c r="U65" s="19">
        <f>求节点(其他调用!E$4:E$163,其他调用!$B$4:$B$163,其他调用!$C64)</f>
        <v>58.666194666927311</v>
      </c>
      <c r="V65" s="19">
        <f>求节点(其他调用!F$4:F$163,其他调用!$B$4:$B$163,其他调用!$C64)</f>
        <v>54.947878109382707</v>
      </c>
      <c r="W65" s="19">
        <f>求节点(其他调用!G$4:G$163,其他调用!$B$4:$B$163,其他调用!$C64)</f>
        <v>53.535921276254285</v>
      </c>
      <c r="X65" s="19">
        <f t="shared" si="9"/>
        <v>3180</v>
      </c>
      <c r="Y65" s="19">
        <f t="shared" si="10"/>
        <v>3180</v>
      </c>
      <c r="Z65" s="19">
        <f t="shared" si="11"/>
        <v>3180</v>
      </c>
      <c r="AA65" s="19">
        <f t="shared" si="12"/>
        <v>3180</v>
      </c>
      <c r="AB65" s="19">
        <f t="shared" si="13"/>
        <v>3180</v>
      </c>
      <c r="AC65" s="19">
        <f t="shared" si="14"/>
        <v>35460</v>
      </c>
      <c r="AD65" s="19">
        <f t="shared" si="15"/>
        <v>35460</v>
      </c>
      <c r="AE65" s="19">
        <f t="shared" si="16"/>
        <v>35460</v>
      </c>
      <c r="AF65" s="19">
        <f t="shared" si="17"/>
        <v>35460</v>
      </c>
      <c r="AG65" s="19">
        <f t="shared" si="18"/>
        <v>35460</v>
      </c>
      <c r="AH65" s="19">
        <f t="shared" si="19"/>
        <v>765000</v>
      </c>
      <c r="AI65" s="19">
        <f t="shared" si="20"/>
        <v>765000</v>
      </c>
      <c r="AJ65" s="19">
        <f t="shared" si="21"/>
        <v>765000</v>
      </c>
      <c r="AK65" s="19">
        <f t="shared" si="22"/>
        <v>765000</v>
      </c>
      <c r="AL65" s="19">
        <f t="shared" si="23"/>
        <v>765000</v>
      </c>
      <c r="AM65" s="19">
        <f t="shared" si="24"/>
        <v>147000</v>
      </c>
      <c r="AN65" s="19">
        <f t="shared" si="25"/>
        <v>147000</v>
      </c>
      <c r="AO65" s="19">
        <f t="shared" si="26"/>
        <v>147000</v>
      </c>
      <c r="AP65" s="19">
        <f t="shared" si="27"/>
        <v>147000</v>
      </c>
      <c r="AQ65" s="19">
        <f t="shared" si="28"/>
        <v>147000</v>
      </c>
    </row>
    <row r="66" spans="12:43" x14ac:dyDescent="0.15">
      <c r="L66" s="19">
        <v>62</v>
      </c>
      <c r="M66" s="19">
        <f t="shared" si="36"/>
        <v>3180</v>
      </c>
      <c r="N66" s="19">
        <f t="shared" si="37"/>
        <v>35460</v>
      </c>
      <c r="O66" s="19">
        <f t="shared" si="38"/>
        <v>765000</v>
      </c>
      <c r="P66" s="19">
        <f t="shared" si="39"/>
        <v>147000</v>
      </c>
      <c r="R66" s="19">
        <v>62</v>
      </c>
      <c r="S66" s="19">
        <f>求节点(其他调用!C$4:C$163,其他调用!$B$4:$B$163,其他调用!$C65)</f>
        <v>62</v>
      </c>
      <c r="T66" s="19">
        <f>求节点(其他调用!D$4:D$163,其他调用!$B$4:$B$163,其他调用!$C65)</f>
        <v>61.011523815740517</v>
      </c>
      <c r="U66" s="19">
        <f>求节点(其他调用!E$4:E$163,其他调用!$B$4:$B$163,其他调用!$C65)</f>
        <v>59.702962737918739</v>
      </c>
      <c r="V66" s="19">
        <f>求节点(其他调用!F$4:F$163,其他调用!$B$4:$B$163,其他调用!$C65)</f>
        <v>56.144223672413617</v>
      </c>
      <c r="W66" s="19">
        <f>求节点(其他调用!G$4:G$163,其他调用!$B$4:$B$163,其他调用!$C65)</f>
        <v>54.757890404490944</v>
      </c>
      <c r="X66" s="19">
        <f t="shared" si="9"/>
        <v>3180</v>
      </c>
      <c r="Y66" s="19">
        <f t="shared" si="10"/>
        <v>3180</v>
      </c>
      <c r="Z66" s="19">
        <f t="shared" si="11"/>
        <v>3180</v>
      </c>
      <c r="AA66" s="19">
        <f t="shared" si="12"/>
        <v>3180</v>
      </c>
      <c r="AB66" s="19">
        <f t="shared" si="13"/>
        <v>3180</v>
      </c>
      <c r="AC66" s="19">
        <f t="shared" si="14"/>
        <v>35460</v>
      </c>
      <c r="AD66" s="19">
        <f t="shared" si="15"/>
        <v>35460</v>
      </c>
      <c r="AE66" s="19">
        <f t="shared" si="16"/>
        <v>35460</v>
      </c>
      <c r="AF66" s="19">
        <f t="shared" si="17"/>
        <v>35460</v>
      </c>
      <c r="AG66" s="19">
        <f t="shared" si="18"/>
        <v>35460</v>
      </c>
      <c r="AH66" s="19">
        <f t="shared" si="19"/>
        <v>765000</v>
      </c>
      <c r="AI66" s="19">
        <f t="shared" si="20"/>
        <v>765000</v>
      </c>
      <c r="AJ66" s="19">
        <f t="shared" si="21"/>
        <v>765000</v>
      </c>
      <c r="AK66" s="19">
        <f t="shared" si="22"/>
        <v>765000</v>
      </c>
      <c r="AL66" s="19">
        <f t="shared" si="23"/>
        <v>765000</v>
      </c>
      <c r="AM66" s="19">
        <f t="shared" si="24"/>
        <v>147000</v>
      </c>
      <c r="AN66" s="19">
        <f t="shared" si="25"/>
        <v>147000</v>
      </c>
      <c r="AO66" s="19">
        <f t="shared" si="26"/>
        <v>147000</v>
      </c>
      <c r="AP66" s="19">
        <f t="shared" si="27"/>
        <v>147000</v>
      </c>
      <c r="AQ66" s="19">
        <f t="shared" si="28"/>
        <v>147000</v>
      </c>
    </row>
    <row r="67" spans="12:43" x14ac:dyDescent="0.15">
      <c r="L67" s="19">
        <v>63</v>
      </c>
      <c r="M67" s="19">
        <f t="shared" si="36"/>
        <v>3180</v>
      </c>
      <c r="N67" s="19">
        <f t="shared" si="37"/>
        <v>35460</v>
      </c>
      <c r="O67" s="19">
        <f t="shared" si="38"/>
        <v>765000</v>
      </c>
      <c r="P67" s="19">
        <f t="shared" si="39"/>
        <v>147000</v>
      </c>
      <c r="R67" s="19">
        <v>63</v>
      </c>
      <c r="S67" s="19">
        <f>求节点(其他调用!C$4:C$163,其他调用!$B$4:$B$163,其他调用!$C66)</f>
        <v>63</v>
      </c>
      <c r="T67" s="19">
        <f>求节点(其他调用!D$4:D$163,其他调用!$B$4:$B$163,其他调用!$C66)</f>
        <v>61.860622789459953</v>
      </c>
      <c r="U67" s="19">
        <f>求节点(其他调用!E$4:E$163,其他调用!$B$4:$B$163,其他调用!$C66)</f>
        <v>60.521685096626115</v>
      </c>
      <c r="V67" s="19">
        <f>求节点(其他调用!F$4:F$163,其他调用!$B$4:$B$163,其他调用!$C66)</f>
        <v>57.344123721260431</v>
      </c>
      <c r="W67" s="19">
        <f>求节点(其他调用!G$4:G$163,其他调用!$B$4:$B$163,其他调用!$C66)</f>
        <v>55.994542261986723</v>
      </c>
      <c r="X67" s="19">
        <f t="shared" si="9"/>
        <v>3180</v>
      </c>
      <c r="Y67" s="19">
        <f t="shared" si="10"/>
        <v>3180</v>
      </c>
      <c r="Z67" s="19">
        <f t="shared" si="11"/>
        <v>3180</v>
      </c>
      <c r="AA67" s="19">
        <f t="shared" si="12"/>
        <v>3180</v>
      </c>
      <c r="AB67" s="19">
        <f t="shared" si="13"/>
        <v>3180</v>
      </c>
      <c r="AC67" s="19">
        <f t="shared" si="14"/>
        <v>35460</v>
      </c>
      <c r="AD67" s="19">
        <f t="shared" si="15"/>
        <v>35460</v>
      </c>
      <c r="AE67" s="19">
        <f t="shared" si="16"/>
        <v>35460</v>
      </c>
      <c r="AF67" s="19">
        <f t="shared" si="17"/>
        <v>35460</v>
      </c>
      <c r="AG67" s="19">
        <f t="shared" si="18"/>
        <v>35460</v>
      </c>
      <c r="AH67" s="19">
        <f t="shared" si="19"/>
        <v>765000</v>
      </c>
      <c r="AI67" s="19">
        <f t="shared" si="20"/>
        <v>765000</v>
      </c>
      <c r="AJ67" s="19">
        <f t="shared" si="21"/>
        <v>765000</v>
      </c>
      <c r="AK67" s="19">
        <f t="shared" si="22"/>
        <v>765000</v>
      </c>
      <c r="AL67" s="19">
        <f t="shared" si="23"/>
        <v>765000</v>
      </c>
      <c r="AM67" s="19">
        <f t="shared" si="24"/>
        <v>147000</v>
      </c>
      <c r="AN67" s="19">
        <f t="shared" si="25"/>
        <v>147000</v>
      </c>
      <c r="AO67" s="19">
        <f t="shared" si="26"/>
        <v>147000</v>
      </c>
      <c r="AP67" s="19">
        <f t="shared" si="27"/>
        <v>147000</v>
      </c>
      <c r="AQ67" s="19">
        <f t="shared" si="28"/>
        <v>147000</v>
      </c>
    </row>
    <row r="68" spans="12:43" x14ac:dyDescent="0.15">
      <c r="L68" s="19">
        <v>64</v>
      </c>
      <c r="M68" s="19">
        <f t="shared" si="36"/>
        <v>3180</v>
      </c>
      <c r="N68" s="19">
        <f t="shared" si="37"/>
        <v>35460</v>
      </c>
      <c r="O68" s="19">
        <f t="shared" si="38"/>
        <v>765000</v>
      </c>
      <c r="P68" s="19">
        <f t="shared" si="39"/>
        <v>147000</v>
      </c>
      <c r="R68" s="19">
        <v>64</v>
      </c>
      <c r="S68" s="19">
        <f>求节点(其他调用!C$4:C$163,其他调用!$B$4:$B$163,其他调用!$C67)</f>
        <v>64</v>
      </c>
      <c r="T68" s="19">
        <f>求节点(其他调用!D$4:D$163,其他调用!$B$4:$B$163,其他调用!$C67)</f>
        <v>62.71656302702327</v>
      </c>
      <c r="U68" s="19">
        <f>求节点(其他调用!E$4:E$163,其他调用!$B$4:$B$163,其他调用!$C67)</f>
        <v>61.331425546138448</v>
      </c>
      <c r="V68" s="19">
        <f>求节点(其他调用!F$4:F$163,其他调用!$B$4:$B$163,其他调用!$C67)</f>
        <v>58.54304942808664</v>
      </c>
      <c r="W68" s="19">
        <f>求节点(其他调用!G$4:G$163,其他调用!$B$4:$B$163,其他调用!$C67)</f>
        <v>57.140912055849533</v>
      </c>
      <c r="X68" s="19">
        <f t="shared" si="9"/>
        <v>3180</v>
      </c>
      <c r="Y68" s="19">
        <f t="shared" si="10"/>
        <v>3180</v>
      </c>
      <c r="Z68" s="19">
        <f t="shared" si="11"/>
        <v>3180</v>
      </c>
      <c r="AA68" s="19">
        <f t="shared" si="12"/>
        <v>3180</v>
      </c>
      <c r="AB68" s="19">
        <f t="shared" si="13"/>
        <v>3180</v>
      </c>
      <c r="AC68" s="19">
        <f t="shared" si="14"/>
        <v>35460</v>
      </c>
      <c r="AD68" s="19">
        <f t="shared" si="15"/>
        <v>35460</v>
      </c>
      <c r="AE68" s="19">
        <f t="shared" si="16"/>
        <v>35460</v>
      </c>
      <c r="AF68" s="19">
        <f t="shared" si="17"/>
        <v>35460</v>
      </c>
      <c r="AG68" s="19">
        <f t="shared" si="18"/>
        <v>35460</v>
      </c>
      <c r="AH68" s="19">
        <f t="shared" si="19"/>
        <v>765000</v>
      </c>
      <c r="AI68" s="19">
        <f t="shared" si="20"/>
        <v>765000</v>
      </c>
      <c r="AJ68" s="19">
        <f t="shared" si="21"/>
        <v>765000</v>
      </c>
      <c r="AK68" s="19">
        <f t="shared" si="22"/>
        <v>765000</v>
      </c>
      <c r="AL68" s="19">
        <f t="shared" si="23"/>
        <v>765000</v>
      </c>
      <c r="AM68" s="19">
        <f t="shared" si="24"/>
        <v>147000</v>
      </c>
      <c r="AN68" s="19">
        <f t="shared" si="25"/>
        <v>147000</v>
      </c>
      <c r="AO68" s="19">
        <f t="shared" si="26"/>
        <v>147000</v>
      </c>
      <c r="AP68" s="19">
        <f t="shared" si="27"/>
        <v>147000</v>
      </c>
      <c r="AQ68" s="19">
        <f t="shared" si="28"/>
        <v>147000</v>
      </c>
    </row>
    <row r="69" spans="12:43" x14ac:dyDescent="0.15">
      <c r="L69" s="19">
        <v>65</v>
      </c>
      <c r="M69" s="19">
        <f t="shared" ref="M69:M100" si="40">求节点($AY$5:$AY$46,BC$5:BC$46,$L69)+求节点($BK$5:$BK$10,$BN$5:$BN$10,$L69)+求节点($BT$21:$BT$23,$BU$21:$BU$23,$L69)*240+求节点($BT$21:$BT$23,$BV$21:$BV$23,$L69)+求节点($CC$5:$CC$7,$CF$5:$CF$7,$L69)*240</f>
        <v>3180</v>
      </c>
      <c r="N69" s="19">
        <f t="shared" ref="N69:N100" si="41">求节点($AY$5:$AY$46,BD$5:BD$46,$L69)+求节点($CC$5:$CC$7,$CG$5:$CG$7,$L69)</f>
        <v>35460</v>
      </c>
      <c r="O69" s="19">
        <f t="shared" ref="O69:O100" si="42">求节点($AY$5:$AY$46,BE$5:BE$46,$L69)+求节点($BT$21:$BT$23,$BW$21:$BW$23,$L69)</f>
        <v>765000</v>
      </c>
      <c r="P69" s="19">
        <f t="shared" ref="P69:P100" si="43">求节点($BK$5:$BK$10,$BO$5:$BO$10,$L69)+求节点($BT$21:$BT$23,$BX$21:$BX$23,$L69)</f>
        <v>147000</v>
      </c>
      <c r="R69" s="19">
        <v>65</v>
      </c>
      <c r="S69" s="19">
        <f>求节点(其他调用!C$4:C$163,其他调用!$B$4:$B$163,其他调用!$C68)</f>
        <v>65</v>
      </c>
      <c r="T69" s="19">
        <f>求节点(其他调用!D$4:D$163,其他调用!$B$4:$B$163,其他调用!$C68)</f>
        <v>63.580927160374308</v>
      </c>
      <c r="U69" s="19">
        <f>求节点(其他调用!E$4:E$163,其他调用!$B$4:$B$163,其他调用!$C68)</f>
        <v>62.148976238373621</v>
      </c>
      <c r="V69" s="19">
        <f>求节点(其他调用!F$4:F$163,其他调用!$B$4:$B$163,其他调用!$C68)</f>
        <v>59.441467110612095</v>
      </c>
      <c r="W69" s="19">
        <f>求节点(其他调用!G$4:G$163,其他调用!$B$4:$B$163,其他调用!$C68)</f>
        <v>57.951711990289283</v>
      </c>
      <c r="X69" s="19">
        <f t="shared" si="9"/>
        <v>3180</v>
      </c>
      <c r="Y69" s="19">
        <f t="shared" si="10"/>
        <v>3180</v>
      </c>
      <c r="Z69" s="19">
        <f t="shared" si="11"/>
        <v>3180</v>
      </c>
      <c r="AA69" s="19">
        <f t="shared" si="12"/>
        <v>3180</v>
      </c>
      <c r="AB69" s="19">
        <f t="shared" si="13"/>
        <v>3180</v>
      </c>
      <c r="AC69" s="19">
        <f t="shared" si="14"/>
        <v>35460</v>
      </c>
      <c r="AD69" s="19">
        <f t="shared" si="15"/>
        <v>35460</v>
      </c>
      <c r="AE69" s="19">
        <f t="shared" si="16"/>
        <v>35460</v>
      </c>
      <c r="AF69" s="19">
        <f t="shared" si="17"/>
        <v>35460</v>
      </c>
      <c r="AG69" s="19">
        <f t="shared" si="18"/>
        <v>35460</v>
      </c>
      <c r="AH69" s="19">
        <f t="shared" si="19"/>
        <v>765000</v>
      </c>
      <c r="AI69" s="19">
        <f t="shared" si="20"/>
        <v>765000</v>
      </c>
      <c r="AJ69" s="19">
        <f t="shared" si="21"/>
        <v>765000</v>
      </c>
      <c r="AK69" s="19">
        <f t="shared" si="22"/>
        <v>765000</v>
      </c>
      <c r="AL69" s="19">
        <f t="shared" si="23"/>
        <v>765000</v>
      </c>
      <c r="AM69" s="19">
        <f t="shared" si="24"/>
        <v>147000</v>
      </c>
      <c r="AN69" s="19">
        <f t="shared" si="25"/>
        <v>147000</v>
      </c>
      <c r="AO69" s="19">
        <f t="shared" si="26"/>
        <v>147000</v>
      </c>
      <c r="AP69" s="19">
        <f t="shared" si="27"/>
        <v>147000</v>
      </c>
      <c r="AQ69" s="19">
        <f t="shared" si="28"/>
        <v>147000</v>
      </c>
    </row>
    <row r="70" spans="12:43" x14ac:dyDescent="0.15">
      <c r="L70" s="19">
        <v>66</v>
      </c>
      <c r="M70" s="19">
        <f t="shared" si="40"/>
        <v>3180</v>
      </c>
      <c r="N70" s="19">
        <f t="shared" si="41"/>
        <v>35460</v>
      </c>
      <c r="O70" s="19">
        <f t="shared" si="42"/>
        <v>765000</v>
      </c>
      <c r="P70" s="19">
        <f t="shared" si="43"/>
        <v>147000</v>
      </c>
      <c r="R70" s="19">
        <v>66</v>
      </c>
      <c r="S70" s="19">
        <f>求节点(其他调用!C$4:C$163,其他调用!$B$4:$B$163,其他调用!$C69)</f>
        <v>66</v>
      </c>
      <c r="T70" s="19">
        <f>求节点(其他调用!D$4:D$163,其他调用!$B$4:$B$163,其他调用!$C69)</f>
        <v>64.361886729921849</v>
      </c>
      <c r="U70" s="19">
        <f>求节点(其他调用!E$4:E$163,其他调用!$B$4:$B$163,其他调用!$C69)</f>
        <v>62.886620963673955</v>
      </c>
      <c r="V70" s="19">
        <f>求节点(其他调用!F$4:F$163,其他调用!$B$4:$B$163,其他调用!$C69)</f>
        <v>60.123711679237957</v>
      </c>
      <c r="W70" s="19">
        <f>求节点(其他调用!G$4:G$163,其他调用!$B$4:$B$163,其他调用!$C69)</f>
        <v>59.00871277769766</v>
      </c>
      <c r="X70" s="19">
        <f t="shared" ref="X70:X133" si="44">求节点(S$5:S$164,$M$5:$M$164,$R70)</f>
        <v>3180</v>
      </c>
      <c r="Y70" s="19">
        <f t="shared" ref="Y70:Y133" si="45">求节点(T$5:T$164,$M$5:$M$164,$R70)</f>
        <v>3180</v>
      </c>
      <c r="Z70" s="19">
        <f t="shared" ref="Z70:Z133" si="46">求节点(U$5:U$164,$M$5:$M$164,$R70)</f>
        <v>3180</v>
      </c>
      <c r="AA70" s="19">
        <f t="shared" ref="AA70:AA133" si="47">求节点(V$5:V$164,$M$5:$M$164,$R70)</f>
        <v>3180</v>
      </c>
      <c r="AB70" s="19">
        <f t="shared" ref="AB70:AB133" si="48">求节点(W$5:W$164,$M$5:$M$164,$R70)</f>
        <v>3180</v>
      </c>
      <c r="AC70" s="19">
        <f t="shared" ref="AC70:AC133" si="49">求节点(S$5:S$164,$N$5:$N$164,$R70)</f>
        <v>35460</v>
      </c>
      <c r="AD70" s="19">
        <f t="shared" ref="AD70:AD133" si="50">求节点(T$5:T$164,$N$5:$N$164,$R70)</f>
        <v>35460</v>
      </c>
      <c r="AE70" s="19">
        <f t="shared" ref="AE70:AE133" si="51">求节点(U$5:U$164,$N$5:$N$164,$R70)</f>
        <v>35460</v>
      </c>
      <c r="AF70" s="19">
        <f t="shared" ref="AF70:AF133" si="52">求节点(V$5:V$164,$N$5:$N$164,$R70)</f>
        <v>35460</v>
      </c>
      <c r="AG70" s="19">
        <f t="shared" ref="AG70:AG133" si="53">求节点(W$5:W$164,$N$5:$N$164,$R70)</f>
        <v>35460</v>
      </c>
      <c r="AH70" s="19">
        <f t="shared" ref="AH70:AH133" si="54">求节点(S$5:S$164,$O$5:$O$164,$R70)</f>
        <v>765000</v>
      </c>
      <c r="AI70" s="19">
        <f t="shared" ref="AI70:AI133" si="55">求节点(T$5:T$164,$O$5:$O$164,$R70)</f>
        <v>765000</v>
      </c>
      <c r="AJ70" s="19">
        <f t="shared" ref="AJ70:AJ133" si="56">求节点(U$5:U$164,$O$5:$O$164,$R70)</f>
        <v>765000</v>
      </c>
      <c r="AK70" s="19">
        <f t="shared" ref="AK70:AK133" si="57">求节点(V$5:V$164,$O$5:$O$164,$R70)</f>
        <v>765000</v>
      </c>
      <c r="AL70" s="19">
        <f t="shared" ref="AL70:AL133" si="58">求节点(W$5:W$164,$O$5:$O$164,$R70)</f>
        <v>765000</v>
      </c>
      <c r="AM70" s="19">
        <f t="shared" ref="AM70:AM133" si="59">求节点(S$5:S$164,$P$5:$P$164,$R70)</f>
        <v>147000</v>
      </c>
      <c r="AN70" s="19">
        <f t="shared" ref="AN70:AN133" si="60">求节点(T$5:T$164,$P$5:$P$164,$R70)</f>
        <v>147000</v>
      </c>
      <c r="AO70" s="19">
        <f t="shared" ref="AO70:AO133" si="61">求节点(U$5:U$164,$P$5:$P$164,$R70)</f>
        <v>147000</v>
      </c>
      <c r="AP70" s="19">
        <f t="shared" ref="AP70:AP133" si="62">求节点(V$5:V$164,$P$5:$P$164,$R70)</f>
        <v>147000</v>
      </c>
      <c r="AQ70" s="19">
        <f t="shared" ref="AQ70:AQ133" si="63">求节点(W$5:W$164,$P$5:$P$164,$R70)</f>
        <v>147000</v>
      </c>
    </row>
    <row r="71" spans="12:43" x14ac:dyDescent="0.15">
      <c r="L71" s="19">
        <v>67</v>
      </c>
      <c r="M71" s="19">
        <f t="shared" si="40"/>
        <v>3180</v>
      </c>
      <c r="N71" s="19">
        <f t="shared" si="41"/>
        <v>35460</v>
      </c>
      <c r="O71" s="19">
        <f t="shared" si="42"/>
        <v>765000</v>
      </c>
      <c r="P71" s="19">
        <f t="shared" si="43"/>
        <v>147000</v>
      </c>
      <c r="R71" s="19">
        <v>67</v>
      </c>
      <c r="S71" s="19">
        <f>求节点(其他调用!C$4:C$163,其他调用!$B$4:$B$163,其他调用!$C70)</f>
        <v>67</v>
      </c>
      <c r="T71" s="19">
        <f>求节点(其他调用!D$4:D$163,其他调用!$B$4:$B$163,其他调用!$C70)</f>
        <v>65.147918655770383</v>
      </c>
      <c r="U71" s="19">
        <f>求节点(其他调用!E$4:E$163,其他调用!$B$4:$B$163,其他调用!$C70)</f>
        <v>63.60409106653718</v>
      </c>
      <c r="V71" s="19">
        <f>求节点(其他调用!F$4:F$163,其他调用!$B$4:$B$163,其他调用!$C70)</f>
        <v>60.833562216429605</v>
      </c>
      <c r="W71" s="19">
        <f>求节点(其他调用!G$4:G$163,其他调用!$B$4:$B$163,其他调用!$C70)</f>
        <v>59.573418591144026</v>
      </c>
      <c r="X71" s="19">
        <f t="shared" si="44"/>
        <v>3180</v>
      </c>
      <c r="Y71" s="19">
        <f t="shared" si="45"/>
        <v>3180</v>
      </c>
      <c r="Z71" s="19">
        <f t="shared" si="46"/>
        <v>3180</v>
      </c>
      <c r="AA71" s="19">
        <f t="shared" si="47"/>
        <v>3180</v>
      </c>
      <c r="AB71" s="19">
        <f t="shared" si="48"/>
        <v>3180</v>
      </c>
      <c r="AC71" s="19">
        <f t="shared" si="49"/>
        <v>35460</v>
      </c>
      <c r="AD71" s="19">
        <f t="shared" si="50"/>
        <v>35460</v>
      </c>
      <c r="AE71" s="19">
        <f t="shared" si="51"/>
        <v>35460</v>
      </c>
      <c r="AF71" s="19">
        <f t="shared" si="52"/>
        <v>35460</v>
      </c>
      <c r="AG71" s="19">
        <f t="shared" si="53"/>
        <v>35460</v>
      </c>
      <c r="AH71" s="19">
        <f t="shared" si="54"/>
        <v>765000</v>
      </c>
      <c r="AI71" s="19">
        <f t="shared" si="55"/>
        <v>765000</v>
      </c>
      <c r="AJ71" s="19">
        <f t="shared" si="56"/>
        <v>765000</v>
      </c>
      <c r="AK71" s="19">
        <f t="shared" si="57"/>
        <v>765000</v>
      </c>
      <c r="AL71" s="19">
        <f t="shared" si="58"/>
        <v>765000</v>
      </c>
      <c r="AM71" s="19">
        <f t="shared" si="59"/>
        <v>147000</v>
      </c>
      <c r="AN71" s="19">
        <f t="shared" si="60"/>
        <v>147000</v>
      </c>
      <c r="AO71" s="19">
        <f t="shared" si="61"/>
        <v>147000</v>
      </c>
      <c r="AP71" s="19">
        <f t="shared" si="62"/>
        <v>147000</v>
      </c>
      <c r="AQ71" s="19">
        <f t="shared" si="63"/>
        <v>147000</v>
      </c>
    </row>
    <row r="72" spans="12:43" x14ac:dyDescent="0.15">
      <c r="L72" s="19">
        <v>68</v>
      </c>
      <c r="M72" s="19">
        <f t="shared" si="40"/>
        <v>3180</v>
      </c>
      <c r="N72" s="19">
        <f t="shared" si="41"/>
        <v>35460</v>
      </c>
      <c r="O72" s="19">
        <f t="shared" si="42"/>
        <v>765000</v>
      </c>
      <c r="P72" s="19">
        <f t="shared" si="43"/>
        <v>147000</v>
      </c>
      <c r="R72" s="19">
        <v>68</v>
      </c>
      <c r="S72" s="19">
        <f>求节点(其他调用!C$4:C$163,其他调用!$B$4:$B$163,其他调用!$C71)</f>
        <v>68</v>
      </c>
      <c r="T72" s="19">
        <f>求节点(其他调用!D$4:D$163,其他调用!$B$4:$B$163,其他调用!$C71)</f>
        <v>65.965755277543337</v>
      </c>
      <c r="U72" s="19">
        <f>求节点(其他调用!E$4:E$163,其他调用!$B$4:$B$163,其他调用!$C71)</f>
        <v>64.319039745800765</v>
      </c>
      <c r="V72" s="19">
        <f>求节点(其他调用!F$4:F$163,其他调用!$B$4:$B$163,其他调用!$C71)</f>
        <v>61.531852978118927</v>
      </c>
      <c r="W72" s="19">
        <f>求节点(其他调用!G$4:G$163,其他调用!$B$4:$B$163,其他调用!$C71)</f>
        <v>60.206377523158096</v>
      </c>
      <c r="X72" s="19">
        <f t="shared" si="44"/>
        <v>3180</v>
      </c>
      <c r="Y72" s="19">
        <f t="shared" si="45"/>
        <v>3180</v>
      </c>
      <c r="Z72" s="19">
        <f t="shared" si="46"/>
        <v>3180</v>
      </c>
      <c r="AA72" s="19">
        <f t="shared" si="47"/>
        <v>3180</v>
      </c>
      <c r="AB72" s="19">
        <f t="shared" si="48"/>
        <v>3180</v>
      </c>
      <c r="AC72" s="19">
        <f t="shared" si="49"/>
        <v>35460</v>
      </c>
      <c r="AD72" s="19">
        <f t="shared" si="50"/>
        <v>35460</v>
      </c>
      <c r="AE72" s="19">
        <f t="shared" si="51"/>
        <v>35460</v>
      </c>
      <c r="AF72" s="19">
        <f t="shared" si="52"/>
        <v>35460</v>
      </c>
      <c r="AG72" s="19">
        <f t="shared" si="53"/>
        <v>35460</v>
      </c>
      <c r="AH72" s="19">
        <f t="shared" si="54"/>
        <v>765000</v>
      </c>
      <c r="AI72" s="19">
        <f t="shared" si="55"/>
        <v>765000</v>
      </c>
      <c r="AJ72" s="19">
        <f t="shared" si="56"/>
        <v>765000</v>
      </c>
      <c r="AK72" s="19">
        <f t="shared" si="57"/>
        <v>765000</v>
      </c>
      <c r="AL72" s="19">
        <f t="shared" si="58"/>
        <v>765000</v>
      </c>
      <c r="AM72" s="19">
        <f t="shared" si="59"/>
        <v>147000</v>
      </c>
      <c r="AN72" s="19">
        <f t="shared" si="60"/>
        <v>147000</v>
      </c>
      <c r="AO72" s="19">
        <f t="shared" si="61"/>
        <v>147000</v>
      </c>
      <c r="AP72" s="19">
        <f t="shared" si="62"/>
        <v>147000</v>
      </c>
      <c r="AQ72" s="19">
        <f t="shared" si="63"/>
        <v>147000</v>
      </c>
    </row>
    <row r="73" spans="12:43" x14ac:dyDescent="0.15">
      <c r="L73" s="19">
        <v>69</v>
      </c>
      <c r="M73" s="19">
        <f t="shared" si="40"/>
        <v>3180</v>
      </c>
      <c r="N73" s="19">
        <f t="shared" si="41"/>
        <v>35460</v>
      </c>
      <c r="O73" s="19">
        <f t="shared" si="42"/>
        <v>765000</v>
      </c>
      <c r="P73" s="19">
        <f t="shared" si="43"/>
        <v>147000</v>
      </c>
      <c r="R73" s="19">
        <v>69</v>
      </c>
      <c r="S73" s="19">
        <f>求节点(其他调用!C$4:C$163,其他调用!$B$4:$B$163,其他调用!$C72)</f>
        <v>69</v>
      </c>
      <c r="T73" s="19">
        <f>求节点(其他调用!D$4:D$163,其他调用!$B$4:$B$163,其他调用!$C72)</f>
        <v>66.772631853290434</v>
      </c>
      <c r="U73" s="19">
        <f>求节点(其他调用!E$4:E$163,其他调用!$B$4:$B$163,其他调用!$C72)</f>
        <v>65.039789270281958</v>
      </c>
      <c r="V73" s="19">
        <f>求节点(其他调用!F$4:F$163,其他调用!$B$4:$B$163,其他调用!$C72)</f>
        <v>62.240560410994611</v>
      </c>
      <c r="W73" s="19">
        <f>求节点(其他调用!G$4:G$163,其他调用!$B$4:$B$163,其他调用!$C72)</f>
        <v>60.95040937320038</v>
      </c>
      <c r="X73" s="19">
        <f t="shared" si="44"/>
        <v>3180</v>
      </c>
      <c r="Y73" s="19">
        <f t="shared" si="45"/>
        <v>3180</v>
      </c>
      <c r="Z73" s="19">
        <f t="shared" si="46"/>
        <v>3180</v>
      </c>
      <c r="AA73" s="19">
        <f t="shared" si="47"/>
        <v>3180</v>
      </c>
      <c r="AB73" s="19">
        <f t="shared" si="48"/>
        <v>3180</v>
      </c>
      <c r="AC73" s="19">
        <f t="shared" si="49"/>
        <v>35460</v>
      </c>
      <c r="AD73" s="19">
        <f t="shared" si="50"/>
        <v>35460</v>
      </c>
      <c r="AE73" s="19">
        <f t="shared" si="51"/>
        <v>35460</v>
      </c>
      <c r="AF73" s="19">
        <f t="shared" si="52"/>
        <v>35460</v>
      </c>
      <c r="AG73" s="19">
        <f t="shared" si="53"/>
        <v>35460</v>
      </c>
      <c r="AH73" s="19">
        <f t="shared" si="54"/>
        <v>765000</v>
      </c>
      <c r="AI73" s="19">
        <f t="shared" si="55"/>
        <v>765000</v>
      </c>
      <c r="AJ73" s="19">
        <f t="shared" si="56"/>
        <v>765000</v>
      </c>
      <c r="AK73" s="19">
        <f t="shared" si="57"/>
        <v>765000</v>
      </c>
      <c r="AL73" s="19">
        <f t="shared" si="58"/>
        <v>765000</v>
      </c>
      <c r="AM73" s="19">
        <f t="shared" si="59"/>
        <v>147000</v>
      </c>
      <c r="AN73" s="19">
        <f t="shared" si="60"/>
        <v>147000</v>
      </c>
      <c r="AO73" s="19">
        <f t="shared" si="61"/>
        <v>147000</v>
      </c>
      <c r="AP73" s="19">
        <f t="shared" si="62"/>
        <v>147000</v>
      </c>
      <c r="AQ73" s="19">
        <f t="shared" si="63"/>
        <v>147000</v>
      </c>
    </row>
    <row r="74" spans="12:43" x14ac:dyDescent="0.15">
      <c r="L74" s="19">
        <v>70</v>
      </c>
      <c r="M74" s="19">
        <f t="shared" si="40"/>
        <v>3180</v>
      </c>
      <c r="N74" s="19">
        <f t="shared" si="41"/>
        <v>35460</v>
      </c>
      <c r="O74" s="19">
        <f t="shared" si="42"/>
        <v>765000</v>
      </c>
      <c r="P74" s="19">
        <f t="shared" si="43"/>
        <v>147000</v>
      </c>
      <c r="R74" s="19">
        <v>70</v>
      </c>
      <c r="S74" s="19">
        <f>求节点(其他调用!C$4:C$163,其他调用!$B$4:$B$163,其他调用!$C73)</f>
        <v>70</v>
      </c>
      <c r="T74" s="19">
        <f>求节点(其他调用!D$4:D$163,其他调用!$B$4:$B$163,其他调用!$C73)</f>
        <v>67.618261614571551</v>
      </c>
      <c r="U74" s="19">
        <f>求节点(其他调用!E$4:E$163,其他调用!$B$4:$B$163,其他调用!$C73)</f>
        <v>65.788157984789066</v>
      </c>
      <c r="V74" s="19">
        <f>求节点(其他调用!F$4:F$163,其他调用!$B$4:$B$163,其他调用!$C73)</f>
        <v>62.982442133422246</v>
      </c>
      <c r="W74" s="19">
        <f>求节点(其他调用!G$4:G$163,其他调用!$B$4:$B$163,其他调用!$C73)</f>
        <v>61.705226088547974</v>
      </c>
      <c r="X74" s="19">
        <f t="shared" si="44"/>
        <v>3180</v>
      </c>
      <c r="Y74" s="19">
        <f t="shared" si="45"/>
        <v>3180</v>
      </c>
      <c r="Z74" s="19">
        <f t="shared" si="46"/>
        <v>3180</v>
      </c>
      <c r="AA74" s="19">
        <f t="shared" si="47"/>
        <v>3180</v>
      </c>
      <c r="AB74" s="19">
        <f t="shared" si="48"/>
        <v>3180</v>
      </c>
      <c r="AC74" s="19">
        <f t="shared" si="49"/>
        <v>35460</v>
      </c>
      <c r="AD74" s="19">
        <f t="shared" si="50"/>
        <v>35460</v>
      </c>
      <c r="AE74" s="19">
        <f t="shared" si="51"/>
        <v>35460</v>
      </c>
      <c r="AF74" s="19">
        <f t="shared" si="52"/>
        <v>35460</v>
      </c>
      <c r="AG74" s="19">
        <f t="shared" si="53"/>
        <v>35460</v>
      </c>
      <c r="AH74" s="19">
        <f t="shared" si="54"/>
        <v>765000</v>
      </c>
      <c r="AI74" s="19">
        <f t="shared" si="55"/>
        <v>765000</v>
      </c>
      <c r="AJ74" s="19">
        <f t="shared" si="56"/>
        <v>765000</v>
      </c>
      <c r="AK74" s="19">
        <f t="shared" si="57"/>
        <v>765000</v>
      </c>
      <c r="AL74" s="19">
        <f t="shared" si="58"/>
        <v>765000</v>
      </c>
      <c r="AM74" s="19">
        <f t="shared" si="59"/>
        <v>147000</v>
      </c>
      <c r="AN74" s="19">
        <f t="shared" si="60"/>
        <v>147000</v>
      </c>
      <c r="AO74" s="19">
        <f t="shared" si="61"/>
        <v>147000</v>
      </c>
      <c r="AP74" s="19">
        <f t="shared" si="62"/>
        <v>147000</v>
      </c>
      <c r="AQ74" s="19">
        <f t="shared" si="63"/>
        <v>147000</v>
      </c>
    </row>
    <row r="75" spans="12:43" x14ac:dyDescent="0.15">
      <c r="L75" s="19">
        <v>71</v>
      </c>
      <c r="M75" s="19">
        <f t="shared" si="40"/>
        <v>3180</v>
      </c>
      <c r="N75" s="19">
        <f t="shared" si="41"/>
        <v>35460</v>
      </c>
      <c r="O75" s="19">
        <f t="shared" si="42"/>
        <v>765000</v>
      </c>
      <c r="P75" s="19">
        <f t="shared" si="43"/>
        <v>147000</v>
      </c>
      <c r="R75" s="19">
        <v>71</v>
      </c>
      <c r="S75" s="19">
        <f>求节点(其他调用!C$4:C$163,其他调用!$B$4:$B$163,其他调用!$C74)</f>
        <v>71</v>
      </c>
      <c r="T75" s="19">
        <f>求节点(其他调用!D$4:D$163,其他调用!$B$4:$B$163,其他调用!$C74)</f>
        <v>68.521636542047204</v>
      </c>
      <c r="U75" s="19">
        <f>求节点(其他调用!E$4:E$163,其他调用!$B$4:$B$163,其他调用!$C74)</f>
        <v>66.596770050479492</v>
      </c>
      <c r="V75" s="19">
        <f>求节点(其他调用!F$4:F$163,其他调用!$B$4:$B$163,其他调用!$C74)</f>
        <v>63.75031014590013</v>
      </c>
      <c r="W75" s="19">
        <f>求节点(其他调用!G$4:G$163,其他调用!$B$4:$B$163,其他调用!$C74)</f>
        <v>62.516159694134146</v>
      </c>
      <c r="X75" s="19">
        <f t="shared" si="44"/>
        <v>3180</v>
      </c>
      <c r="Y75" s="19">
        <f t="shared" si="45"/>
        <v>3180</v>
      </c>
      <c r="Z75" s="19">
        <f t="shared" si="46"/>
        <v>3180</v>
      </c>
      <c r="AA75" s="19">
        <f t="shared" si="47"/>
        <v>3180</v>
      </c>
      <c r="AB75" s="19">
        <f t="shared" si="48"/>
        <v>3180</v>
      </c>
      <c r="AC75" s="19">
        <f t="shared" si="49"/>
        <v>35460</v>
      </c>
      <c r="AD75" s="19">
        <f t="shared" si="50"/>
        <v>35460</v>
      </c>
      <c r="AE75" s="19">
        <f t="shared" si="51"/>
        <v>35460</v>
      </c>
      <c r="AF75" s="19">
        <f t="shared" si="52"/>
        <v>35460</v>
      </c>
      <c r="AG75" s="19">
        <f t="shared" si="53"/>
        <v>35460</v>
      </c>
      <c r="AH75" s="19">
        <f t="shared" si="54"/>
        <v>765000</v>
      </c>
      <c r="AI75" s="19">
        <f t="shared" si="55"/>
        <v>765000</v>
      </c>
      <c r="AJ75" s="19">
        <f t="shared" si="56"/>
        <v>765000</v>
      </c>
      <c r="AK75" s="19">
        <f t="shared" si="57"/>
        <v>765000</v>
      </c>
      <c r="AL75" s="19">
        <f t="shared" si="58"/>
        <v>765000</v>
      </c>
      <c r="AM75" s="19">
        <f t="shared" si="59"/>
        <v>147000</v>
      </c>
      <c r="AN75" s="19">
        <f t="shared" si="60"/>
        <v>147000</v>
      </c>
      <c r="AO75" s="19">
        <f t="shared" si="61"/>
        <v>147000</v>
      </c>
      <c r="AP75" s="19">
        <f t="shared" si="62"/>
        <v>147000</v>
      </c>
      <c r="AQ75" s="19">
        <f t="shared" si="63"/>
        <v>147000</v>
      </c>
    </row>
    <row r="76" spans="12:43" x14ac:dyDescent="0.15">
      <c r="L76" s="19">
        <v>72</v>
      </c>
      <c r="M76" s="19">
        <f t="shared" si="40"/>
        <v>3180</v>
      </c>
      <c r="N76" s="19">
        <f t="shared" si="41"/>
        <v>35460</v>
      </c>
      <c r="O76" s="19">
        <f t="shared" si="42"/>
        <v>765000</v>
      </c>
      <c r="P76" s="19">
        <f t="shared" si="43"/>
        <v>147000</v>
      </c>
      <c r="R76" s="19">
        <v>72</v>
      </c>
      <c r="S76" s="19">
        <f>求节点(其他调用!C$4:C$163,其他调用!$B$4:$B$163,其他调用!$C75)</f>
        <v>72</v>
      </c>
      <c r="T76" s="19">
        <f>求节点(其他调用!D$4:D$163,其他调用!$B$4:$B$163,其他调用!$C75)</f>
        <v>69.440609632737917</v>
      </c>
      <c r="U76" s="19">
        <f>求节点(其他调用!E$4:E$163,其他调用!$B$4:$B$163,其他调用!$C75)</f>
        <v>67.445554373072483</v>
      </c>
      <c r="V76" s="19">
        <f>求节点(其他调用!F$4:F$163,其他调用!$B$4:$B$163,其他调用!$C75)</f>
        <v>64.565962793836292</v>
      </c>
      <c r="W76" s="19">
        <f>求节点(其他调用!G$4:G$163,其他调用!$B$4:$B$163,其他调用!$C75)</f>
        <v>63.36294273402045</v>
      </c>
      <c r="X76" s="19">
        <f t="shared" si="44"/>
        <v>3180</v>
      </c>
      <c r="Y76" s="19">
        <f t="shared" si="45"/>
        <v>3180</v>
      </c>
      <c r="Z76" s="19">
        <f t="shared" si="46"/>
        <v>3180</v>
      </c>
      <c r="AA76" s="19">
        <f t="shared" si="47"/>
        <v>3180</v>
      </c>
      <c r="AB76" s="19">
        <f t="shared" si="48"/>
        <v>3180</v>
      </c>
      <c r="AC76" s="19">
        <f t="shared" si="49"/>
        <v>35460</v>
      </c>
      <c r="AD76" s="19">
        <f t="shared" si="50"/>
        <v>35460</v>
      </c>
      <c r="AE76" s="19">
        <f t="shared" si="51"/>
        <v>35460</v>
      </c>
      <c r="AF76" s="19">
        <f t="shared" si="52"/>
        <v>35460</v>
      </c>
      <c r="AG76" s="19">
        <f t="shared" si="53"/>
        <v>35460</v>
      </c>
      <c r="AH76" s="19">
        <f t="shared" si="54"/>
        <v>765000</v>
      </c>
      <c r="AI76" s="19">
        <f t="shared" si="55"/>
        <v>765000</v>
      </c>
      <c r="AJ76" s="19">
        <f t="shared" si="56"/>
        <v>765000</v>
      </c>
      <c r="AK76" s="19">
        <f t="shared" si="57"/>
        <v>765000</v>
      </c>
      <c r="AL76" s="19">
        <f t="shared" si="58"/>
        <v>765000</v>
      </c>
      <c r="AM76" s="19">
        <f t="shared" si="59"/>
        <v>147000</v>
      </c>
      <c r="AN76" s="19">
        <f t="shared" si="60"/>
        <v>147000</v>
      </c>
      <c r="AO76" s="19">
        <f t="shared" si="61"/>
        <v>147000</v>
      </c>
      <c r="AP76" s="19">
        <f t="shared" si="62"/>
        <v>147000</v>
      </c>
      <c r="AQ76" s="19">
        <f t="shared" si="63"/>
        <v>147000</v>
      </c>
    </row>
    <row r="77" spans="12:43" x14ac:dyDescent="0.15">
      <c r="L77" s="19">
        <v>73</v>
      </c>
      <c r="M77" s="19">
        <f t="shared" si="40"/>
        <v>3180</v>
      </c>
      <c r="N77" s="19">
        <f t="shared" si="41"/>
        <v>35460</v>
      </c>
      <c r="O77" s="19">
        <f t="shared" si="42"/>
        <v>765000</v>
      </c>
      <c r="P77" s="19">
        <f t="shared" si="43"/>
        <v>147000</v>
      </c>
      <c r="R77" s="19">
        <v>73</v>
      </c>
      <c r="S77" s="19">
        <f>求节点(其他调用!C$4:C$163,其他调用!$B$4:$B$163,其他调用!$C76)</f>
        <v>73</v>
      </c>
      <c r="T77" s="19">
        <f>求节点(其他调用!D$4:D$163,其他调用!$B$4:$B$163,其他调用!$C76)</f>
        <v>70.420205522337909</v>
      </c>
      <c r="U77" s="19">
        <f>求节点(其他调用!E$4:E$163,其他调用!$B$4:$B$163,其他调用!$C76)</f>
        <v>68.314987618632912</v>
      </c>
      <c r="V77" s="19">
        <f>求节点(其他调用!F$4:F$163,其他调用!$B$4:$B$163,其他调用!$C76)</f>
        <v>65.435345291480985</v>
      </c>
      <c r="W77" s="19">
        <f>求节点(其他调用!G$4:G$163,其他调用!$B$4:$B$163,其他调用!$C76)</f>
        <v>64.247157072576243</v>
      </c>
      <c r="X77" s="19">
        <f t="shared" si="44"/>
        <v>3180</v>
      </c>
      <c r="Y77" s="19">
        <f t="shared" si="45"/>
        <v>3180</v>
      </c>
      <c r="Z77" s="19">
        <f t="shared" si="46"/>
        <v>3180</v>
      </c>
      <c r="AA77" s="19">
        <f t="shared" si="47"/>
        <v>3180</v>
      </c>
      <c r="AB77" s="19">
        <f t="shared" si="48"/>
        <v>3180</v>
      </c>
      <c r="AC77" s="19">
        <f t="shared" si="49"/>
        <v>35460</v>
      </c>
      <c r="AD77" s="19">
        <f t="shared" si="50"/>
        <v>35460</v>
      </c>
      <c r="AE77" s="19">
        <f t="shared" si="51"/>
        <v>35460</v>
      </c>
      <c r="AF77" s="19">
        <f t="shared" si="52"/>
        <v>35460</v>
      </c>
      <c r="AG77" s="19">
        <f t="shared" si="53"/>
        <v>35460</v>
      </c>
      <c r="AH77" s="19">
        <f t="shared" si="54"/>
        <v>765000</v>
      </c>
      <c r="AI77" s="19">
        <f t="shared" si="55"/>
        <v>765000</v>
      </c>
      <c r="AJ77" s="19">
        <f t="shared" si="56"/>
        <v>765000</v>
      </c>
      <c r="AK77" s="19">
        <f t="shared" si="57"/>
        <v>765000</v>
      </c>
      <c r="AL77" s="19">
        <f t="shared" si="58"/>
        <v>765000</v>
      </c>
      <c r="AM77" s="19">
        <f t="shared" si="59"/>
        <v>147000</v>
      </c>
      <c r="AN77" s="19">
        <f t="shared" si="60"/>
        <v>147000</v>
      </c>
      <c r="AO77" s="19">
        <f t="shared" si="61"/>
        <v>147000</v>
      </c>
      <c r="AP77" s="19">
        <f t="shared" si="62"/>
        <v>147000</v>
      </c>
      <c r="AQ77" s="19">
        <f t="shared" si="63"/>
        <v>147000</v>
      </c>
    </row>
    <row r="78" spans="12:43" x14ac:dyDescent="0.15">
      <c r="L78" s="19">
        <v>74</v>
      </c>
      <c r="M78" s="19">
        <f t="shared" si="40"/>
        <v>3180</v>
      </c>
      <c r="N78" s="19">
        <f t="shared" si="41"/>
        <v>35460</v>
      </c>
      <c r="O78" s="19">
        <f t="shared" si="42"/>
        <v>765000</v>
      </c>
      <c r="P78" s="19">
        <f t="shared" si="43"/>
        <v>147000</v>
      </c>
      <c r="R78" s="19">
        <v>74</v>
      </c>
      <c r="S78" s="19">
        <f>求节点(其他调用!C$4:C$163,其他调用!$B$4:$B$163,其他调用!$C77)</f>
        <v>74</v>
      </c>
      <c r="T78" s="19">
        <f>求节点(其他调用!D$4:D$163,其他调用!$B$4:$B$163,其他调用!$C77)</f>
        <v>71.478880069259006</v>
      </c>
      <c r="U78" s="19">
        <f>求节点(其他调用!E$4:E$163,其他调用!$B$4:$B$163,其他调用!$C77)</f>
        <v>69.194080472668205</v>
      </c>
      <c r="V78" s="19">
        <f>求节点(其他调用!F$4:F$163,其他调用!$B$4:$B$163,其他调用!$C77)</f>
        <v>66.333777698538483</v>
      </c>
      <c r="W78" s="19">
        <f>求节点(其他调用!G$4:G$163,其他调用!$B$4:$B$163,其他调用!$C77)</f>
        <v>65.162289095932351</v>
      </c>
      <c r="X78" s="19">
        <f t="shared" si="44"/>
        <v>3180</v>
      </c>
      <c r="Y78" s="19">
        <f t="shared" si="45"/>
        <v>3180</v>
      </c>
      <c r="Z78" s="19">
        <f t="shared" si="46"/>
        <v>3180</v>
      </c>
      <c r="AA78" s="19">
        <f t="shared" si="47"/>
        <v>3180</v>
      </c>
      <c r="AB78" s="19">
        <f t="shared" si="48"/>
        <v>3180</v>
      </c>
      <c r="AC78" s="19">
        <f t="shared" si="49"/>
        <v>35460</v>
      </c>
      <c r="AD78" s="19">
        <f t="shared" si="50"/>
        <v>35460</v>
      </c>
      <c r="AE78" s="19">
        <f t="shared" si="51"/>
        <v>35460</v>
      </c>
      <c r="AF78" s="19">
        <f t="shared" si="52"/>
        <v>35460</v>
      </c>
      <c r="AG78" s="19">
        <f t="shared" si="53"/>
        <v>35460</v>
      </c>
      <c r="AH78" s="19">
        <f t="shared" si="54"/>
        <v>765000</v>
      </c>
      <c r="AI78" s="19">
        <f t="shared" si="55"/>
        <v>765000</v>
      </c>
      <c r="AJ78" s="19">
        <f t="shared" si="56"/>
        <v>765000</v>
      </c>
      <c r="AK78" s="19">
        <f t="shared" si="57"/>
        <v>765000</v>
      </c>
      <c r="AL78" s="19">
        <f t="shared" si="58"/>
        <v>765000</v>
      </c>
      <c r="AM78" s="19">
        <f t="shared" si="59"/>
        <v>147000</v>
      </c>
      <c r="AN78" s="19">
        <f t="shared" si="60"/>
        <v>147000</v>
      </c>
      <c r="AO78" s="19">
        <f t="shared" si="61"/>
        <v>147000</v>
      </c>
      <c r="AP78" s="19">
        <f t="shared" si="62"/>
        <v>147000</v>
      </c>
      <c r="AQ78" s="19">
        <f t="shared" si="63"/>
        <v>147000</v>
      </c>
    </row>
    <row r="79" spans="12:43" x14ac:dyDescent="0.15">
      <c r="L79" s="19">
        <v>75</v>
      </c>
      <c r="M79" s="19">
        <f t="shared" si="40"/>
        <v>3180</v>
      </c>
      <c r="N79" s="19">
        <f t="shared" si="41"/>
        <v>35460</v>
      </c>
      <c r="O79" s="19">
        <f t="shared" si="42"/>
        <v>765000</v>
      </c>
      <c r="P79" s="19">
        <f t="shared" si="43"/>
        <v>147000</v>
      </c>
      <c r="R79" s="19">
        <v>75</v>
      </c>
      <c r="S79" s="19">
        <f>求节点(其他调用!C$4:C$163,其他调用!$B$4:$B$163,其他调用!$C78)</f>
        <v>75</v>
      </c>
      <c r="T79" s="19">
        <f>求节点(其他调用!D$4:D$163,其他调用!$B$4:$B$163,其他调用!$C78)</f>
        <v>72.551287870200269</v>
      </c>
      <c r="U79" s="19">
        <f>求节点(其他调用!E$4:E$163,其他调用!$B$4:$B$163,其他调用!$C78)</f>
        <v>70.146468785313871</v>
      </c>
      <c r="V79" s="19">
        <f>求节点(其他调用!F$4:F$163,其他调用!$B$4:$B$163,其他调用!$C78)</f>
        <v>67.229111128152894</v>
      </c>
      <c r="W79" s="19">
        <f>求节点(其他调用!G$4:G$163,其他调用!$B$4:$B$163,其他调用!$C78)</f>
        <v>66.084076643123851</v>
      </c>
      <c r="X79" s="19">
        <f t="shared" si="44"/>
        <v>3180</v>
      </c>
      <c r="Y79" s="19">
        <f t="shared" si="45"/>
        <v>3180</v>
      </c>
      <c r="Z79" s="19">
        <f t="shared" si="46"/>
        <v>3180</v>
      </c>
      <c r="AA79" s="19">
        <f t="shared" si="47"/>
        <v>3180</v>
      </c>
      <c r="AB79" s="19">
        <f t="shared" si="48"/>
        <v>3180</v>
      </c>
      <c r="AC79" s="19">
        <f t="shared" si="49"/>
        <v>35460</v>
      </c>
      <c r="AD79" s="19">
        <f t="shared" si="50"/>
        <v>35460</v>
      </c>
      <c r="AE79" s="19">
        <f t="shared" si="51"/>
        <v>35460</v>
      </c>
      <c r="AF79" s="19">
        <f t="shared" si="52"/>
        <v>35460</v>
      </c>
      <c r="AG79" s="19">
        <f t="shared" si="53"/>
        <v>35460</v>
      </c>
      <c r="AH79" s="19">
        <f t="shared" si="54"/>
        <v>765000</v>
      </c>
      <c r="AI79" s="19">
        <f t="shared" si="55"/>
        <v>765000</v>
      </c>
      <c r="AJ79" s="19">
        <f t="shared" si="56"/>
        <v>765000</v>
      </c>
      <c r="AK79" s="19">
        <f t="shared" si="57"/>
        <v>765000</v>
      </c>
      <c r="AL79" s="19">
        <f t="shared" si="58"/>
        <v>765000</v>
      </c>
      <c r="AM79" s="19">
        <f t="shared" si="59"/>
        <v>147000</v>
      </c>
      <c r="AN79" s="19">
        <f t="shared" si="60"/>
        <v>147000</v>
      </c>
      <c r="AO79" s="19">
        <f t="shared" si="61"/>
        <v>147000</v>
      </c>
      <c r="AP79" s="19">
        <f t="shared" si="62"/>
        <v>147000</v>
      </c>
      <c r="AQ79" s="19">
        <f t="shared" si="63"/>
        <v>147000</v>
      </c>
    </row>
    <row r="80" spans="12:43" x14ac:dyDescent="0.15">
      <c r="L80" s="19">
        <v>76</v>
      </c>
      <c r="M80" s="19">
        <f t="shared" si="40"/>
        <v>3180</v>
      </c>
      <c r="N80" s="19">
        <f t="shared" si="41"/>
        <v>35460</v>
      </c>
      <c r="O80" s="19">
        <f t="shared" si="42"/>
        <v>765000</v>
      </c>
      <c r="P80" s="19">
        <f t="shared" si="43"/>
        <v>147000</v>
      </c>
      <c r="R80" s="19">
        <v>76</v>
      </c>
      <c r="S80" s="19">
        <f>求节点(其他调用!C$4:C$163,其他调用!$B$4:$B$163,其他调用!$C79)</f>
        <v>76</v>
      </c>
      <c r="T80" s="19">
        <f>求节点(其他调用!D$4:D$163,其他调用!$B$4:$B$163,其他调用!$C79)</f>
        <v>73.661134724662148</v>
      </c>
      <c r="U80" s="19">
        <f>求节点(其他调用!E$4:E$163,其他调用!$B$4:$B$163,其他调用!$C79)</f>
        <v>71.305365686885779</v>
      </c>
      <c r="V80" s="19">
        <f>求节点(其他调用!F$4:F$163,其他调用!$B$4:$B$163,其他调用!$C79)</f>
        <v>68.134912356102149</v>
      </c>
      <c r="W80" s="19">
        <f>求节点(其他调用!G$4:G$163,其他调用!$B$4:$B$163,其他调用!$C79)</f>
        <v>67.022410949353286</v>
      </c>
      <c r="X80" s="19">
        <f t="shared" si="44"/>
        <v>3180</v>
      </c>
      <c r="Y80" s="19">
        <f t="shared" si="45"/>
        <v>3180</v>
      </c>
      <c r="Z80" s="19">
        <f t="shared" si="46"/>
        <v>3180</v>
      </c>
      <c r="AA80" s="19">
        <f t="shared" si="47"/>
        <v>3180</v>
      </c>
      <c r="AB80" s="19">
        <f t="shared" si="48"/>
        <v>3180</v>
      </c>
      <c r="AC80" s="19">
        <f t="shared" si="49"/>
        <v>35460</v>
      </c>
      <c r="AD80" s="19">
        <f t="shared" si="50"/>
        <v>35460</v>
      </c>
      <c r="AE80" s="19">
        <f t="shared" si="51"/>
        <v>35460</v>
      </c>
      <c r="AF80" s="19">
        <f t="shared" si="52"/>
        <v>35460</v>
      </c>
      <c r="AG80" s="19">
        <f t="shared" si="53"/>
        <v>35460</v>
      </c>
      <c r="AH80" s="19">
        <f t="shared" si="54"/>
        <v>765000</v>
      </c>
      <c r="AI80" s="19">
        <f t="shared" si="55"/>
        <v>765000</v>
      </c>
      <c r="AJ80" s="19">
        <f t="shared" si="56"/>
        <v>765000</v>
      </c>
      <c r="AK80" s="19">
        <f t="shared" si="57"/>
        <v>765000</v>
      </c>
      <c r="AL80" s="19">
        <f t="shared" si="58"/>
        <v>765000</v>
      </c>
      <c r="AM80" s="19">
        <f t="shared" si="59"/>
        <v>147000</v>
      </c>
      <c r="AN80" s="19">
        <f t="shared" si="60"/>
        <v>147000</v>
      </c>
      <c r="AO80" s="19">
        <f t="shared" si="61"/>
        <v>147000</v>
      </c>
      <c r="AP80" s="19">
        <f t="shared" si="62"/>
        <v>147000</v>
      </c>
      <c r="AQ80" s="19">
        <f t="shared" si="63"/>
        <v>147000</v>
      </c>
    </row>
    <row r="81" spans="12:43" x14ac:dyDescent="0.15">
      <c r="L81" s="19">
        <v>77</v>
      </c>
      <c r="M81" s="19">
        <f t="shared" si="40"/>
        <v>3180</v>
      </c>
      <c r="N81" s="19">
        <f t="shared" si="41"/>
        <v>35460</v>
      </c>
      <c r="O81" s="19">
        <f t="shared" si="42"/>
        <v>765000</v>
      </c>
      <c r="P81" s="19">
        <f t="shared" si="43"/>
        <v>147000</v>
      </c>
      <c r="R81" s="19">
        <v>77</v>
      </c>
      <c r="S81" s="19">
        <f>求节点(其他调用!C$4:C$163,其他调用!$B$4:$B$163,其他调用!$C80)</f>
        <v>77</v>
      </c>
      <c r="T81" s="19">
        <f>求节点(其他调用!D$4:D$163,其他调用!$B$4:$B$163,其他调用!$C80)</f>
        <v>74.72994422870724</v>
      </c>
      <c r="U81" s="19">
        <f>求节点(其他调用!E$4:E$163,其他调用!$B$4:$B$163,其他调用!$C80)</f>
        <v>72.458135443627299</v>
      </c>
      <c r="V81" s="19">
        <f>求节点(其他调用!F$4:F$163,其他调用!$B$4:$B$163,其他调用!$C80)</f>
        <v>69.062910669405767</v>
      </c>
      <c r="W81" s="19">
        <f>求节点(其他调用!G$4:G$163,其他调用!$B$4:$B$163,其他调用!$C80)</f>
        <v>67.945386625024625</v>
      </c>
      <c r="X81" s="19">
        <f t="shared" si="44"/>
        <v>3180</v>
      </c>
      <c r="Y81" s="19">
        <f t="shared" si="45"/>
        <v>3180</v>
      </c>
      <c r="Z81" s="19">
        <f t="shared" si="46"/>
        <v>3180</v>
      </c>
      <c r="AA81" s="19">
        <f t="shared" si="47"/>
        <v>3180</v>
      </c>
      <c r="AB81" s="19">
        <f t="shared" si="48"/>
        <v>3180</v>
      </c>
      <c r="AC81" s="19">
        <f t="shared" si="49"/>
        <v>35460</v>
      </c>
      <c r="AD81" s="19">
        <f t="shared" si="50"/>
        <v>35460</v>
      </c>
      <c r="AE81" s="19">
        <f t="shared" si="51"/>
        <v>35460</v>
      </c>
      <c r="AF81" s="19">
        <f t="shared" si="52"/>
        <v>35460</v>
      </c>
      <c r="AG81" s="19">
        <f t="shared" si="53"/>
        <v>35460</v>
      </c>
      <c r="AH81" s="19">
        <f t="shared" si="54"/>
        <v>765000</v>
      </c>
      <c r="AI81" s="19">
        <f t="shared" si="55"/>
        <v>765000</v>
      </c>
      <c r="AJ81" s="19">
        <f t="shared" si="56"/>
        <v>765000</v>
      </c>
      <c r="AK81" s="19">
        <f t="shared" si="57"/>
        <v>765000</v>
      </c>
      <c r="AL81" s="19">
        <f t="shared" si="58"/>
        <v>765000</v>
      </c>
      <c r="AM81" s="19">
        <f t="shared" si="59"/>
        <v>147000</v>
      </c>
      <c r="AN81" s="19">
        <f t="shared" si="60"/>
        <v>147000</v>
      </c>
      <c r="AO81" s="19">
        <f t="shared" si="61"/>
        <v>147000</v>
      </c>
      <c r="AP81" s="19">
        <f t="shared" si="62"/>
        <v>147000</v>
      </c>
      <c r="AQ81" s="19">
        <f t="shared" si="63"/>
        <v>147000</v>
      </c>
    </row>
    <row r="82" spans="12:43" x14ac:dyDescent="0.15">
      <c r="L82" s="19">
        <v>78</v>
      </c>
      <c r="M82" s="19">
        <f t="shared" si="40"/>
        <v>3180</v>
      </c>
      <c r="N82" s="19">
        <f t="shared" si="41"/>
        <v>35460</v>
      </c>
      <c r="O82" s="19">
        <f t="shared" si="42"/>
        <v>765000</v>
      </c>
      <c r="P82" s="19">
        <f t="shared" si="43"/>
        <v>147000</v>
      </c>
      <c r="R82" s="19">
        <v>78</v>
      </c>
      <c r="S82" s="19">
        <f>求节点(其他调用!C$4:C$163,其他调用!$B$4:$B$163,其他调用!$C81)</f>
        <v>78</v>
      </c>
      <c r="T82" s="19">
        <f>求节点(其他调用!D$4:D$163,其他调用!$B$4:$B$163,其他调用!$C81)</f>
        <v>75.603800187926879</v>
      </c>
      <c r="U82" s="19">
        <f>求节点(其他调用!E$4:E$163,其他调用!$B$4:$B$163,其他调用!$C81)</f>
        <v>73.405577469188358</v>
      </c>
      <c r="V82" s="19">
        <f>求节点(其他调用!F$4:F$163,其他调用!$B$4:$B$163,其他调用!$C81)</f>
        <v>69.877865220905022</v>
      </c>
      <c r="W82" s="19">
        <f>求节点(其他调用!G$4:G$163,其他调用!$B$4:$B$163,其他调用!$C81)</f>
        <v>68.722086327728192</v>
      </c>
      <c r="X82" s="19">
        <f t="shared" si="44"/>
        <v>3180</v>
      </c>
      <c r="Y82" s="19">
        <f t="shared" si="45"/>
        <v>3180</v>
      </c>
      <c r="Z82" s="19">
        <f t="shared" si="46"/>
        <v>3180</v>
      </c>
      <c r="AA82" s="19">
        <f t="shared" si="47"/>
        <v>3180</v>
      </c>
      <c r="AB82" s="19">
        <f t="shared" si="48"/>
        <v>3180</v>
      </c>
      <c r="AC82" s="19">
        <f t="shared" si="49"/>
        <v>35460</v>
      </c>
      <c r="AD82" s="19">
        <f t="shared" si="50"/>
        <v>35460</v>
      </c>
      <c r="AE82" s="19">
        <f t="shared" si="51"/>
        <v>35460</v>
      </c>
      <c r="AF82" s="19">
        <f t="shared" si="52"/>
        <v>35460</v>
      </c>
      <c r="AG82" s="19">
        <f t="shared" si="53"/>
        <v>35460</v>
      </c>
      <c r="AH82" s="19">
        <f t="shared" si="54"/>
        <v>765000</v>
      </c>
      <c r="AI82" s="19">
        <f t="shared" si="55"/>
        <v>765000</v>
      </c>
      <c r="AJ82" s="19">
        <f t="shared" si="56"/>
        <v>765000</v>
      </c>
      <c r="AK82" s="19">
        <f t="shared" si="57"/>
        <v>765000</v>
      </c>
      <c r="AL82" s="19">
        <f t="shared" si="58"/>
        <v>765000</v>
      </c>
      <c r="AM82" s="19">
        <f t="shared" si="59"/>
        <v>147000</v>
      </c>
      <c r="AN82" s="19">
        <f t="shared" si="60"/>
        <v>147000</v>
      </c>
      <c r="AO82" s="19">
        <f t="shared" si="61"/>
        <v>147000</v>
      </c>
      <c r="AP82" s="19">
        <f t="shared" si="62"/>
        <v>147000</v>
      </c>
      <c r="AQ82" s="19">
        <f t="shared" si="63"/>
        <v>147000</v>
      </c>
    </row>
    <row r="83" spans="12:43" x14ac:dyDescent="0.15">
      <c r="L83" s="19">
        <v>79</v>
      </c>
      <c r="M83" s="19">
        <f t="shared" si="40"/>
        <v>3180</v>
      </c>
      <c r="N83" s="19">
        <f t="shared" si="41"/>
        <v>35460</v>
      </c>
      <c r="O83" s="19">
        <f t="shared" si="42"/>
        <v>765000</v>
      </c>
      <c r="P83" s="19">
        <f t="shared" si="43"/>
        <v>147000</v>
      </c>
      <c r="R83" s="19">
        <v>79</v>
      </c>
      <c r="S83" s="19">
        <f>求节点(其他调用!C$4:C$163,其他调用!$B$4:$B$163,其他调用!$C82)</f>
        <v>79</v>
      </c>
      <c r="T83" s="19">
        <f>求节点(其他调用!D$4:D$163,其他调用!$B$4:$B$163,其他调用!$C82)</f>
        <v>76.443397695430406</v>
      </c>
      <c r="U83" s="19">
        <f>求节点(其他调用!E$4:E$163,其他调用!$B$4:$B$163,其他调用!$C82)</f>
        <v>74.30057498444873</v>
      </c>
      <c r="V83" s="19">
        <f>求节点(其他调用!F$4:F$163,其他调用!$B$4:$B$163,其他调用!$C82)</f>
        <v>70.737230671806159</v>
      </c>
      <c r="W83" s="19">
        <f>求节点(其他调用!G$4:G$163,其他调用!$B$4:$B$163,其他调用!$C82)</f>
        <v>69.472801420989498</v>
      </c>
      <c r="X83" s="19">
        <f t="shared" si="44"/>
        <v>3180</v>
      </c>
      <c r="Y83" s="19">
        <f t="shared" si="45"/>
        <v>3180</v>
      </c>
      <c r="Z83" s="19">
        <f t="shared" si="46"/>
        <v>3180</v>
      </c>
      <c r="AA83" s="19">
        <f t="shared" si="47"/>
        <v>3180</v>
      </c>
      <c r="AB83" s="19">
        <f t="shared" si="48"/>
        <v>3180</v>
      </c>
      <c r="AC83" s="19">
        <f t="shared" si="49"/>
        <v>35460</v>
      </c>
      <c r="AD83" s="19">
        <f t="shared" si="50"/>
        <v>35460</v>
      </c>
      <c r="AE83" s="19">
        <f t="shared" si="51"/>
        <v>35460</v>
      </c>
      <c r="AF83" s="19">
        <f t="shared" si="52"/>
        <v>35460</v>
      </c>
      <c r="AG83" s="19">
        <f t="shared" si="53"/>
        <v>35460</v>
      </c>
      <c r="AH83" s="19">
        <f t="shared" si="54"/>
        <v>765000</v>
      </c>
      <c r="AI83" s="19">
        <f t="shared" si="55"/>
        <v>765000</v>
      </c>
      <c r="AJ83" s="19">
        <f t="shared" si="56"/>
        <v>765000</v>
      </c>
      <c r="AK83" s="19">
        <f t="shared" si="57"/>
        <v>765000</v>
      </c>
      <c r="AL83" s="19">
        <f t="shared" si="58"/>
        <v>765000</v>
      </c>
      <c r="AM83" s="19">
        <f t="shared" si="59"/>
        <v>147000</v>
      </c>
      <c r="AN83" s="19">
        <f t="shared" si="60"/>
        <v>147000</v>
      </c>
      <c r="AO83" s="19">
        <f t="shared" si="61"/>
        <v>147000</v>
      </c>
      <c r="AP83" s="19">
        <f t="shared" si="62"/>
        <v>147000</v>
      </c>
      <c r="AQ83" s="19">
        <f t="shared" si="63"/>
        <v>147000</v>
      </c>
    </row>
    <row r="84" spans="12:43" x14ac:dyDescent="0.15">
      <c r="L84" s="19">
        <v>80</v>
      </c>
      <c r="M84" s="19">
        <f t="shared" si="40"/>
        <v>3180</v>
      </c>
      <c r="N84" s="19">
        <f t="shared" si="41"/>
        <v>35460</v>
      </c>
      <c r="O84" s="19">
        <f t="shared" si="42"/>
        <v>765000</v>
      </c>
      <c r="P84" s="19">
        <f t="shared" si="43"/>
        <v>147000</v>
      </c>
      <c r="R84" s="19">
        <v>80</v>
      </c>
      <c r="S84" s="19">
        <f>求节点(其他调用!C$4:C$163,其他调用!$B$4:$B$163,其他调用!$C83)</f>
        <v>80</v>
      </c>
      <c r="T84" s="19">
        <f>求节点(其他调用!D$4:D$163,其他调用!$B$4:$B$163,其他调用!$C83)</f>
        <v>77.320821937062078</v>
      </c>
      <c r="U84" s="19">
        <f>求节点(其他调用!E$4:E$163,其他调用!$B$4:$B$163,其他调用!$C83)</f>
        <v>75.164865311162927</v>
      </c>
      <c r="V84" s="19">
        <f>求节点(其他调用!F$4:F$163,其他调用!$B$4:$B$163,其他调用!$C83)</f>
        <v>71.599869421616418</v>
      </c>
      <c r="W84" s="19">
        <f>求节点(其他调用!G$4:G$163,其他调用!$B$4:$B$163,其他调用!$C83)</f>
        <v>70.249990307132705</v>
      </c>
      <c r="X84" s="19">
        <f t="shared" si="44"/>
        <v>3180</v>
      </c>
      <c r="Y84" s="19">
        <f t="shared" si="45"/>
        <v>3180</v>
      </c>
      <c r="Z84" s="19">
        <f t="shared" si="46"/>
        <v>3180</v>
      </c>
      <c r="AA84" s="19">
        <f t="shared" si="47"/>
        <v>3180</v>
      </c>
      <c r="AB84" s="19">
        <f t="shared" si="48"/>
        <v>3180</v>
      </c>
      <c r="AC84" s="19">
        <f t="shared" si="49"/>
        <v>35460</v>
      </c>
      <c r="AD84" s="19">
        <f t="shared" si="50"/>
        <v>35460</v>
      </c>
      <c r="AE84" s="19">
        <f t="shared" si="51"/>
        <v>35460</v>
      </c>
      <c r="AF84" s="19">
        <f t="shared" si="52"/>
        <v>35460</v>
      </c>
      <c r="AG84" s="19">
        <f t="shared" si="53"/>
        <v>35460</v>
      </c>
      <c r="AH84" s="19">
        <f t="shared" si="54"/>
        <v>765000</v>
      </c>
      <c r="AI84" s="19">
        <f t="shared" si="55"/>
        <v>765000</v>
      </c>
      <c r="AJ84" s="19">
        <f t="shared" si="56"/>
        <v>765000</v>
      </c>
      <c r="AK84" s="19">
        <f t="shared" si="57"/>
        <v>765000</v>
      </c>
      <c r="AL84" s="19">
        <f t="shared" si="58"/>
        <v>765000</v>
      </c>
      <c r="AM84" s="19">
        <f t="shared" si="59"/>
        <v>147000</v>
      </c>
      <c r="AN84" s="19">
        <f t="shared" si="60"/>
        <v>147000</v>
      </c>
      <c r="AO84" s="19">
        <f t="shared" si="61"/>
        <v>147000</v>
      </c>
      <c r="AP84" s="19">
        <f t="shared" si="62"/>
        <v>147000</v>
      </c>
      <c r="AQ84" s="19">
        <f t="shared" si="63"/>
        <v>147000</v>
      </c>
    </row>
    <row r="85" spans="12:43" x14ac:dyDescent="0.15">
      <c r="L85" s="19">
        <v>81</v>
      </c>
      <c r="M85" s="19">
        <f t="shared" si="40"/>
        <v>3180</v>
      </c>
      <c r="N85" s="19">
        <f t="shared" si="41"/>
        <v>35460</v>
      </c>
      <c r="O85" s="19">
        <f t="shared" si="42"/>
        <v>765000</v>
      </c>
      <c r="P85" s="19">
        <f t="shared" si="43"/>
        <v>147000</v>
      </c>
      <c r="R85" s="19">
        <v>81</v>
      </c>
      <c r="S85" s="19">
        <f>求节点(其他调用!C$4:C$163,其他调用!$B$4:$B$163,其他调用!$C84)</f>
        <v>81</v>
      </c>
      <c r="T85" s="19">
        <f>求节点(其他调用!D$4:D$163,其他调用!$B$4:$B$163,其他调用!$C84)</f>
        <v>78.206030820276141</v>
      </c>
      <c r="U85" s="19">
        <f>求节点(其他调用!E$4:E$163,其他调用!$B$4:$B$163,其他调用!$C84)</f>
        <v>75.937589384648476</v>
      </c>
      <c r="V85" s="19">
        <f>求节点(其他调用!F$4:F$163,其他调用!$B$4:$B$163,其他调用!$C84)</f>
        <v>72.356875978489199</v>
      </c>
      <c r="W85" s="19">
        <f>求节点(其他调用!G$4:G$163,其他调用!$B$4:$B$163,其他调用!$C84)</f>
        <v>71.038773752306952</v>
      </c>
      <c r="X85" s="19">
        <f t="shared" si="44"/>
        <v>3180</v>
      </c>
      <c r="Y85" s="19">
        <f t="shared" si="45"/>
        <v>3180</v>
      </c>
      <c r="Z85" s="19">
        <f t="shared" si="46"/>
        <v>3180</v>
      </c>
      <c r="AA85" s="19">
        <f t="shared" si="47"/>
        <v>3180</v>
      </c>
      <c r="AB85" s="19">
        <f t="shared" si="48"/>
        <v>3180</v>
      </c>
      <c r="AC85" s="19">
        <f t="shared" si="49"/>
        <v>35460</v>
      </c>
      <c r="AD85" s="19">
        <f t="shared" si="50"/>
        <v>35460</v>
      </c>
      <c r="AE85" s="19">
        <f t="shared" si="51"/>
        <v>35460</v>
      </c>
      <c r="AF85" s="19">
        <f t="shared" si="52"/>
        <v>35460</v>
      </c>
      <c r="AG85" s="19">
        <f t="shared" si="53"/>
        <v>35460</v>
      </c>
      <c r="AH85" s="19">
        <f t="shared" si="54"/>
        <v>765000</v>
      </c>
      <c r="AI85" s="19">
        <f t="shared" si="55"/>
        <v>765000</v>
      </c>
      <c r="AJ85" s="19">
        <f t="shared" si="56"/>
        <v>765000</v>
      </c>
      <c r="AK85" s="19">
        <f t="shared" si="57"/>
        <v>765000</v>
      </c>
      <c r="AL85" s="19">
        <f t="shared" si="58"/>
        <v>765000</v>
      </c>
      <c r="AM85" s="19">
        <f t="shared" si="59"/>
        <v>147000</v>
      </c>
      <c r="AN85" s="19">
        <f t="shared" si="60"/>
        <v>147000</v>
      </c>
      <c r="AO85" s="19">
        <f t="shared" si="61"/>
        <v>147000</v>
      </c>
      <c r="AP85" s="19">
        <f t="shared" si="62"/>
        <v>147000</v>
      </c>
      <c r="AQ85" s="19">
        <f t="shared" si="63"/>
        <v>147000</v>
      </c>
    </row>
    <row r="86" spans="12:43" x14ac:dyDescent="0.15">
      <c r="L86" s="19">
        <v>82</v>
      </c>
      <c r="M86" s="19">
        <f t="shared" si="40"/>
        <v>3180</v>
      </c>
      <c r="N86" s="19">
        <f t="shared" si="41"/>
        <v>35460</v>
      </c>
      <c r="O86" s="19">
        <f t="shared" si="42"/>
        <v>765000</v>
      </c>
      <c r="P86" s="19">
        <f t="shared" si="43"/>
        <v>147000</v>
      </c>
      <c r="R86" s="19">
        <v>82</v>
      </c>
      <c r="S86" s="19">
        <f>求节点(其他调用!C$4:C$163,其他调用!$B$4:$B$163,其他调用!$C85)</f>
        <v>82</v>
      </c>
      <c r="T86" s="19">
        <f>求节点(其他调用!D$4:D$163,其他调用!$B$4:$B$163,其他调用!$C85)</f>
        <v>79.136793756040873</v>
      </c>
      <c r="U86" s="19">
        <f>求节点(其他调用!E$4:E$163,其他调用!$B$4:$B$163,其他调用!$C85)</f>
        <v>76.767072673645998</v>
      </c>
      <c r="V86" s="19">
        <f>求节点(其他调用!F$4:F$163,其他调用!$B$4:$B$163,其他调用!$C85)</f>
        <v>73.140268706134194</v>
      </c>
      <c r="W86" s="19">
        <f>求节点(其他调用!G$4:G$163,其他调用!$B$4:$B$163,其他调用!$C85)</f>
        <v>71.872484163351416</v>
      </c>
      <c r="X86" s="19">
        <f t="shared" si="44"/>
        <v>3180</v>
      </c>
      <c r="Y86" s="19">
        <f t="shared" si="45"/>
        <v>3180</v>
      </c>
      <c r="Z86" s="19">
        <f t="shared" si="46"/>
        <v>3180</v>
      </c>
      <c r="AA86" s="19">
        <f t="shared" si="47"/>
        <v>3180</v>
      </c>
      <c r="AB86" s="19">
        <f t="shared" si="48"/>
        <v>3180</v>
      </c>
      <c r="AC86" s="19">
        <f t="shared" si="49"/>
        <v>35460</v>
      </c>
      <c r="AD86" s="19">
        <f t="shared" si="50"/>
        <v>35460</v>
      </c>
      <c r="AE86" s="19">
        <f t="shared" si="51"/>
        <v>35460</v>
      </c>
      <c r="AF86" s="19">
        <f t="shared" si="52"/>
        <v>35460</v>
      </c>
      <c r="AG86" s="19">
        <f t="shared" si="53"/>
        <v>35460</v>
      </c>
      <c r="AH86" s="19">
        <f t="shared" si="54"/>
        <v>765000</v>
      </c>
      <c r="AI86" s="19">
        <f t="shared" si="55"/>
        <v>765000</v>
      </c>
      <c r="AJ86" s="19">
        <f t="shared" si="56"/>
        <v>765000</v>
      </c>
      <c r="AK86" s="19">
        <f t="shared" si="57"/>
        <v>765000</v>
      </c>
      <c r="AL86" s="19">
        <f t="shared" si="58"/>
        <v>765000</v>
      </c>
      <c r="AM86" s="19">
        <f t="shared" si="59"/>
        <v>147000</v>
      </c>
      <c r="AN86" s="19">
        <f t="shared" si="60"/>
        <v>147000</v>
      </c>
      <c r="AO86" s="19">
        <f t="shared" si="61"/>
        <v>147000</v>
      </c>
      <c r="AP86" s="19">
        <f t="shared" si="62"/>
        <v>147000</v>
      </c>
      <c r="AQ86" s="19">
        <f t="shared" si="63"/>
        <v>147000</v>
      </c>
    </row>
    <row r="87" spans="12:43" x14ac:dyDescent="0.15">
      <c r="L87" s="19">
        <v>83</v>
      </c>
      <c r="M87" s="19">
        <f t="shared" si="40"/>
        <v>3180</v>
      </c>
      <c r="N87" s="19">
        <f t="shared" si="41"/>
        <v>35460</v>
      </c>
      <c r="O87" s="19">
        <f t="shared" si="42"/>
        <v>765000</v>
      </c>
      <c r="P87" s="19">
        <f t="shared" si="43"/>
        <v>147000</v>
      </c>
      <c r="R87" s="19">
        <v>83</v>
      </c>
      <c r="S87" s="19">
        <f>求节点(其他调用!C$4:C$163,其他调用!$B$4:$B$163,其他调用!$C86)</f>
        <v>83</v>
      </c>
      <c r="T87" s="19">
        <f>求节点(其他调用!D$4:D$163,其他调用!$B$4:$B$163,其他调用!$C86)</f>
        <v>80.013097899486269</v>
      </c>
      <c r="U87" s="19">
        <f>求节点(其他调用!E$4:E$163,其他调用!$B$4:$B$163,其他调用!$C86)</f>
        <v>77.603678084556648</v>
      </c>
      <c r="V87" s="19">
        <f>求节点(其他调用!F$4:F$163,其他调用!$B$4:$B$163,其他调用!$C86)</f>
        <v>73.891878627162185</v>
      </c>
      <c r="W87" s="19">
        <f>求节点(其他调用!G$4:G$163,其他调用!$B$4:$B$163,其他调用!$C86)</f>
        <v>72.62595862462156</v>
      </c>
      <c r="X87" s="19">
        <f t="shared" si="44"/>
        <v>3180</v>
      </c>
      <c r="Y87" s="19">
        <f t="shared" si="45"/>
        <v>3180</v>
      </c>
      <c r="Z87" s="19">
        <f t="shared" si="46"/>
        <v>3180</v>
      </c>
      <c r="AA87" s="19">
        <f t="shared" si="47"/>
        <v>3180</v>
      </c>
      <c r="AB87" s="19">
        <f t="shared" si="48"/>
        <v>3180</v>
      </c>
      <c r="AC87" s="19">
        <f t="shared" si="49"/>
        <v>35460</v>
      </c>
      <c r="AD87" s="19">
        <f t="shared" si="50"/>
        <v>35460</v>
      </c>
      <c r="AE87" s="19">
        <f t="shared" si="51"/>
        <v>35460</v>
      </c>
      <c r="AF87" s="19">
        <f t="shared" si="52"/>
        <v>35460</v>
      </c>
      <c r="AG87" s="19">
        <f t="shared" si="53"/>
        <v>35460</v>
      </c>
      <c r="AH87" s="19">
        <f t="shared" si="54"/>
        <v>765000</v>
      </c>
      <c r="AI87" s="19">
        <f t="shared" si="55"/>
        <v>765000</v>
      </c>
      <c r="AJ87" s="19">
        <f t="shared" si="56"/>
        <v>765000</v>
      </c>
      <c r="AK87" s="19">
        <f t="shared" si="57"/>
        <v>765000</v>
      </c>
      <c r="AL87" s="19">
        <f t="shared" si="58"/>
        <v>765000</v>
      </c>
      <c r="AM87" s="19">
        <f t="shared" si="59"/>
        <v>147000</v>
      </c>
      <c r="AN87" s="19">
        <f t="shared" si="60"/>
        <v>147000</v>
      </c>
      <c r="AO87" s="19">
        <f t="shared" si="61"/>
        <v>147000</v>
      </c>
      <c r="AP87" s="19">
        <f t="shared" si="62"/>
        <v>147000</v>
      </c>
      <c r="AQ87" s="19">
        <f t="shared" si="63"/>
        <v>147000</v>
      </c>
    </row>
    <row r="88" spans="12:43" x14ac:dyDescent="0.15">
      <c r="L88" s="19">
        <v>84</v>
      </c>
      <c r="M88" s="19">
        <f t="shared" si="40"/>
        <v>3180</v>
      </c>
      <c r="N88" s="19">
        <f t="shared" si="41"/>
        <v>35460</v>
      </c>
      <c r="O88" s="19">
        <f t="shared" si="42"/>
        <v>765000</v>
      </c>
      <c r="P88" s="19">
        <f t="shared" si="43"/>
        <v>147000</v>
      </c>
      <c r="R88" s="19">
        <v>84</v>
      </c>
      <c r="S88" s="19">
        <f>求节点(其他调用!C$4:C$163,其他调用!$B$4:$B$163,其他调用!$C87)</f>
        <v>84</v>
      </c>
      <c r="T88" s="19">
        <f>求节点(其他调用!D$4:D$163,其他调用!$B$4:$B$163,其他调用!$C87)</f>
        <v>80.770825020579196</v>
      </c>
      <c r="U88" s="19">
        <f>求节点(其他调用!E$4:E$163,其他调用!$B$4:$B$163,其他调用!$C87)</f>
        <v>78.446808845444806</v>
      </c>
      <c r="V88" s="19">
        <f>求节点(其他调用!F$4:F$163,其他调用!$B$4:$B$163,其他调用!$C87)</f>
        <v>74.624309926393636</v>
      </c>
      <c r="W88" s="19">
        <f>求节点(其他调用!G$4:G$163,其他调用!$B$4:$B$163,其他调用!$C87)</f>
        <v>73.339870572309351</v>
      </c>
      <c r="X88" s="19">
        <f t="shared" si="44"/>
        <v>3180</v>
      </c>
      <c r="Y88" s="19">
        <f t="shared" si="45"/>
        <v>3180</v>
      </c>
      <c r="Z88" s="19">
        <f t="shared" si="46"/>
        <v>3180</v>
      </c>
      <c r="AA88" s="19">
        <f t="shared" si="47"/>
        <v>3180</v>
      </c>
      <c r="AB88" s="19">
        <f t="shared" si="48"/>
        <v>3180</v>
      </c>
      <c r="AC88" s="19">
        <f t="shared" si="49"/>
        <v>35460</v>
      </c>
      <c r="AD88" s="19">
        <f t="shared" si="50"/>
        <v>35460</v>
      </c>
      <c r="AE88" s="19">
        <f t="shared" si="51"/>
        <v>35460</v>
      </c>
      <c r="AF88" s="19">
        <f t="shared" si="52"/>
        <v>35460</v>
      </c>
      <c r="AG88" s="19">
        <f t="shared" si="53"/>
        <v>35460</v>
      </c>
      <c r="AH88" s="19">
        <f t="shared" si="54"/>
        <v>765000</v>
      </c>
      <c r="AI88" s="19">
        <f t="shared" si="55"/>
        <v>765000</v>
      </c>
      <c r="AJ88" s="19">
        <f t="shared" si="56"/>
        <v>765000</v>
      </c>
      <c r="AK88" s="19">
        <f t="shared" si="57"/>
        <v>765000</v>
      </c>
      <c r="AL88" s="19">
        <f t="shared" si="58"/>
        <v>765000</v>
      </c>
      <c r="AM88" s="19">
        <f t="shared" si="59"/>
        <v>147000</v>
      </c>
      <c r="AN88" s="19">
        <f t="shared" si="60"/>
        <v>147000</v>
      </c>
      <c r="AO88" s="19">
        <f t="shared" si="61"/>
        <v>147000</v>
      </c>
      <c r="AP88" s="19">
        <f t="shared" si="62"/>
        <v>147000</v>
      </c>
      <c r="AQ88" s="19">
        <f t="shared" si="63"/>
        <v>147000</v>
      </c>
    </row>
    <row r="89" spans="12:43" x14ac:dyDescent="0.15">
      <c r="L89" s="19">
        <v>85</v>
      </c>
      <c r="M89" s="19">
        <f t="shared" si="40"/>
        <v>3180</v>
      </c>
      <c r="N89" s="19">
        <f t="shared" si="41"/>
        <v>35460</v>
      </c>
      <c r="O89" s="19">
        <f t="shared" si="42"/>
        <v>765000</v>
      </c>
      <c r="P89" s="19">
        <f t="shared" si="43"/>
        <v>147000</v>
      </c>
      <c r="R89" s="19">
        <v>85</v>
      </c>
      <c r="S89" s="19">
        <f>求节点(其他调用!C$4:C$163,其他调用!$B$4:$B$163,其他调用!$C88)</f>
        <v>85</v>
      </c>
      <c r="T89" s="19">
        <f>求节点(其他调用!D$4:D$163,其他调用!$B$4:$B$163,其他调用!$C88)</f>
        <v>81.599913594166793</v>
      </c>
      <c r="U89" s="19">
        <f>求节点(其他调用!E$4:E$163,其他调用!$B$4:$B$163,其他调用!$C88)</f>
        <v>79.32077198051681</v>
      </c>
      <c r="V89" s="19">
        <f>求节点(其他调用!F$4:F$163,其他调用!$B$4:$B$163,其他调用!$C88)</f>
        <v>75.372965591510393</v>
      </c>
      <c r="W89" s="19">
        <f>求节点(其他调用!G$4:G$163,其他调用!$B$4:$B$163,其他调用!$C88)</f>
        <v>74.05486427279439</v>
      </c>
      <c r="X89" s="19">
        <f t="shared" si="44"/>
        <v>3180</v>
      </c>
      <c r="Y89" s="19">
        <f t="shared" si="45"/>
        <v>3180</v>
      </c>
      <c r="Z89" s="19">
        <f t="shared" si="46"/>
        <v>3180</v>
      </c>
      <c r="AA89" s="19">
        <f t="shared" si="47"/>
        <v>3180</v>
      </c>
      <c r="AB89" s="19">
        <f t="shared" si="48"/>
        <v>3180</v>
      </c>
      <c r="AC89" s="19">
        <f t="shared" si="49"/>
        <v>35460</v>
      </c>
      <c r="AD89" s="19">
        <f t="shared" si="50"/>
        <v>35460</v>
      </c>
      <c r="AE89" s="19">
        <f t="shared" si="51"/>
        <v>35460</v>
      </c>
      <c r="AF89" s="19">
        <f t="shared" si="52"/>
        <v>35460</v>
      </c>
      <c r="AG89" s="19">
        <f t="shared" si="53"/>
        <v>35460</v>
      </c>
      <c r="AH89" s="19">
        <f t="shared" si="54"/>
        <v>765000</v>
      </c>
      <c r="AI89" s="19">
        <f t="shared" si="55"/>
        <v>765000</v>
      </c>
      <c r="AJ89" s="19">
        <f t="shared" si="56"/>
        <v>765000</v>
      </c>
      <c r="AK89" s="19">
        <f t="shared" si="57"/>
        <v>765000</v>
      </c>
      <c r="AL89" s="19">
        <f t="shared" si="58"/>
        <v>765000</v>
      </c>
      <c r="AM89" s="19">
        <f t="shared" si="59"/>
        <v>147000</v>
      </c>
      <c r="AN89" s="19">
        <f t="shared" si="60"/>
        <v>147000</v>
      </c>
      <c r="AO89" s="19">
        <f t="shared" si="61"/>
        <v>147000</v>
      </c>
      <c r="AP89" s="19">
        <f t="shared" si="62"/>
        <v>147000</v>
      </c>
      <c r="AQ89" s="19">
        <f t="shared" si="63"/>
        <v>147000</v>
      </c>
    </row>
    <row r="90" spans="12:43" x14ac:dyDescent="0.15">
      <c r="L90" s="19">
        <v>86</v>
      </c>
      <c r="M90" s="19">
        <f t="shared" si="40"/>
        <v>3180</v>
      </c>
      <c r="N90" s="19">
        <f t="shared" si="41"/>
        <v>35460</v>
      </c>
      <c r="O90" s="19">
        <f t="shared" si="42"/>
        <v>765000</v>
      </c>
      <c r="P90" s="19">
        <f t="shared" si="43"/>
        <v>147000</v>
      </c>
      <c r="R90" s="19">
        <v>86</v>
      </c>
      <c r="S90" s="19">
        <f>求节点(其他调用!C$4:C$163,其他调用!$B$4:$B$163,其他调用!$C89)</f>
        <v>86</v>
      </c>
      <c r="T90" s="19">
        <f>求节点(其他调用!D$4:D$163,其他调用!$B$4:$B$163,其他调用!$C89)</f>
        <v>82.586201442302183</v>
      </c>
      <c r="U90" s="19">
        <f>求节点(其他调用!E$4:E$163,其他调用!$B$4:$B$163,其他调用!$C89)</f>
        <v>80.308822912262741</v>
      </c>
      <c r="V90" s="19">
        <f>求节点(其他调用!F$4:F$163,其他调用!$B$4:$B$163,其他调用!$C89)</f>
        <v>76.206423976903778</v>
      </c>
      <c r="W90" s="19">
        <f>求节点(其他调用!G$4:G$163,其他调用!$B$4:$B$163,其他调用!$C89)</f>
        <v>74.833773552490854</v>
      </c>
      <c r="X90" s="19">
        <f t="shared" si="44"/>
        <v>3180</v>
      </c>
      <c r="Y90" s="19">
        <f t="shared" si="45"/>
        <v>3180</v>
      </c>
      <c r="Z90" s="19">
        <f t="shared" si="46"/>
        <v>3180</v>
      </c>
      <c r="AA90" s="19">
        <f t="shared" si="47"/>
        <v>3180</v>
      </c>
      <c r="AB90" s="19">
        <f t="shared" si="48"/>
        <v>3180</v>
      </c>
      <c r="AC90" s="19">
        <f t="shared" si="49"/>
        <v>35460</v>
      </c>
      <c r="AD90" s="19">
        <f t="shared" si="50"/>
        <v>35460</v>
      </c>
      <c r="AE90" s="19">
        <f t="shared" si="51"/>
        <v>35460</v>
      </c>
      <c r="AF90" s="19">
        <f t="shared" si="52"/>
        <v>35460</v>
      </c>
      <c r="AG90" s="19">
        <f t="shared" si="53"/>
        <v>35460</v>
      </c>
      <c r="AH90" s="19">
        <f t="shared" si="54"/>
        <v>765000</v>
      </c>
      <c r="AI90" s="19">
        <f t="shared" si="55"/>
        <v>765000</v>
      </c>
      <c r="AJ90" s="19">
        <f t="shared" si="56"/>
        <v>765000</v>
      </c>
      <c r="AK90" s="19">
        <f t="shared" si="57"/>
        <v>765000</v>
      </c>
      <c r="AL90" s="19">
        <f t="shared" si="58"/>
        <v>765000</v>
      </c>
      <c r="AM90" s="19">
        <f t="shared" si="59"/>
        <v>147000</v>
      </c>
      <c r="AN90" s="19">
        <f t="shared" si="60"/>
        <v>147000</v>
      </c>
      <c r="AO90" s="19">
        <f t="shared" si="61"/>
        <v>147000</v>
      </c>
      <c r="AP90" s="19">
        <f t="shared" si="62"/>
        <v>147000</v>
      </c>
      <c r="AQ90" s="19">
        <f t="shared" si="63"/>
        <v>147000</v>
      </c>
    </row>
    <row r="91" spans="12:43" x14ac:dyDescent="0.15">
      <c r="L91" s="19">
        <v>87</v>
      </c>
      <c r="M91" s="19">
        <f t="shared" si="40"/>
        <v>3180</v>
      </c>
      <c r="N91" s="19">
        <f t="shared" si="41"/>
        <v>35460</v>
      </c>
      <c r="O91" s="19">
        <f t="shared" si="42"/>
        <v>765000</v>
      </c>
      <c r="P91" s="19">
        <f t="shared" si="43"/>
        <v>147000</v>
      </c>
      <c r="R91" s="19">
        <v>87</v>
      </c>
      <c r="S91" s="19">
        <f>求节点(其他调用!C$4:C$163,其他调用!$B$4:$B$163,其他调用!$C90)</f>
        <v>87</v>
      </c>
      <c r="T91" s="19">
        <f>求节点(其他调用!D$4:D$163,其他调用!$B$4:$B$163,其他调用!$C90)</f>
        <v>83.62936923344175</v>
      </c>
      <c r="U91" s="19">
        <f>求节点(其他调用!E$4:E$163,其他调用!$B$4:$B$163,其他调用!$C90)</f>
        <v>81.343219854278885</v>
      </c>
      <c r="V91" s="19">
        <f>求节点(其他调用!F$4:F$163,其他调用!$B$4:$B$163,其他调用!$C90)</f>
        <v>77.074958005884056</v>
      </c>
      <c r="W91" s="19">
        <f>求节点(其他调用!G$4:G$163,其他调用!$B$4:$B$163,其他调用!$C90)</f>
        <v>75.587238423516851</v>
      </c>
      <c r="X91" s="19">
        <f t="shared" si="44"/>
        <v>3180</v>
      </c>
      <c r="Y91" s="19">
        <f t="shared" si="45"/>
        <v>3180</v>
      </c>
      <c r="Z91" s="19">
        <f t="shared" si="46"/>
        <v>3180</v>
      </c>
      <c r="AA91" s="19">
        <f t="shared" si="47"/>
        <v>3180</v>
      </c>
      <c r="AB91" s="19">
        <f t="shared" si="48"/>
        <v>3180</v>
      </c>
      <c r="AC91" s="19">
        <f t="shared" si="49"/>
        <v>35460</v>
      </c>
      <c r="AD91" s="19">
        <f t="shared" si="50"/>
        <v>35460</v>
      </c>
      <c r="AE91" s="19">
        <f t="shared" si="51"/>
        <v>35460</v>
      </c>
      <c r="AF91" s="19">
        <f t="shared" si="52"/>
        <v>35460</v>
      </c>
      <c r="AG91" s="19">
        <f t="shared" si="53"/>
        <v>35460</v>
      </c>
      <c r="AH91" s="19">
        <f t="shared" si="54"/>
        <v>765000</v>
      </c>
      <c r="AI91" s="19">
        <f t="shared" si="55"/>
        <v>765000</v>
      </c>
      <c r="AJ91" s="19">
        <f t="shared" si="56"/>
        <v>765000</v>
      </c>
      <c r="AK91" s="19">
        <f t="shared" si="57"/>
        <v>765000</v>
      </c>
      <c r="AL91" s="19">
        <f t="shared" si="58"/>
        <v>765000</v>
      </c>
      <c r="AM91" s="19">
        <f t="shared" si="59"/>
        <v>147000</v>
      </c>
      <c r="AN91" s="19">
        <f t="shared" si="60"/>
        <v>147000</v>
      </c>
      <c r="AO91" s="19">
        <f t="shared" si="61"/>
        <v>147000</v>
      </c>
      <c r="AP91" s="19">
        <f t="shared" si="62"/>
        <v>147000</v>
      </c>
      <c r="AQ91" s="19">
        <f t="shared" si="63"/>
        <v>147000</v>
      </c>
    </row>
    <row r="92" spans="12:43" x14ac:dyDescent="0.15">
      <c r="L92" s="19">
        <v>88</v>
      </c>
      <c r="M92" s="19">
        <f t="shared" si="40"/>
        <v>3180</v>
      </c>
      <c r="N92" s="19">
        <f t="shared" si="41"/>
        <v>35460</v>
      </c>
      <c r="O92" s="19">
        <f t="shared" si="42"/>
        <v>765000</v>
      </c>
      <c r="P92" s="19">
        <f t="shared" si="43"/>
        <v>147000</v>
      </c>
      <c r="R92" s="19">
        <v>88</v>
      </c>
      <c r="S92" s="19">
        <f>求节点(其他调用!C$4:C$163,其他调用!$B$4:$B$163,其他调用!$C91)</f>
        <v>88</v>
      </c>
      <c r="T92" s="19">
        <f>求节点(其他调用!D$4:D$163,其他调用!$B$4:$B$163,其他调用!$C91)</f>
        <v>84.470062392415244</v>
      </c>
      <c r="U92" s="19">
        <f>求节点(其他调用!E$4:E$163,其他调用!$B$4:$B$163,其他调用!$C91)</f>
        <v>82.17811120737511</v>
      </c>
      <c r="V92" s="19">
        <f>求节点(其他调用!F$4:F$163,其他调用!$B$4:$B$163,其他调用!$C91)</f>
        <v>77.763913202945147</v>
      </c>
      <c r="W92" s="19">
        <f>求节点(其他调用!G$4:G$163,其他调用!$B$4:$B$163,其他调用!$C91)</f>
        <v>76.20476294477703</v>
      </c>
      <c r="X92" s="19">
        <f t="shared" si="44"/>
        <v>3180</v>
      </c>
      <c r="Y92" s="19">
        <f t="shared" si="45"/>
        <v>3180</v>
      </c>
      <c r="Z92" s="19">
        <f t="shared" si="46"/>
        <v>3180</v>
      </c>
      <c r="AA92" s="19">
        <f t="shared" si="47"/>
        <v>3180</v>
      </c>
      <c r="AB92" s="19">
        <f t="shared" si="48"/>
        <v>3180</v>
      </c>
      <c r="AC92" s="19">
        <f t="shared" si="49"/>
        <v>35460</v>
      </c>
      <c r="AD92" s="19">
        <f t="shared" si="50"/>
        <v>35460</v>
      </c>
      <c r="AE92" s="19">
        <f t="shared" si="51"/>
        <v>35460</v>
      </c>
      <c r="AF92" s="19">
        <f t="shared" si="52"/>
        <v>35460</v>
      </c>
      <c r="AG92" s="19">
        <f t="shared" si="53"/>
        <v>35460</v>
      </c>
      <c r="AH92" s="19">
        <f t="shared" si="54"/>
        <v>765000</v>
      </c>
      <c r="AI92" s="19">
        <f t="shared" si="55"/>
        <v>765000</v>
      </c>
      <c r="AJ92" s="19">
        <f t="shared" si="56"/>
        <v>765000</v>
      </c>
      <c r="AK92" s="19">
        <f t="shared" si="57"/>
        <v>765000</v>
      </c>
      <c r="AL92" s="19">
        <f t="shared" si="58"/>
        <v>765000</v>
      </c>
      <c r="AM92" s="19">
        <f t="shared" si="59"/>
        <v>147000</v>
      </c>
      <c r="AN92" s="19">
        <f t="shared" si="60"/>
        <v>147000</v>
      </c>
      <c r="AO92" s="19">
        <f t="shared" si="61"/>
        <v>147000</v>
      </c>
      <c r="AP92" s="19">
        <f t="shared" si="62"/>
        <v>147000</v>
      </c>
      <c r="AQ92" s="19">
        <f t="shared" si="63"/>
        <v>147000</v>
      </c>
    </row>
    <row r="93" spans="12:43" x14ac:dyDescent="0.15">
      <c r="L93" s="19">
        <v>89</v>
      </c>
      <c r="M93" s="19">
        <f t="shared" si="40"/>
        <v>3180</v>
      </c>
      <c r="N93" s="19">
        <f t="shared" si="41"/>
        <v>35460</v>
      </c>
      <c r="O93" s="19">
        <f t="shared" si="42"/>
        <v>765000</v>
      </c>
      <c r="P93" s="19">
        <f t="shared" si="43"/>
        <v>147000</v>
      </c>
      <c r="R93" s="19">
        <v>89</v>
      </c>
      <c r="S93" s="19">
        <f>求节点(其他调用!C$4:C$163,其他调用!$B$4:$B$163,其他调用!$C92)</f>
        <v>89</v>
      </c>
      <c r="T93" s="19">
        <f>求节点(其他调用!D$4:D$163,其他调用!$B$4:$B$163,其他调用!$C92)</f>
        <v>85.260328102781799</v>
      </c>
      <c r="U93" s="19">
        <f>求节点(其他调用!E$4:E$163,其他调用!$B$4:$B$163,其他调用!$C92)</f>
        <v>82.953133421858794</v>
      </c>
      <c r="V93" s="19">
        <f>求节点(其他调用!F$4:F$163,其他调用!$B$4:$B$163,其他调用!$C92)</f>
        <v>78.439012093143091</v>
      </c>
      <c r="W93" s="19">
        <f>求节点(其他调用!G$4:G$163,其他调用!$B$4:$B$163,其他调用!$C92)</f>
        <v>76.80114308992124</v>
      </c>
      <c r="X93" s="19">
        <f t="shared" si="44"/>
        <v>3180</v>
      </c>
      <c r="Y93" s="19">
        <f t="shared" si="45"/>
        <v>3180</v>
      </c>
      <c r="Z93" s="19">
        <f t="shared" si="46"/>
        <v>3180</v>
      </c>
      <c r="AA93" s="19">
        <f t="shared" si="47"/>
        <v>3180</v>
      </c>
      <c r="AB93" s="19">
        <f t="shared" si="48"/>
        <v>3180</v>
      </c>
      <c r="AC93" s="19">
        <f t="shared" si="49"/>
        <v>35460</v>
      </c>
      <c r="AD93" s="19">
        <f t="shared" si="50"/>
        <v>35460</v>
      </c>
      <c r="AE93" s="19">
        <f t="shared" si="51"/>
        <v>35460</v>
      </c>
      <c r="AF93" s="19">
        <f t="shared" si="52"/>
        <v>35460</v>
      </c>
      <c r="AG93" s="19">
        <f t="shared" si="53"/>
        <v>35460</v>
      </c>
      <c r="AH93" s="19">
        <f t="shared" si="54"/>
        <v>765000</v>
      </c>
      <c r="AI93" s="19">
        <f t="shared" si="55"/>
        <v>765000</v>
      </c>
      <c r="AJ93" s="19">
        <f t="shared" si="56"/>
        <v>765000</v>
      </c>
      <c r="AK93" s="19">
        <f t="shared" si="57"/>
        <v>765000</v>
      </c>
      <c r="AL93" s="19">
        <f t="shared" si="58"/>
        <v>765000</v>
      </c>
      <c r="AM93" s="19">
        <f t="shared" si="59"/>
        <v>147000</v>
      </c>
      <c r="AN93" s="19">
        <f t="shared" si="60"/>
        <v>147000</v>
      </c>
      <c r="AO93" s="19">
        <f t="shared" si="61"/>
        <v>147000</v>
      </c>
      <c r="AP93" s="19">
        <f t="shared" si="62"/>
        <v>147000</v>
      </c>
      <c r="AQ93" s="19">
        <f t="shared" si="63"/>
        <v>147000</v>
      </c>
    </row>
    <row r="94" spans="12:43" x14ac:dyDescent="0.15">
      <c r="L94" s="19">
        <v>90</v>
      </c>
      <c r="M94" s="19">
        <f t="shared" si="40"/>
        <v>3180</v>
      </c>
      <c r="N94" s="19">
        <f t="shared" si="41"/>
        <v>35460</v>
      </c>
      <c r="O94" s="19">
        <f t="shared" si="42"/>
        <v>765000</v>
      </c>
      <c r="P94" s="19">
        <f t="shared" si="43"/>
        <v>147000</v>
      </c>
      <c r="R94" s="19">
        <v>90</v>
      </c>
      <c r="S94" s="19">
        <f>求节点(其他调用!C$4:C$163,其他调用!$B$4:$B$163,其他调用!$C93)</f>
        <v>90</v>
      </c>
      <c r="T94" s="19">
        <f>求节点(其他调用!D$4:D$163,其他调用!$B$4:$B$163,其他调用!$C93)</f>
        <v>86.038352960430615</v>
      </c>
      <c r="U94" s="19">
        <f>求节点(其他调用!E$4:E$163,其他调用!$B$4:$B$163,其他调用!$C93)</f>
        <v>83.71979518782048</v>
      </c>
      <c r="V94" s="19">
        <f>求节点(其他调用!F$4:F$163,其他调用!$B$4:$B$163,其他调用!$C93)</f>
        <v>79.141696519273708</v>
      </c>
      <c r="W94" s="19">
        <f>求节点(其他调用!G$4:G$163,其他调用!$B$4:$B$163,其他调用!$C93)</f>
        <v>77.425251341180228</v>
      </c>
      <c r="X94" s="19">
        <f t="shared" si="44"/>
        <v>3180</v>
      </c>
      <c r="Y94" s="19">
        <f t="shared" si="45"/>
        <v>3180</v>
      </c>
      <c r="Z94" s="19">
        <f t="shared" si="46"/>
        <v>3180</v>
      </c>
      <c r="AA94" s="19">
        <f t="shared" si="47"/>
        <v>3180</v>
      </c>
      <c r="AB94" s="19">
        <f t="shared" si="48"/>
        <v>3180</v>
      </c>
      <c r="AC94" s="19">
        <f t="shared" si="49"/>
        <v>35460</v>
      </c>
      <c r="AD94" s="19">
        <f t="shared" si="50"/>
        <v>35460</v>
      </c>
      <c r="AE94" s="19">
        <f t="shared" si="51"/>
        <v>35460</v>
      </c>
      <c r="AF94" s="19">
        <f t="shared" si="52"/>
        <v>35460</v>
      </c>
      <c r="AG94" s="19">
        <f t="shared" si="53"/>
        <v>35460</v>
      </c>
      <c r="AH94" s="19">
        <f t="shared" si="54"/>
        <v>765000</v>
      </c>
      <c r="AI94" s="19">
        <f t="shared" si="55"/>
        <v>765000</v>
      </c>
      <c r="AJ94" s="19">
        <f t="shared" si="56"/>
        <v>765000</v>
      </c>
      <c r="AK94" s="19">
        <f t="shared" si="57"/>
        <v>765000</v>
      </c>
      <c r="AL94" s="19">
        <f t="shared" si="58"/>
        <v>765000</v>
      </c>
      <c r="AM94" s="19">
        <f t="shared" si="59"/>
        <v>147000</v>
      </c>
      <c r="AN94" s="19">
        <f t="shared" si="60"/>
        <v>147000</v>
      </c>
      <c r="AO94" s="19">
        <f t="shared" si="61"/>
        <v>147000</v>
      </c>
      <c r="AP94" s="19">
        <f t="shared" si="62"/>
        <v>147000</v>
      </c>
      <c r="AQ94" s="19">
        <f t="shared" si="63"/>
        <v>147000</v>
      </c>
    </row>
    <row r="95" spans="12:43" x14ac:dyDescent="0.15">
      <c r="L95" s="19">
        <v>91</v>
      </c>
      <c r="M95" s="19">
        <f t="shared" si="40"/>
        <v>3180</v>
      </c>
      <c r="N95" s="19">
        <f t="shared" si="41"/>
        <v>35460</v>
      </c>
      <c r="O95" s="19">
        <f t="shared" si="42"/>
        <v>765000</v>
      </c>
      <c r="P95" s="19">
        <f t="shared" si="43"/>
        <v>147000</v>
      </c>
      <c r="R95" s="19">
        <v>91</v>
      </c>
      <c r="S95" s="19">
        <f>求节点(其他调用!C$4:C$163,其他调用!$B$4:$B$163,其他调用!$C94)</f>
        <v>91</v>
      </c>
      <c r="T95" s="19">
        <f>求节点(其他调用!D$4:D$163,其他调用!$B$4:$B$163,其他调用!$C94)</f>
        <v>86.923932983598618</v>
      </c>
      <c r="U95" s="19">
        <f>求节点(其他调用!E$4:E$163,其他调用!$B$4:$B$163,其他调用!$C94)</f>
        <v>84.549025004474487</v>
      </c>
      <c r="V95" s="19">
        <f>求节点(其他调用!F$4:F$163,其他调用!$B$4:$B$163,其他调用!$C94)</f>
        <v>79.919189206897627</v>
      </c>
      <c r="W95" s="19">
        <f>求节点(其他调用!G$4:G$163,其他调用!$B$4:$B$163,其他调用!$C94)</f>
        <v>78.129696471106286</v>
      </c>
      <c r="X95" s="19">
        <f t="shared" si="44"/>
        <v>3180</v>
      </c>
      <c r="Y95" s="19">
        <f t="shared" si="45"/>
        <v>3180</v>
      </c>
      <c r="Z95" s="19">
        <f t="shared" si="46"/>
        <v>3180</v>
      </c>
      <c r="AA95" s="19">
        <f t="shared" si="47"/>
        <v>3180</v>
      </c>
      <c r="AB95" s="19">
        <f t="shared" si="48"/>
        <v>3180</v>
      </c>
      <c r="AC95" s="19">
        <f t="shared" si="49"/>
        <v>35460</v>
      </c>
      <c r="AD95" s="19">
        <f t="shared" si="50"/>
        <v>35460</v>
      </c>
      <c r="AE95" s="19">
        <f t="shared" si="51"/>
        <v>35460</v>
      </c>
      <c r="AF95" s="19">
        <f t="shared" si="52"/>
        <v>35460</v>
      </c>
      <c r="AG95" s="19">
        <f t="shared" si="53"/>
        <v>35460</v>
      </c>
      <c r="AH95" s="19">
        <f t="shared" si="54"/>
        <v>765000</v>
      </c>
      <c r="AI95" s="19">
        <f t="shared" si="55"/>
        <v>765000</v>
      </c>
      <c r="AJ95" s="19">
        <f t="shared" si="56"/>
        <v>765000</v>
      </c>
      <c r="AK95" s="19">
        <f t="shared" si="57"/>
        <v>765000</v>
      </c>
      <c r="AL95" s="19">
        <f t="shared" si="58"/>
        <v>765000</v>
      </c>
      <c r="AM95" s="19">
        <f t="shared" si="59"/>
        <v>147000</v>
      </c>
      <c r="AN95" s="19">
        <f t="shared" si="60"/>
        <v>147000</v>
      </c>
      <c r="AO95" s="19">
        <f t="shared" si="61"/>
        <v>147000</v>
      </c>
      <c r="AP95" s="19">
        <f t="shared" si="62"/>
        <v>147000</v>
      </c>
      <c r="AQ95" s="19">
        <f t="shared" si="63"/>
        <v>147000</v>
      </c>
    </row>
    <row r="96" spans="12:43" x14ac:dyDescent="0.15">
      <c r="L96" s="19">
        <v>92</v>
      </c>
      <c r="M96" s="19">
        <f t="shared" si="40"/>
        <v>3180</v>
      </c>
      <c r="N96" s="19">
        <f t="shared" si="41"/>
        <v>35460</v>
      </c>
      <c r="O96" s="19">
        <f t="shared" si="42"/>
        <v>765000</v>
      </c>
      <c r="P96" s="19">
        <f t="shared" si="43"/>
        <v>147000</v>
      </c>
      <c r="R96" s="19">
        <v>92</v>
      </c>
      <c r="S96" s="19">
        <f>求节点(其他调用!C$4:C$163,其他调用!$B$4:$B$163,其他调用!$C95)</f>
        <v>92</v>
      </c>
      <c r="T96" s="19">
        <f>求节点(其他调用!D$4:D$163,其他调用!$B$4:$B$163,其他调用!$C95)</f>
        <v>87.949847012563211</v>
      </c>
      <c r="U96" s="19">
        <f>求节点(其他调用!E$4:E$163,其他调用!$B$4:$B$163,其他调用!$C95)</f>
        <v>85.444906975781478</v>
      </c>
      <c r="V96" s="19">
        <f>求节点(其他调用!F$4:F$163,其他调用!$B$4:$B$163,其他调用!$C95)</f>
        <v>80.599010551446526</v>
      </c>
      <c r="W96" s="19">
        <f>求节点(其他调用!G$4:G$163,其他调用!$B$4:$B$163,其他调用!$C95)</f>
        <v>78.889751572376028</v>
      </c>
      <c r="X96" s="19">
        <f t="shared" si="44"/>
        <v>3180</v>
      </c>
      <c r="Y96" s="19">
        <f t="shared" si="45"/>
        <v>3180</v>
      </c>
      <c r="Z96" s="19">
        <f t="shared" si="46"/>
        <v>3180</v>
      </c>
      <c r="AA96" s="19">
        <f t="shared" si="47"/>
        <v>3180</v>
      </c>
      <c r="AB96" s="19">
        <f t="shared" si="48"/>
        <v>3180</v>
      </c>
      <c r="AC96" s="19">
        <f t="shared" si="49"/>
        <v>35460</v>
      </c>
      <c r="AD96" s="19">
        <f t="shared" si="50"/>
        <v>35460</v>
      </c>
      <c r="AE96" s="19">
        <f t="shared" si="51"/>
        <v>35460</v>
      </c>
      <c r="AF96" s="19">
        <f t="shared" si="52"/>
        <v>35460</v>
      </c>
      <c r="AG96" s="19">
        <f t="shared" si="53"/>
        <v>35460</v>
      </c>
      <c r="AH96" s="19">
        <f t="shared" si="54"/>
        <v>765000</v>
      </c>
      <c r="AI96" s="19">
        <f t="shared" si="55"/>
        <v>765000</v>
      </c>
      <c r="AJ96" s="19">
        <f t="shared" si="56"/>
        <v>765000</v>
      </c>
      <c r="AK96" s="19">
        <f t="shared" si="57"/>
        <v>765000</v>
      </c>
      <c r="AL96" s="19">
        <f t="shared" si="58"/>
        <v>765000</v>
      </c>
      <c r="AM96" s="19">
        <f t="shared" si="59"/>
        <v>147000</v>
      </c>
      <c r="AN96" s="19">
        <f t="shared" si="60"/>
        <v>147000</v>
      </c>
      <c r="AO96" s="19">
        <f t="shared" si="61"/>
        <v>147000</v>
      </c>
      <c r="AP96" s="19">
        <f t="shared" si="62"/>
        <v>147000</v>
      </c>
      <c r="AQ96" s="19">
        <f t="shared" si="63"/>
        <v>147000</v>
      </c>
    </row>
    <row r="97" spans="12:43" x14ac:dyDescent="0.15">
      <c r="L97" s="19">
        <v>93</v>
      </c>
      <c r="M97" s="19">
        <f t="shared" si="40"/>
        <v>3180</v>
      </c>
      <c r="N97" s="19">
        <f t="shared" si="41"/>
        <v>35460</v>
      </c>
      <c r="O97" s="19">
        <f t="shared" si="42"/>
        <v>765000</v>
      </c>
      <c r="P97" s="19">
        <f t="shared" si="43"/>
        <v>147000</v>
      </c>
      <c r="R97" s="19">
        <v>93</v>
      </c>
      <c r="S97" s="19">
        <f>求节点(其他调用!C$4:C$163,其他调用!$B$4:$B$163,其他调用!$C96)</f>
        <v>93</v>
      </c>
      <c r="T97" s="19">
        <f>求节点(其他调用!D$4:D$163,其他调用!$B$4:$B$163,其他调用!$C96)</f>
        <v>88.927784790417363</v>
      </c>
      <c r="U97" s="19">
        <f>求节点(其他调用!E$4:E$163,其他调用!$B$4:$B$163,其他调用!$C96)</f>
        <v>86.275765726124874</v>
      </c>
      <c r="V97" s="19">
        <f>求节点(其他调用!F$4:F$163,其他调用!$B$4:$B$163,其他调用!$C96)</f>
        <v>81.245922578251111</v>
      </c>
      <c r="W97" s="19">
        <f>求节点(其他调用!G$4:G$163,其他调用!$B$4:$B$163,其他调用!$C96)</f>
        <v>79.590620276283289</v>
      </c>
      <c r="X97" s="19">
        <f t="shared" si="44"/>
        <v>3180</v>
      </c>
      <c r="Y97" s="19">
        <f t="shared" si="45"/>
        <v>3180</v>
      </c>
      <c r="Z97" s="19">
        <f t="shared" si="46"/>
        <v>3180</v>
      </c>
      <c r="AA97" s="19">
        <f t="shared" si="47"/>
        <v>3180</v>
      </c>
      <c r="AB97" s="19">
        <f t="shared" si="48"/>
        <v>3180</v>
      </c>
      <c r="AC97" s="19">
        <f t="shared" si="49"/>
        <v>35460</v>
      </c>
      <c r="AD97" s="19">
        <f t="shared" si="50"/>
        <v>35460</v>
      </c>
      <c r="AE97" s="19">
        <f t="shared" si="51"/>
        <v>35460</v>
      </c>
      <c r="AF97" s="19">
        <f t="shared" si="52"/>
        <v>35460</v>
      </c>
      <c r="AG97" s="19">
        <f t="shared" si="53"/>
        <v>35460</v>
      </c>
      <c r="AH97" s="19">
        <f t="shared" si="54"/>
        <v>765000</v>
      </c>
      <c r="AI97" s="19">
        <f t="shared" si="55"/>
        <v>765000</v>
      </c>
      <c r="AJ97" s="19">
        <f t="shared" si="56"/>
        <v>765000</v>
      </c>
      <c r="AK97" s="19">
        <f t="shared" si="57"/>
        <v>765000</v>
      </c>
      <c r="AL97" s="19">
        <f t="shared" si="58"/>
        <v>765000</v>
      </c>
      <c r="AM97" s="19">
        <f t="shared" si="59"/>
        <v>147000</v>
      </c>
      <c r="AN97" s="19">
        <f t="shared" si="60"/>
        <v>147000</v>
      </c>
      <c r="AO97" s="19">
        <f t="shared" si="61"/>
        <v>147000</v>
      </c>
      <c r="AP97" s="19">
        <f t="shared" si="62"/>
        <v>147000</v>
      </c>
      <c r="AQ97" s="19">
        <f t="shared" si="63"/>
        <v>147000</v>
      </c>
    </row>
    <row r="98" spans="12:43" x14ac:dyDescent="0.15">
      <c r="L98" s="19">
        <v>94</v>
      </c>
      <c r="M98" s="19">
        <f t="shared" si="40"/>
        <v>3180</v>
      </c>
      <c r="N98" s="19">
        <f t="shared" si="41"/>
        <v>35460</v>
      </c>
      <c r="O98" s="19">
        <f t="shared" si="42"/>
        <v>765000</v>
      </c>
      <c r="P98" s="19">
        <f t="shared" si="43"/>
        <v>147000</v>
      </c>
      <c r="R98" s="19">
        <v>94</v>
      </c>
      <c r="S98" s="19">
        <f>求节点(其他调用!C$4:C$163,其他调用!$B$4:$B$163,其他调用!$C97)</f>
        <v>94</v>
      </c>
      <c r="T98" s="19">
        <f>求节点(其他调用!D$4:D$163,其他调用!$B$4:$B$163,其他调用!$C97)</f>
        <v>89.895986658415694</v>
      </c>
      <c r="U98" s="19">
        <f>求节点(其他调用!E$4:E$163,其他调用!$B$4:$B$163,其他调用!$C97)</f>
        <v>87.067385077804047</v>
      </c>
      <c r="V98" s="19">
        <f>求节点(其他调用!F$4:F$163,其他调用!$B$4:$B$163,其他调用!$C97)</f>
        <v>81.889414460466156</v>
      </c>
      <c r="W98" s="19">
        <f>求节点(其他调用!G$4:G$163,其他调用!$B$4:$B$163,其他调用!$C97)</f>
        <v>80.248733920725002</v>
      </c>
      <c r="X98" s="19">
        <f t="shared" si="44"/>
        <v>3180</v>
      </c>
      <c r="Y98" s="19">
        <f t="shared" si="45"/>
        <v>3180</v>
      </c>
      <c r="Z98" s="19">
        <f t="shared" si="46"/>
        <v>3180</v>
      </c>
      <c r="AA98" s="19">
        <f t="shared" si="47"/>
        <v>3180</v>
      </c>
      <c r="AB98" s="19">
        <f t="shared" si="48"/>
        <v>3180</v>
      </c>
      <c r="AC98" s="19">
        <f t="shared" si="49"/>
        <v>35460</v>
      </c>
      <c r="AD98" s="19">
        <f t="shared" si="50"/>
        <v>35460</v>
      </c>
      <c r="AE98" s="19">
        <f t="shared" si="51"/>
        <v>35460</v>
      </c>
      <c r="AF98" s="19">
        <f t="shared" si="52"/>
        <v>35460</v>
      </c>
      <c r="AG98" s="19">
        <f t="shared" si="53"/>
        <v>35460</v>
      </c>
      <c r="AH98" s="19">
        <f t="shared" si="54"/>
        <v>765000</v>
      </c>
      <c r="AI98" s="19">
        <f t="shared" si="55"/>
        <v>765000</v>
      </c>
      <c r="AJ98" s="19">
        <f t="shared" si="56"/>
        <v>765000</v>
      </c>
      <c r="AK98" s="19">
        <f t="shared" si="57"/>
        <v>765000</v>
      </c>
      <c r="AL98" s="19">
        <f t="shared" si="58"/>
        <v>765000</v>
      </c>
      <c r="AM98" s="19">
        <f t="shared" si="59"/>
        <v>147000</v>
      </c>
      <c r="AN98" s="19">
        <f t="shared" si="60"/>
        <v>147000</v>
      </c>
      <c r="AO98" s="19">
        <f t="shared" si="61"/>
        <v>147000</v>
      </c>
      <c r="AP98" s="19">
        <f t="shared" si="62"/>
        <v>147000</v>
      </c>
      <c r="AQ98" s="19">
        <f t="shared" si="63"/>
        <v>147000</v>
      </c>
    </row>
    <row r="99" spans="12:43" x14ac:dyDescent="0.15">
      <c r="L99" s="19">
        <v>95</v>
      </c>
      <c r="M99" s="19">
        <f t="shared" si="40"/>
        <v>3180</v>
      </c>
      <c r="N99" s="19">
        <f t="shared" si="41"/>
        <v>35460</v>
      </c>
      <c r="O99" s="19">
        <f t="shared" si="42"/>
        <v>765000</v>
      </c>
      <c r="P99" s="19">
        <f t="shared" si="43"/>
        <v>147000</v>
      </c>
      <c r="R99" s="19">
        <v>95</v>
      </c>
      <c r="S99" s="19">
        <f>求节点(其他调用!C$4:C$163,其他调用!$B$4:$B$163,其他调用!$C98)</f>
        <v>95</v>
      </c>
      <c r="T99" s="19">
        <f>求节点(其他调用!D$4:D$163,其他调用!$B$4:$B$163,其他调用!$C98)</f>
        <v>90.74751572184924</v>
      </c>
      <c r="U99" s="19">
        <f>求节点(其他调用!E$4:E$163,其他调用!$B$4:$B$163,其他调用!$C98)</f>
        <v>87.860465812970062</v>
      </c>
      <c r="V99" s="19">
        <f>求节点(其他调用!F$4:F$163,其他调用!$B$4:$B$163,其他调用!$C98)</f>
        <v>82.582528445091057</v>
      </c>
      <c r="W99" s="19">
        <f>求节点(其他调用!G$4:G$163,其他调用!$B$4:$B$163,其他调用!$C98)</f>
        <v>80.875888467088288</v>
      </c>
      <c r="X99" s="19">
        <f t="shared" si="44"/>
        <v>3180</v>
      </c>
      <c r="Y99" s="19">
        <f t="shared" si="45"/>
        <v>3180</v>
      </c>
      <c r="Z99" s="19">
        <f t="shared" si="46"/>
        <v>3180</v>
      </c>
      <c r="AA99" s="19">
        <f t="shared" si="47"/>
        <v>3180</v>
      </c>
      <c r="AB99" s="19">
        <f t="shared" si="48"/>
        <v>3180</v>
      </c>
      <c r="AC99" s="19">
        <f t="shared" si="49"/>
        <v>35460</v>
      </c>
      <c r="AD99" s="19">
        <f t="shared" si="50"/>
        <v>35460</v>
      </c>
      <c r="AE99" s="19">
        <f t="shared" si="51"/>
        <v>35460</v>
      </c>
      <c r="AF99" s="19">
        <f t="shared" si="52"/>
        <v>35460</v>
      </c>
      <c r="AG99" s="19">
        <f t="shared" si="53"/>
        <v>35460</v>
      </c>
      <c r="AH99" s="19">
        <f t="shared" si="54"/>
        <v>765000</v>
      </c>
      <c r="AI99" s="19">
        <f t="shared" si="55"/>
        <v>765000</v>
      </c>
      <c r="AJ99" s="19">
        <f t="shared" si="56"/>
        <v>765000</v>
      </c>
      <c r="AK99" s="19">
        <f t="shared" si="57"/>
        <v>765000</v>
      </c>
      <c r="AL99" s="19">
        <f t="shared" si="58"/>
        <v>765000</v>
      </c>
      <c r="AM99" s="19">
        <f t="shared" si="59"/>
        <v>147000</v>
      </c>
      <c r="AN99" s="19">
        <f t="shared" si="60"/>
        <v>147000</v>
      </c>
      <c r="AO99" s="19">
        <f t="shared" si="61"/>
        <v>147000</v>
      </c>
      <c r="AP99" s="19">
        <f t="shared" si="62"/>
        <v>147000</v>
      </c>
      <c r="AQ99" s="19">
        <f t="shared" si="63"/>
        <v>147000</v>
      </c>
    </row>
    <row r="100" spans="12:43" x14ac:dyDescent="0.15">
      <c r="L100" s="19">
        <v>96</v>
      </c>
      <c r="M100" s="19">
        <f t="shared" si="40"/>
        <v>3180</v>
      </c>
      <c r="N100" s="19">
        <f t="shared" si="41"/>
        <v>35460</v>
      </c>
      <c r="O100" s="19">
        <f t="shared" si="42"/>
        <v>765000</v>
      </c>
      <c r="P100" s="19">
        <f t="shared" si="43"/>
        <v>147000</v>
      </c>
      <c r="R100" s="19">
        <v>96</v>
      </c>
      <c r="S100" s="19">
        <f>求节点(其他调用!C$4:C$163,其他调用!$B$4:$B$163,其他调用!$C99)</f>
        <v>96</v>
      </c>
      <c r="T100" s="19">
        <f>求节点(其他调用!D$4:D$163,其他调用!$B$4:$B$163,其他调用!$C99)</f>
        <v>91.672812846011965</v>
      </c>
      <c r="U100" s="19">
        <f>求节点(其他调用!E$4:E$163,其他调用!$B$4:$B$163,其他调用!$C99)</f>
        <v>88.70448692011675</v>
      </c>
      <c r="V100" s="19">
        <f>求节点(其他调用!F$4:F$163,其他调用!$B$4:$B$163,其他调用!$C99)</f>
        <v>83.342406179560157</v>
      </c>
      <c r="W100" s="19">
        <f>求节点(其他调用!G$4:G$163,其他调用!$B$4:$B$163,其他调用!$C99)</f>
        <v>81.54008445601815</v>
      </c>
      <c r="X100" s="19">
        <f t="shared" si="44"/>
        <v>3180</v>
      </c>
      <c r="Y100" s="19">
        <f t="shared" si="45"/>
        <v>3180</v>
      </c>
      <c r="Z100" s="19">
        <f t="shared" si="46"/>
        <v>3180</v>
      </c>
      <c r="AA100" s="19">
        <f t="shared" si="47"/>
        <v>3180</v>
      </c>
      <c r="AB100" s="19">
        <f t="shared" si="48"/>
        <v>3180</v>
      </c>
      <c r="AC100" s="19">
        <f t="shared" si="49"/>
        <v>35460</v>
      </c>
      <c r="AD100" s="19">
        <f t="shared" si="50"/>
        <v>35460</v>
      </c>
      <c r="AE100" s="19">
        <f t="shared" si="51"/>
        <v>35460</v>
      </c>
      <c r="AF100" s="19">
        <f t="shared" si="52"/>
        <v>35460</v>
      </c>
      <c r="AG100" s="19">
        <f t="shared" si="53"/>
        <v>35460</v>
      </c>
      <c r="AH100" s="19">
        <f t="shared" si="54"/>
        <v>765000</v>
      </c>
      <c r="AI100" s="19">
        <f t="shared" si="55"/>
        <v>765000</v>
      </c>
      <c r="AJ100" s="19">
        <f t="shared" si="56"/>
        <v>765000</v>
      </c>
      <c r="AK100" s="19">
        <f t="shared" si="57"/>
        <v>765000</v>
      </c>
      <c r="AL100" s="19">
        <f t="shared" si="58"/>
        <v>765000</v>
      </c>
      <c r="AM100" s="19">
        <f t="shared" si="59"/>
        <v>147000</v>
      </c>
      <c r="AN100" s="19">
        <f t="shared" si="60"/>
        <v>147000</v>
      </c>
      <c r="AO100" s="19">
        <f t="shared" si="61"/>
        <v>147000</v>
      </c>
      <c r="AP100" s="19">
        <f t="shared" si="62"/>
        <v>147000</v>
      </c>
      <c r="AQ100" s="19">
        <f t="shared" si="63"/>
        <v>147000</v>
      </c>
    </row>
    <row r="101" spans="12:43" x14ac:dyDescent="0.15">
      <c r="L101" s="19">
        <v>97</v>
      </c>
      <c r="M101" s="19">
        <f t="shared" ref="M101:M132" si="64">求节点($AY$5:$AY$46,BC$5:BC$46,$L101)+求节点($BK$5:$BK$10,$BN$5:$BN$10,$L101)+求节点($BT$21:$BT$23,$BU$21:$BU$23,$L101)*240+求节点($BT$21:$BT$23,$BV$21:$BV$23,$L101)+求节点($CC$5:$CC$7,$CF$5:$CF$7,$L101)*240</f>
        <v>3180</v>
      </c>
      <c r="N101" s="19">
        <f t="shared" ref="N101:N132" si="65">求节点($AY$5:$AY$46,BD$5:BD$46,$L101)+求节点($CC$5:$CC$7,$CG$5:$CG$7,$L101)</f>
        <v>35460</v>
      </c>
      <c r="O101" s="19">
        <f t="shared" ref="O101:O132" si="66">求节点($AY$5:$AY$46,BE$5:BE$46,$L101)+求节点($BT$21:$BT$23,$BW$21:$BW$23,$L101)</f>
        <v>765000</v>
      </c>
      <c r="P101" s="19">
        <f t="shared" ref="P101:P132" si="67">求节点($BK$5:$BK$10,$BO$5:$BO$10,$L101)+求节点($BT$21:$BT$23,$BX$21:$BX$23,$L101)</f>
        <v>147000</v>
      </c>
      <c r="R101" s="19">
        <v>97</v>
      </c>
      <c r="S101" s="19">
        <f>求节点(其他调用!C$4:C$163,其他调用!$B$4:$B$163,其他调用!$C100)</f>
        <v>97</v>
      </c>
      <c r="T101" s="19">
        <f>求节点(其他调用!D$4:D$163,其他调用!$B$4:$B$163,其他调用!$C100)</f>
        <v>92.778446829981704</v>
      </c>
      <c r="U101" s="19">
        <f>求节点(其他调用!E$4:E$163,其他调用!$B$4:$B$163,其他调用!$C100)</f>
        <v>89.64002171717911</v>
      </c>
      <c r="V101" s="19">
        <f>求节点(其他调用!F$4:F$163,其他调用!$B$4:$B$163,其他调用!$C100)</f>
        <v>84.26842541312628</v>
      </c>
      <c r="W101" s="19">
        <f>求节点(其他调用!G$4:G$163,其他调用!$B$4:$B$163,其他调用!$C100)</f>
        <v>82.393908950588866</v>
      </c>
      <c r="X101" s="19">
        <f t="shared" si="44"/>
        <v>3180</v>
      </c>
      <c r="Y101" s="19">
        <f t="shared" si="45"/>
        <v>3180</v>
      </c>
      <c r="Z101" s="19">
        <f t="shared" si="46"/>
        <v>3180</v>
      </c>
      <c r="AA101" s="19">
        <f t="shared" si="47"/>
        <v>3180</v>
      </c>
      <c r="AB101" s="19">
        <f t="shared" si="48"/>
        <v>3180</v>
      </c>
      <c r="AC101" s="19">
        <f t="shared" si="49"/>
        <v>35460</v>
      </c>
      <c r="AD101" s="19">
        <f t="shared" si="50"/>
        <v>35460</v>
      </c>
      <c r="AE101" s="19">
        <f t="shared" si="51"/>
        <v>35460</v>
      </c>
      <c r="AF101" s="19">
        <f t="shared" si="52"/>
        <v>35460</v>
      </c>
      <c r="AG101" s="19">
        <f t="shared" si="53"/>
        <v>35460</v>
      </c>
      <c r="AH101" s="19">
        <f t="shared" si="54"/>
        <v>765000</v>
      </c>
      <c r="AI101" s="19">
        <f t="shared" si="55"/>
        <v>765000</v>
      </c>
      <c r="AJ101" s="19">
        <f t="shared" si="56"/>
        <v>765000</v>
      </c>
      <c r="AK101" s="19">
        <f t="shared" si="57"/>
        <v>765000</v>
      </c>
      <c r="AL101" s="19">
        <f t="shared" si="58"/>
        <v>765000</v>
      </c>
      <c r="AM101" s="19">
        <f t="shared" si="59"/>
        <v>147000</v>
      </c>
      <c r="AN101" s="19">
        <f t="shared" si="60"/>
        <v>147000</v>
      </c>
      <c r="AO101" s="19">
        <f t="shared" si="61"/>
        <v>147000</v>
      </c>
      <c r="AP101" s="19">
        <f t="shared" si="62"/>
        <v>147000</v>
      </c>
      <c r="AQ101" s="19">
        <f t="shared" si="63"/>
        <v>147000</v>
      </c>
    </row>
    <row r="102" spans="12:43" x14ac:dyDescent="0.15">
      <c r="L102" s="19">
        <v>98</v>
      </c>
      <c r="M102" s="19">
        <f t="shared" si="64"/>
        <v>3180</v>
      </c>
      <c r="N102" s="19">
        <f t="shared" si="65"/>
        <v>35460</v>
      </c>
      <c r="O102" s="19">
        <f t="shared" si="66"/>
        <v>765000</v>
      </c>
      <c r="P102" s="19">
        <f t="shared" si="67"/>
        <v>147000</v>
      </c>
      <c r="R102" s="19">
        <v>98</v>
      </c>
      <c r="S102" s="19">
        <f>求节点(其他调用!C$4:C$163,其他调用!$B$4:$B$163,其他调用!$C101)</f>
        <v>98</v>
      </c>
      <c r="T102" s="19">
        <f>求节点(其他调用!D$4:D$163,其他调用!$B$4:$B$163,其他调用!$C101)</f>
        <v>93.780653926699415</v>
      </c>
      <c r="U102" s="19">
        <f>求节点(其他调用!E$4:E$163,其他调用!$B$4:$B$163,其他调用!$C101)</f>
        <v>90.524602733848297</v>
      </c>
      <c r="V102" s="19">
        <f>求节点(其他调用!F$4:F$163,其他调用!$B$4:$B$163,其他调用!$C101)</f>
        <v>85.231556461234675</v>
      </c>
      <c r="W102" s="19">
        <f>求节点(其他调用!G$4:G$163,其他调用!$B$4:$B$163,其他调用!$C101)</f>
        <v>83.303057373261709</v>
      </c>
      <c r="X102" s="19">
        <f t="shared" si="44"/>
        <v>3180</v>
      </c>
      <c r="Y102" s="19">
        <f t="shared" si="45"/>
        <v>3180</v>
      </c>
      <c r="Z102" s="19">
        <f t="shared" si="46"/>
        <v>3180</v>
      </c>
      <c r="AA102" s="19">
        <f t="shared" si="47"/>
        <v>3180</v>
      </c>
      <c r="AB102" s="19">
        <f t="shared" si="48"/>
        <v>3180</v>
      </c>
      <c r="AC102" s="19">
        <f t="shared" si="49"/>
        <v>35460</v>
      </c>
      <c r="AD102" s="19">
        <f t="shared" si="50"/>
        <v>35460</v>
      </c>
      <c r="AE102" s="19">
        <f t="shared" si="51"/>
        <v>35460</v>
      </c>
      <c r="AF102" s="19">
        <f t="shared" si="52"/>
        <v>35460</v>
      </c>
      <c r="AG102" s="19">
        <f t="shared" si="53"/>
        <v>35460</v>
      </c>
      <c r="AH102" s="19">
        <f t="shared" si="54"/>
        <v>765000</v>
      </c>
      <c r="AI102" s="19">
        <f t="shared" si="55"/>
        <v>765000</v>
      </c>
      <c r="AJ102" s="19">
        <f t="shared" si="56"/>
        <v>765000</v>
      </c>
      <c r="AK102" s="19">
        <f t="shared" si="57"/>
        <v>765000</v>
      </c>
      <c r="AL102" s="19">
        <f t="shared" si="58"/>
        <v>765000</v>
      </c>
      <c r="AM102" s="19">
        <f t="shared" si="59"/>
        <v>147000</v>
      </c>
      <c r="AN102" s="19">
        <f t="shared" si="60"/>
        <v>147000</v>
      </c>
      <c r="AO102" s="19">
        <f t="shared" si="61"/>
        <v>147000</v>
      </c>
      <c r="AP102" s="19">
        <f t="shared" si="62"/>
        <v>147000</v>
      </c>
      <c r="AQ102" s="19">
        <f t="shared" si="63"/>
        <v>147000</v>
      </c>
    </row>
    <row r="103" spans="12:43" x14ac:dyDescent="0.15">
      <c r="L103" s="19">
        <v>99</v>
      </c>
      <c r="M103" s="19">
        <f t="shared" si="64"/>
        <v>3180</v>
      </c>
      <c r="N103" s="19">
        <f t="shared" si="65"/>
        <v>35460</v>
      </c>
      <c r="O103" s="19">
        <f t="shared" si="66"/>
        <v>765000</v>
      </c>
      <c r="P103" s="19">
        <f t="shared" si="67"/>
        <v>147000</v>
      </c>
      <c r="R103" s="19">
        <v>99</v>
      </c>
      <c r="S103" s="19">
        <f>求节点(其他调用!C$4:C$163,其他调用!$B$4:$B$163,其他调用!$C102)</f>
        <v>99</v>
      </c>
      <c r="T103" s="19">
        <f>求节点(其他调用!D$4:D$163,其他调用!$B$4:$B$163,其他调用!$C102)</f>
        <v>94.679031394309504</v>
      </c>
      <c r="U103" s="19">
        <f>求节点(其他调用!E$4:E$163,其他调用!$B$4:$B$163,其他调用!$C102)</f>
        <v>91.372787090009808</v>
      </c>
      <c r="V103" s="19">
        <f>求节点(其他调用!F$4:F$163,其他调用!$B$4:$B$163,其他调用!$C102)</f>
        <v>86.153102206933823</v>
      </c>
      <c r="W103" s="19">
        <f>求节点(其他调用!G$4:G$163,其他调用!$B$4:$B$163,其他调用!$C102)</f>
        <v>84.175263525571935</v>
      </c>
      <c r="X103" s="19">
        <f t="shared" si="44"/>
        <v>3180</v>
      </c>
      <c r="Y103" s="19">
        <f t="shared" si="45"/>
        <v>3180</v>
      </c>
      <c r="Z103" s="19">
        <f t="shared" si="46"/>
        <v>3180</v>
      </c>
      <c r="AA103" s="19">
        <f t="shared" si="47"/>
        <v>3180</v>
      </c>
      <c r="AB103" s="19">
        <f t="shared" si="48"/>
        <v>3180</v>
      </c>
      <c r="AC103" s="19">
        <f t="shared" si="49"/>
        <v>35460</v>
      </c>
      <c r="AD103" s="19">
        <f t="shared" si="50"/>
        <v>35460</v>
      </c>
      <c r="AE103" s="19">
        <f t="shared" si="51"/>
        <v>35460</v>
      </c>
      <c r="AF103" s="19">
        <f t="shared" si="52"/>
        <v>35460</v>
      </c>
      <c r="AG103" s="19">
        <f t="shared" si="53"/>
        <v>35460</v>
      </c>
      <c r="AH103" s="19">
        <f t="shared" si="54"/>
        <v>765000</v>
      </c>
      <c r="AI103" s="19">
        <f t="shared" si="55"/>
        <v>765000</v>
      </c>
      <c r="AJ103" s="19">
        <f t="shared" si="56"/>
        <v>765000</v>
      </c>
      <c r="AK103" s="19">
        <f t="shared" si="57"/>
        <v>765000</v>
      </c>
      <c r="AL103" s="19">
        <f t="shared" si="58"/>
        <v>765000</v>
      </c>
      <c r="AM103" s="19">
        <f t="shared" si="59"/>
        <v>147000</v>
      </c>
      <c r="AN103" s="19">
        <f t="shared" si="60"/>
        <v>147000</v>
      </c>
      <c r="AO103" s="19">
        <f t="shared" si="61"/>
        <v>147000</v>
      </c>
      <c r="AP103" s="19">
        <f t="shared" si="62"/>
        <v>147000</v>
      </c>
      <c r="AQ103" s="19">
        <f t="shared" si="63"/>
        <v>147000</v>
      </c>
    </row>
    <row r="104" spans="12:43" x14ac:dyDescent="0.15">
      <c r="L104" s="19">
        <v>100</v>
      </c>
      <c r="M104" s="19">
        <f t="shared" si="64"/>
        <v>3180</v>
      </c>
      <c r="N104" s="19">
        <f t="shared" si="65"/>
        <v>35460</v>
      </c>
      <c r="O104" s="19">
        <f t="shared" si="66"/>
        <v>765000</v>
      </c>
      <c r="P104" s="19">
        <f t="shared" si="67"/>
        <v>147000</v>
      </c>
      <c r="R104" s="19">
        <v>100</v>
      </c>
      <c r="S104" s="19">
        <f>求节点(其他调用!C$4:C$163,其他调用!$B$4:$B$163,其他调用!$C103)</f>
        <v>100</v>
      </c>
      <c r="T104" s="19">
        <f>求节点(其他调用!D$4:D$163,其他调用!$B$4:$B$163,其他调用!$C103)</f>
        <v>95.48701190351899</v>
      </c>
      <c r="U104" s="19">
        <f>求节点(其他调用!E$4:E$163,其他调用!$B$4:$B$163,其他调用!$C103)</f>
        <v>92.219684252613575</v>
      </c>
      <c r="V104" s="19">
        <f>求节点(其他调用!F$4:F$163,其他调用!$B$4:$B$163,其他调用!$C103)</f>
        <v>87.091024268689523</v>
      </c>
      <c r="W104" s="19">
        <f>求节点(其他调用!G$4:G$163,其他调用!$B$4:$B$163,其他调用!$C103)</f>
        <v>85.071066682771459</v>
      </c>
      <c r="X104" s="19">
        <f t="shared" si="44"/>
        <v>3180</v>
      </c>
      <c r="Y104" s="19">
        <f t="shared" si="45"/>
        <v>3180</v>
      </c>
      <c r="Z104" s="19">
        <f t="shared" si="46"/>
        <v>3180</v>
      </c>
      <c r="AA104" s="19">
        <f t="shared" si="47"/>
        <v>3180</v>
      </c>
      <c r="AB104" s="19">
        <f t="shared" si="48"/>
        <v>3180</v>
      </c>
      <c r="AC104" s="19">
        <f t="shared" si="49"/>
        <v>35460</v>
      </c>
      <c r="AD104" s="19">
        <f t="shared" si="50"/>
        <v>35460</v>
      </c>
      <c r="AE104" s="19">
        <f t="shared" si="51"/>
        <v>35460</v>
      </c>
      <c r="AF104" s="19">
        <f t="shared" si="52"/>
        <v>35460</v>
      </c>
      <c r="AG104" s="19">
        <f t="shared" si="53"/>
        <v>35460</v>
      </c>
      <c r="AH104" s="19">
        <f t="shared" si="54"/>
        <v>765000</v>
      </c>
      <c r="AI104" s="19">
        <f t="shared" si="55"/>
        <v>765000</v>
      </c>
      <c r="AJ104" s="19">
        <f t="shared" si="56"/>
        <v>765000</v>
      </c>
      <c r="AK104" s="19">
        <f t="shared" si="57"/>
        <v>765000</v>
      </c>
      <c r="AL104" s="19">
        <f t="shared" si="58"/>
        <v>765000</v>
      </c>
      <c r="AM104" s="19">
        <f t="shared" si="59"/>
        <v>147000</v>
      </c>
      <c r="AN104" s="19">
        <f t="shared" si="60"/>
        <v>147000</v>
      </c>
      <c r="AO104" s="19">
        <f t="shared" si="61"/>
        <v>147000</v>
      </c>
      <c r="AP104" s="19">
        <f t="shared" si="62"/>
        <v>147000</v>
      </c>
      <c r="AQ104" s="19">
        <f t="shared" si="63"/>
        <v>147000</v>
      </c>
    </row>
    <row r="105" spans="12:43" x14ac:dyDescent="0.15">
      <c r="L105" s="19">
        <v>101</v>
      </c>
      <c r="M105" s="19">
        <f t="shared" si="64"/>
        <v>3180</v>
      </c>
      <c r="N105" s="19">
        <f t="shared" si="65"/>
        <v>35460</v>
      </c>
      <c r="O105" s="19">
        <f t="shared" si="66"/>
        <v>765000</v>
      </c>
      <c r="P105" s="19">
        <f t="shared" si="67"/>
        <v>147000</v>
      </c>
      <c r="R105" s="19">
        <v>101</v>
      </c>
      <c r="S105" s="19">
        <f>求节点(其他调用!C$4:C$163,其他调用!$B$4:$B$163,其他调用!$C104)</f>
        <v>101</v>
      </c>
      <c r="T105" s="19">
        <f>求节点(其他调用!D$4:D$163,其他调用!$B$4:$B$163,其他调用!$C104)</f>
        <v>96.449136123963513</v>
      </c>
      <c r="U105" s="19">
        <f>求节点(其他调用!E$4:E$163,其他调用!$B$4:$B$163,其他调用!$C104)</f>
        <v>93.171275233771965</v>
      </c>
      <c r="V105" s="19">
        <f>求节点(其他调用!F$4:F$163,其他调用!$B$4:$B$163,其他调用!$C104)</f>
        <v>88.175417227743324</v>
      </c>
      <c r="W105" s="19">
        <f>求节点(其他调用!G$4:G$163,其他调用!$B$4:$B$163,其他调用!$C104)</f>
        <v>86.243987441994719</v>
      </c>
      <c r="X105" s="19">
        <f t="shared" si="44"/>
        <v>3180</v>
      </c>
      <c r="Y105" s="19">
        <f t="shared" si="45"/>
        <v>3180</v>
      </c>
      <c r="Z105" s="19">
        <f t="shared" si="46"/>
        <v>3180</v>
      </c>
      <c r="AA105" s="19">
        <f t="shared" si="47"/>
        <v>3180</v>
      </c>
      <c r="AB105" s="19">
        <f t="shared" si="48"/>
        <v>3180</v>
      </c>
      <c r="AC105" s="19">
        <f t="shared" si="49"/>
        <v>35460</v>
      </c>
      <c r="AD105" s="19">
        <f t="shared" si="50"/>
        <v>35460</v>
      </c>
      <c r="AE105" s="19">
        <f t="shared" si="51"/>
        <v>35460</v>
      </c>
      <c r="AF105" s="19">
        <f t="shared" si="52"/>
        <v>35460</v>
      </c>
      <c r="AG105" s="19">
        <f t="shared" si="53"/>
        <v>35460</v>
      </c>
      <c r="AH105" s="19">
        <f t="shared" si="54"/>
        <v>765000</v>
      </c>
      <c r="AI105" s="19">
        <f t="shared" si="55"/>
        <v>765000</v>
      </c>
      <c r="AJ105" s="19">
        <f t="shared" si="56"/>
        <v>765000</v>
      </c>
      <c r="AK105" s="19">
        <f t="shared" si="57"/>
        <v>765000</v>
      </c>
      <c r="AL105" s="19">
        <f t="shared" si="58"/>
        <v>765000</v>
      </c>
      <c r="AM105" s="19">
        <f t="shared" si="59"/>
        <v>147000</v>
      </c>
      <c r="AN105" s="19">
        <f t="shared" si="60"/>
        <v>147000</v>
      </c>
      <c r="AO105" s="19">
        <f t="shared" si="61"/>
        <v>147000</v>
      </c>
      <c r="AP105" s="19">
        <f t="shared" si="62"/>
        <v>147000</v>
      </c>
      <c r="AQ105" s="19">
        <f t="shared" si="63"/>
        <v>147000</v>
      </c>
    </row>
    <row r="106" spans="12:43" x14ac:dyDescent="0.15">
      <c r="L106" s="19">
        <v>102</v>
      </c>
      <c r="M106" s="19">
        <f t="shared" si="64"/>
        <v>3180</v>
      </c>
      <c r="N106" s="19">
        <f t="shared" si="65"/>
        <v>35460</v>
      </c>
      <c r="O106" s="19">
        <f t="shared" si="66"/>
        <v>765000</v>
      </c>
      <c r="P106" s="19">
        <f t="shared" si="67"/>
        <v>147000</v>
      </c>
      <c r="R106" s="19">
        <v>102</v>
      </c>
      <c r="S106" s="19">
        <f>求节点(其他调用!C$4:C$163,其他调用!$B$4:$B$163,其他调用!$C105)</f>
        <v>102</v>
      </c>
      <c r="T106" s="19">
        <f>求节点(其他调用!D$4:D$163,其他调用!$B$4:$B$163,其他调用!$C105)</f>
        <v>97.465865579785472</v>
      </c>
      <c r="U106" s="19">
        <f>求节点(其他调用!E$4:E$163,其他调用!$B$4:$B$163,其他调用!$C105)</f>
        <v>94.009367528122809</v>
      </c>
      <c r="V106" s="19">
        <f>求节点(其他调用!F$4:F$163,其他调用!$B$4:$B$163,其他调用!$C105)</f>
        <v>89.141783644113488</v>
      </c>
      <c r="W106" s="19">
        <f>求节点(其他调用!G$4:G$163,其他调用!$B$4:$B$163,其他调用!$C105)</f>
        <v>87.273195101386762</v>
      </c>
      <c r="X106" s="19">
        <f t="shared" si="44"/>
        <v>3180</v>
      </c>
      <c r="Y106" s="19">
        <f t="shared" si="45"/>
        <v>3180</v>
      </c>
      <c r="Z106" s="19">
        <f t="shared" si="46"/>
        <v>3180</v>
      </c>
      <c r="AA106" s="19">
        <f t="shared" si="47"/>
        <v>3180</v>
      </c>
      <c r="AB106" s="19">
        <f t="shared" si="48"/>
        <v>3180</v>
      </c>
      <c r="AC106" s="19">
        <f t="shared" si="49"/>
        <v>35460</v>
      </c>
      <c r="AD106" s="19">
        <f t="shared" si="50"/>
        <v>35460</v>
      </c>
      <c r="AE106" s="19">
        <f t="shared" si="51"/>
        <v>35460</v>
      </c>
      <c r="AF106" s="19">
        <f t="shared" si="52"/>
        <v>35460</v>
      </c>
      <c r="AG106" s="19">
        <f t="shared" si="53"/>
        <v>35460</v>
      </c>
      <c r="AH106" s="19">
        <f t="shared" si="54"/>
        <v>765000</v>
      </c>
      <c r="AI106" s="19">
        <f t="shared" si="55"/>
        <v>765000</v>
      </c>
      <c r="AJ106" s="19">
        <f t="shared" si="56"/>
        <v>765000</v>
      </c>
      <c r="AK106" s="19">
        <f t="shared" si="57"/>
        <v>765000</v>
      </c>
      <c r="AL106" s="19">
        <f t="shared" si="58"/>
        <v>765000</v>
      </c>
      <c r="AM106" s="19">
        <f t="shared" si="59"/>
        <v>147000</v>
      </c>
      <c r="AN106" s="19">
        <f t="shared" si="60"/>
        <v>147000</v>
      </c>
      <c r="AO106" s="19">
        <f t="shared" si="61"/>
        <v>147000</v>
      </c>
      <c r="AP106" s="19">
        <f t="shared" si="62"/>
        <v>147000</v>
      </c>
      <c r="AQ106" s="19">
        <f t="shared" si="63"/>
        <v>147000</v>
      </c>
    </row>
    <row r="107" spans="12:43" x14ac:dyDescent="0.15">
      <c r="L107" s="19">
        <v>103</v>
      </c>
      <c r="M107" s="19">
        <f t="shared" si="64"/>
        <v>3180</v>
      </c>
      <c r="N107" s="19">
        <f t="shared" si="65"/>
        <v>35460</v>
      </c>
      <c r="O107" s="19">
        <f t="shared" si="66"/>
        <v>765000</v>
      </c>
      <c r="P107" s="19">
        <f t="shared" si="67"/>
        <v>147000</v>
      </c>
      <c r="R107" s="19">
        <v>103</v>
      </c>
      <c r="S107" s="19">
        <f>求节点(其他调用!C$4:C$163,其他调用!$B$4:$B$163,其他调用!$C106)</f>
        <v>103</v>
      </c>
      <c r="T107" s="19">
        <f>求节点(其他调用!D$4:D$163,其他调用!$B$4:$B$163,其他调用!$C106)</f>
        <v>98.674480821959577</v>
      </c>
      <c r="U107" s="19">
        <f>求节点(其他调用!E$4:E$163,其他调用!$B$4:$B$163,其他调用!$C106)</f>
        <v>94.907415027309796</v>
      </c>
      <c r="V107" s="19">
        <f>求节点(其他调用!F$4:F$163,其他调用!$B$4:$B$163,其他调用!$C106)</f>
        <v>90.189224604556969</v>
      </c>
      <c r="W107" s="19">
        <f>求节点(其他调用!G$4:G$163,其他调用!$B$4:$B$163,其他调用!$C106)</f>
        <v>88.347562347642864</v>
      </c>
      <c r="X107" s="19">
        <f t="shared" si="44"/>
        <v>3180</v>
      </c>
      <c r="Y107" s="19">
        <f t="shared" si="45"/>
        <v>3180</v>
      </c>
      <c r="Z107" s="19">
        <f t="shared" si="46"/>
        <v>3180</v>
      </c>
      <c r="AA107" s="19">
        <f t="shared" si="47"/>
        <v>3180</v>
      </c>
      <c r="AB107" s="19">
        <f t="shared" si="48"/>
        <v>3180</v>
      </c>
      <c r="AC107" s="19">
        <f t="shared" si="49"/>
        <v>35460</v>
      </c>
      <c r="AD107" s="19">
        <f t="shared" si="50"/>
        <v>35460</v>
      </c>
      <c r="AE107" s="19">
        <f t="shared" si="51"/>
        <v>35460</v>
      </c>
      <c r="AF107" s="19">
        <f t="shared" si="52"/>
        <v>35460</v>
      </c>
      <c r="AG107" s="19">
        <f t="shared" si="53"/>
        <v>35460</v>
      </c>
      <c r="AH107" s="19">
        <f t="shared" si="54"/>
        <v>765000</v>
      </c>
      <c r="AI107" s="19">
        <f t="shared" si="55"/>
        <v>765000</v>
      </c>
      <c r="AJ107" s="19">
        <f t="shared" si="56"/>
        <v>765000</v>
      </c>
      <c r="AK107" s="19">
        <f t="shared" si="57"/>
        <v>765000</v>
      </c>
      <c r="AL107" s="19">
        <f t="shared" si="58"/>
        <v>765000</v>
      </c>
      <c r="AM107" s="19">
        <f t="shared" si="59"/>
        <v>147000</v>
      </c>
      <c r="AN107" s="19">
        <f t="shared" si="60"/>
        <v>147000</v>
      </c>
      <c r="AO107" s="19">
        <f t="shared" si="61"/>
        <v>147000</v>
      </c>
      <c r="AP107" s="19">
        <f t="shared" si="62"/>
        <v>147000</v>
      </c>
      <c r="AQ107" s="19">
        <f t="shared" si="63"/>
        <v>147000</v>
      </c>
    </row>
    <row r="108" spans="12:43" x14ac:dyDescent="0.15">
      <c r="L108" s="19">
        <v>104</v>
      </c>
      <c r="M108" s="19">
        <f t="shared" si="64"/>
        <v>3180</v>
      </c>
      <c r="N108" s="19">
        <f t="shared" si="65"/>
        <v>35460</v>
      </c>
      <c r="O108" s="19">
        <f t="shared" si="66"/>
        <v>765000</v>
      </c>
      <c r="P108" s="19">
        <f t="shared" si="67"/>
        <v>147000</v>
      </c>
      <c r="R108" s="19">
        <v>104</v>
      </c>
      <c r="S108" s="19">
        <f>求节点(其他调用!C$4:C$163,其他调用!$B$4:$B$163,其他调用!$C107)</f>
        <v>104</v>
      </c>
      <c r="T108" s="19">
        <f>求节点(其他调用!D$4:D$163,其他调用!$B$4:$B$163,其他调用!$C107)</f>
        <v>99.9677822763378</v>
      </c>
      <c r="U108" s="19">
        <f>求节点(其他调用!E$4:E$163,其他调用!$B$4:$B$163,其他调用!$C107)</f>
        <v>95.846813367141763</v>
      </c>
      <c r="V108" s="19">
        <f>求节点(其他调用!F$4:F$163,其他调用!$B$4:$B$163,其他调用!$C107)</f>
        <v>91.455110869004386</v>
      </c>
      <c r="W108" s="19">
        <f>求节点(其他调用!G$4:G$163,其他调用!$B$4:$B$163,其他调用!$C107)</f>
        <v>89.433597705017277</v>
      </c>
      <c r="X108" s="19">
        <f t="shared" si="44"/>
        <v>3180</v>
      </c>
      <c r="Y108" s="19">
        <f t="shared" si="45"/>
        <v>3180</v>
      </c>
      <c r="Z108" s="19">
        <f t="shared" si="46"/>
        <v>3180</v>
      </c>
      <c r="AA108" s="19">
        <f t="shared" si="47"/>
        <v>3180</v>
      </c>
      <c r="AB108" s="19">
        <f t="shared" si="48"/>
        <v>3180</v>
      </c>
      <c r="AC108" s="19">
        <f t="shared" si="49"/>
        <v>35460</v>
      </c>
      <c r="AD108" s="19">
        <f t="shared" si="50"/>
        <v>35460</v>
      </c>
      <c r="AE108" s="19">
        <f t="shared" si="51"/>
        <v>35460</v>
      </c>
      <c r="AF108" s="19">
        <f t="shared" si="52"/>
        <v>35460</v>
      </c>
      <c r="AG108" s="19">
        <f t="shared" si="53"/>
        <v>35460</v>
      </c>
      <c r="AH108" s="19">
        <f t="shared" si="54"/>
        <v>765000</v>
      </c>
      <c r="AI108" s="19">
        <f t="shared" si="55"/>
        <v>765000</v>
      </c>
      <c r="AJ108" s="19">
        <f t="shared" si="56"/>
        <v>765000</v>
      </c>
      <c r="AK108" s="19">
        <f t="shared" si="57"/>
        <v>765000</v>
      </c>
      <c r="AL108" s="19">
        <f t="shared" si="58"/>
        <v>765000</v>
      </c>
      <c r="AM108" s="19">
        <f t="shared" si="59"/>
        <v>147000</v>
      </c>
      <c r="AN108" s="19">
        <f t="shared" si="60"/>
        <v>147000</v>
      </c>
      <c r="AO108" s="19">
        <f t="shared" si="61"/>
        <v>147000</v>
      </c>
      <c r="AP108" s="19">
        <f t="shared" si="62"/>
        <v>147000</v>
      </c>
      <c r="AQ108" s="19">
        <f t="shared" si="63"/>
        <v>147000</v>
      </c>
    </row>
    <row r="109" spans="12:43" x14ac:dyDescent="0.15">
      <c r="L109" s="19">
        <v>105</v>
      </c>
      <c r="M109" s="19">
        <f t="shared" si="64"/>
        <v>3180</v>
      </c>
      <c r="N109" s="19">
        <f t="shared" si="65"/>
        <v>35460</v>
      </c>
      <c r="O109" s="19">
        <f t="shared" si="66"/>
        <v>765000</v>
      </c>
      <c r="P109" s="19">
        <f t="shared" si="67"/>
        <v>147000</v>
      </c>
      <c r="R109" s="19">
        <v>105</v>
      </c>
      <c r="S109" s="19">
        <f>求节点(其他调用!C$4:C$163,其他调用!$B$4:$B$163,其他调用!$C108)</f>
        <v>105</v>
      </c>
      <c r="T109" s="19">
        <f>求节点(其他调用!D$4:D$163,其他调用!$B$4:$B$163,其他调用!$C108)</f>
        <v>100.91893418037404</v>
      </c>
      <c r="U109" s="19">
        <f>求节点(其他调用!E$4:E$163,其他调用!$B$4:$B$163,其他调用!$C108)</f>
        <v>96.738615095340649</v>
      </c>
      <c r="V109" s="19">
        <f>求节点(其他调用!F$4:F$163,其他调用!$B$4:$B$163,其他调用!$C108)</f>
        <v>92.54513723172272</v>
      </c>
      <c r="W109" s="19">
        <f>求节点(其他调用!G$4:G$163,其他调用!$B$4:$B$163,其他调用!$C108)</f>
        <v>90.54018874100781</v>
      </c>
      <c r="X109" s="19">
        <f t="shared" si="44"/>
        <v>3180</v>
      </c>
      <c r="Y109" s="19">
        <f t="shared" si="45"/>
        <v>3180</v>
      </c>
      <c r="Z109" s="19">
        <f t="shared" si="46"/>
        <v>3180</v>
      </c>
      <c r="AA109" s="19">
        <f t="shared" si="47"/>
        <v>3180</v>
      </c>
      <c r="AB109" s="19">
        <f t="shared" si="48"/>
        <v>3180</v>
      </c>
      <c r="AC109" s="19">
        <f t="shared" si="49"/>
        <v>35460</v>
      </c>
      <c r="AD109" s="19">
        <f t="shared" si="50"/>
        <v>35460</v>
      </c>
      <c r="AE109" s="19">
        <f t="shared" si="51"/>
        <v>35460</v>
      </c>
      <c r="AF109" s="19">
        <f t="shared" si="52"/>
        <v>35460</v>
      </c>
      <c r="AG109" s="19">
        <f t="shared" si="53"/>
        <v>35460</v>
      </c>
      <c r="AH109" s="19">
        <f t="shared" si="54"/>
        <v>765000</v>
      </c>
      <c r="AI109" s="19">
        <f t="shared" si="55"/>
        <v>765000</v>
      </c>
      <c r="AJ109" s="19">
        <f t="shared" si="56"/>
        <v>765000</v>
      </c>
      <c r="AK109" s="19">
        <f t="shared" si="57"/>
        <v>765000</v>
      </c>
      <c r="AL109" s="19">
        <f t="shared" si="58"/>
        <v>765000</v>
      </c>
      <c r="AM109" s="19">
        <f t="shared" si="59"/>
        <v>147000</v>
      </c>
      <c r="AN109" s="19">
        <f t="shared" si="60"/>
        <v>147000</v>
      </c>
      <c r="AO109" s="19">
        <f t="shared" si="61"/>
        <v>147000</v>
      </c>
      <c r="AP109" s="19">
        <f t="shared" si="62"/>
        <v>147000</v>
      </c>
      <c r="AQ109" s="19">
        <f t="shared" si="63"/>
        <v>147000</v>
      </c>
    </row>
    <row r="110" spans="12:43" x14ac:dyDescent="0.15">
      <c r="L110" s="19">
        <v>106</v>
      </c>
      <c r="M110" s="19">
        <f t="shared" si="64"/>
        <v>3180</v>
      </c>
      <c r="N110" s="19">
        <f t="shared" si="65"/>
        <v>35460</v>
      </c>
      <c r="O110" s="19">
        <f t="shared" si="66"/>
        <v>765000</v>
      </c>
      <c r="P110" s="19">
        <f t="shared" si="67"/>
        <v>147000</v>
      </c>
      <c r="R110" s="19">
        <v>106</v>
      </c>
      <c r="S110" s="19">
        <f>求节点(其他调用!C$4:C$163,其他调用!$B$4:$B$163,其他调用!$C109)</f>
        <v>106</v>
      </c>
      <c r="T110" s="19">
        <f>求节点(其他调用!D$4:D$163,其他调用!$B$4:$B$163,其他调用!$C109)</f>
        <v>101.88990170759035</v>
      </c>
      <c r="U110" s="19">
        <f>求节点(其他调用!E$4:E$163,其他调用!$B$4:$B$163,其他调用!$C109)</f>
        <v>97.675147504667521</v>
      </c>
      <c r="V110" s="19">
        <f>求节点(其他调用!F$4:F$163,其他调用!$B$4:$B$163,其他调用!$C109)</f>
        <v>93.625375386449747</v>
      </c>
      <c r="W110" s="19">
        <f>求节点(其他调用!G$4:G$163,其他调用!$B$4:$B$163,其他调用!$C109)</f>
        <v>91.834563620174251</v>
      </c>
      <c r="X110" s="19">
        <f t="shared" si="44"/>
        <v>3180</v>
      </c>
      <c r="Y110" s="19">
        <f t="shared" si="45"/>
        <v>3180</v>
      </c>
      <c r="Z110" s="19">
        <f t="shared" si="46"/>
        <v>3180</v>
      </c>
      <c r="AA110" s="19">
        <f t="shared" si="47"/>
        <v>3180</v>
      </c>
      <c r="AB110" s="19">
        <f t="shared" si="48"/>
        <v>3180</v>
      </c>
      <c r="AC110" s="19">
        <f t="shared" si="49"/>
        <v>35460</v>
      </c>
      <c r="AD110" s="19">
        <f t="shared" si="50"/>
        <v>35460</v>
      </c>
      <c r="AE110" s="19">
        <f t="shared" si="51"/>
        <v>35460</v>
      </c>
      <c r="AF110" s="19">
        <f t="shared" si="52"/>
        <v>35460</v>
      </c>
      <c r="AG110" s="19">
        <f t="shared" si="53"/>
        <v>35460</v>
      </c>
      <c r="AH110" s="19">
        <f t="shared" si="54"/>
        <v>765000</v>
      </c>
      <c r="AI110" s="19">
        <f t="shared" si="55"/>
        <v>765000</v>
      </c>
      <c r="AJ110" s="19">
        <f t="shared" si="56"/>
        <v>765000</v>
      </c>
      <c r="AK110" s="19">
        <f t="shared" si="57"/>
        <v>765000</v>
      </c>
      <c r="AL110" s="19">
        <f t="shared" si="58"/>
        <v>765000</v>
      </c>
      <c r="AM110" s="19">
        <f t="shared" si="59"/>
        <v>147000</v>
      </c>
      <c r="AN110" s="19">
        <f t="shared" si="60"/>
        <v>147000</v>
      </c>
      <c r="AO110" s="19">
        <f t="shared" si="61"/>
        <v>147000</v>
      </c>
      <c r="AP110" s="19">
        <f t="shared" si="62"/>
        <v>147000</v>
      </c>
      <c r="AQ110" s="19">
        <f t="shared" si="63"/>
        <v>147000</v>
      </c>
    </row>
    <row r="111" spans="12:43" x14ac:dyDescent="0.15">
      <c r="L111" s="19">
        <v>107</v>
      </c>
      <c r="M111" s="19">
        <f t="shared" si="64"/>
        <v>3180</v>
      </c>
      <c r="N111" s="19">
        <f t="shared" si="65"/>
        <v>35460</v>
      </c>
      <c r="O111" s="19">
        <f t="shared" si="66"/>
        <v>765000</v>
      </c>
      <c r="P111" s="19">
        <f t="shared" si="67"/>
        <v>147000</v>
      </c>
      <c r="R111" s="19">
        <v>107</v>
      </c>
      <c r="S111" s="19">
        <f>求节点(其他调用!C$4:C$163,其他调用!$B$4:$B$163,其他调用!$C110)</f>
        <v>107</v>
      </c>
      <c r="T111" s="19">
        <f>求节点(其他调用!D$4:D$163,其他调用!$B$4:$B$163,其他调用!$C110)</f>
        <v>102.87198001708803</v>
      </c>
      <c r="U111" s="19">
        <f>求节点(其他调用!E$4:E$163,其他调用!$B$4:$B$163,其他调用!$C110)</f>
        <v>98.630136611328226</v>
      </c>
      <c r="V111" s="19">
        <f>求节点(其他调用!F$4:F$163,其他调用!$B$4:$B$163,其他调用!$C110)</f>
        <v>94.839476632825665</v>
      </c>
      <c r="W111" s="19">
        <f>求节点(其他调用!G$4:G$163,其他调用!$B$4:$B$163,其他调用!$C110)</f>
        <v>93.146822573230139</v>
      </c>
      <c r="X111" s="19">
        <f t="shared" si="44"/>
        <v>3180</v>
      </c>
      <c r="Y111" s="19">
        <f t="shared" si="45"/>
        <v>3180</v>
      </c>
      <c r="Z111" s="19">
        <f t="shared" si="46"/>
        <v>3180</v>
      </c>
      <c r="AA111" s="19">
        <f t="shared" si="47"/>
        <v>3180</v>
      </c>
      <c r="AB111" s="19">
        <f t="shared" si="48"/>
        <v>3180</v>
      </c>
      <c r="AC111" s="19">
        <f t="shared" si="49"/>
        <v>35460</v>
      </c>
      <c r="AD111" s="19">
        <f t="shared" si="50"/>
        <v>35460</v>
      </c>
      <c r="AE111" s="19">
        <f t="shared" si="51"/>
        <v>35460</v>
      </c>
      <c r="AF111" s="19">
        <f t="shared" si="52"/>
        <v>35460</v>
      </c>
      <c r="AG111" s="19">
        <f t="shared" si="53"/>
        <v>35460</v>
      </c>
      <c r="AH111" s="19">
        <f t="shared" si="54"/>
        <v>765000</v>
      </c>
      <c r="AI111" s="19">
        <f t="shared" si="55"/>
        <v>765000</v>
      </c>
      <c r="AJ111" s="19">
        <f t="shared" si="56"/>
        <v>765000</v>
      </c>
      <c r="AK111" s="19">
        <f t="shared" si="57"/>
        <v>765000</v>
      </c>
      <c r="AL111" s="19">
        <f t="shared" si="58"/>
        <v>765000</v>
      </c>
      <c r="AM111" s="19">
        <f t="shared" si="59"/>
        <v>147000</v>
      </c>
      <c r="AN111" s="19">
        <f t="shared" si="60"/>
        <v>147000</v>
      </c>
      <c r="AO111" s="19">
        <f t="shared" si="61"/>
        <v>147000</v>
      </c>
      <c r="AP111" s="19">
        <f t="shared" si="62"/>
        <v>147000</v>
      </c>
      <c r="AQ111" s="19">
        <f t="shared" si="63"/>
        <v>147000</v>
      </c>
    </row>
    <row r="112" spans="12:43" x14ac:dyDescent="0.15">
      <c r="L112" s="19">
        <v>108</v>
      </c>
      <c r="M112" s="19">
        <f t="shared" si="64"/>
        <v>3180</v>
      </c>
      <c r="N112" s="19">
        <f t="shared" si="65"/>
        <v>35460</v>
      </c>
      <c r="O112" s="19">
        <f t="shared" si="66"/>
        <v>765000</v>
      </c>
      <c r="P112" s="19">
        <f t="shared" si="67"/>
        <v>147000</v>
      </c>
      <c r="R112" s="19">
        <v>108</v>
      </c>
      <c r="S112" s="19">
        <f>求节点(其他调用!C$4:C$163,其他调用!$B$4:$B$163,其他调用!$C111)</f>
        <v>108</v>
      </c>
      <c r="T112" s="19">
        <f>求节点(其他调用!D$4:D$163,其他调用!$B$4:$B$163,其他调用!$C111)</f>
        <v>103.89217009964835</v>
      </c>
      <c r="U112" s="19">
        <f>求节点(其他调用!E$4:E$163,其他调用!$B$4:$B$163,其他调用!$C111)</f>
        <v>99.578871424921473</v>
      </c>
      <c r="V112" s="19">
        <f>求节点(其他调用!F$4:F$163,其他调用!$B$4:$B$163,其他调用!$C111)</f>
        <v>96.201011854262731</v>
      </c>
      <c r="W112" s="19">
        <f>求节点(其他调用!G$4:G$163,其他调用!$B$4:$B$163,其他调用!$C111)</f>
        <v>94.584911989495296</v>
      </c>
      <c r="X112" s="19">
        <f t="shared" si="44"/>
        <v>3180</v>
      </c>
      <c r="Y112" s="19">
        <f t="shared" si="45"/>
        <v>3180</v>
      </c>
      <c r="Z112" s="19">
        <f t="shared" si="46"/>
        <v>3180</v>
      </c>
      <c r="AA112" s="19">
        <f t="shared" si="47"/>
        <v>3180</v>
      </c>
      <c r="AB112" s="19">
        <f t="shared" si="48"/>
        <v>3180</v>
      </c>
      <c r="AC112" s="19">
        <f t="shared" si="49"/>
        <v>35460</v>
      </c>
      <c r="AD112" s="19">
        <f t="shared" si="50"/>
        <v>35460</v>
      </c>
      <c r="AE112" s="19">
        <f t="shared" si="51"/>
        <v>35460</v>
      </c>
      <c r="AF112" s="19">
        <f t="shared" si="52"/>
        <v>35460</v>
      </c>
      <c r="AG112" s="19">
        <f t="shared" si="53"/>
        <v>35460</v>
      </c>
      <c r="AH112" s="19">
        <f t="shared" si="54"/>
        <v>765000</v>
      </c>
      <c r="AI112" s="19">
        <f t="shared" si="55"/>
        <v>765000</v>
      </c>
      <c r="AJ112" s="19">
        <f t="shared" si="56"/>
        <v>765000</v>
      </c>
      <c r="AK112" s="19">
        <f t="shared" si="57"/>
        <v>765000</v>
      </c>
      <c r="AL112" s="19">
        <f t="shared" si="58"/>
        <v>765000</v>
      </c>
      <c r="AM112" s="19">
        <f t="shared" si="59"/>
        <v>147000</v>
      </c>
      <c r="AN112" s="19">
        <f t="shared" si="60"/>
        <v>147000</v>
      </c>
      <c r="AO112" s="19">
        <f t="shared" si="61"/>
        <v>147000</v>
      </c>
      <c r="AP112" s="19">
        <f t="shared" si="62"/>
        <v>147000</v>
      </c>
      <c r="AQ112" s="19">
        <f t="shared" si="63"/>
        <v>147000</v>
      </c>
    </row>
    <row r="113" spans="12:43" x14ac:dyDescent="0.15">
      <c r="L113" s="19">
        <v>109</v>
      </c>
      <c r="M113" s="19">
        <f t="shared" si="64"/>
        <v>3180</v>
      </c>
      <c r="N113" s="19">
        <f t="shared" si="65"/>
        <v>35460</v>
      </c>
      <c r="O113" s="19">
        <f t="shared" si="66"/>
        <v>765000</v>
      </c>
      <c r="P113" s="19">
        <f t="shared" si="67"/>
        <v>147000</v>
      </c>
      <c r="R113" s="19">
        <v>109</v>
      </c>
      <c r="S113" s="19">
        <f>求节点(其他调用!C$4:C$163,其他调用!$B$4:$B$163,其他调用!$C112)</f>
        <v>109</v>
      </c>
      <c r="T113" s="19">
        <f>求节点(其他调用!D$4:D$163,其他调用!$B$4:$B$163,其他调用!$C112)</f>
        <v>104.93924437814054</v>
      </c>
      <c r="U113" s="19">
        <f>求节点(其他调用!E$4:E$163,其他调用!$B$4:$B$163,其他调用!$C112)</f>
        <v>100.83868770127035</v>
      </c>
      <c r="V113" s="19">
        <f>求节点(其他调用!F$4:F$163,其他调用!$B$4:$B$163,其他调用!$C112)</f>
        <v>97.603180790850146</v>
      </c>
      <c r="W113" s="19">
        <f>求节点(其他调用!G$4:G$163,其他调用!$B$4:$B$163,其他调用!$C112)</f>
        <v>96.291128615268164</v>
      </c>
      <c r="X113" s="19">
        <f t="shared" si="44"/>
        <v>3180</v>
      </c>
      <c r="Y113" s="19">
        <f t="shared" si="45"/>
        <v>3180</v>
      </c>
      <c r="Z113" s="19">
        <f t="shared" si="46"/>
        <v>3180</v>
      </c>
      <c r="AA113" s="19">
        <f t="shared" si="47"/>
        <v>3180</v>
      </c>
      <c r="AB113" s="19">
        <f t="shared" si="48"/>
        <v>3180</v>
      </c>
      <c r="AC113" s="19">
        <f t="shared" si="49"/>
        <v>35460</v>
      </c>
      <c r="AD113" s="19">
        <f t="shared" si="50"/>
        <v>35460</v>
      </c>
      <c r="AE113" s="19">
        <f t="shared" si="51"/>
        <v>35460</v>
      </c>
      <c r="AF113" s="19">
        <f t="shared" si="52"/>
        <v>35460</v>
      </c>
      <c r="AG113" s="19">
        <f t="shared" si="53"/>
        <v>35460</v>
      </c>
      <c r="AH113" s="19">
        <f t="shared" si="54"/>
        <v>765000</v>
      </c>
      <c r="AI113" s="19">
        <f t="shared" si="55"/>
        <v>765000</v>
      </c>
      <c r="AJ113" s="19">
        <f t="shared" si="56"/>
        <v>765000</v>
      </c>
      <c r="AK113" s="19">
        <f t="shared" si="57"/>
        <v>765000</v>
      </c>
      <c r="AL113" s="19">
        <f t="shared" si="58"/>
        <v>765000</v>
      </c>
      <c r="AM113" s="19">
        <f t="shared" si="59"/>
        <v>147000</v>
      </c>
      <c r="AN113" s="19">
        <f t="shared" si="60"/>
        <v>147000</v>
      </c>
      <c r="AO113" s="19">
        <f t="shared" si="61"/>
        <v>147000</v>
      </c>
      <c r="AP113" s="19">
        <f t="shared" si="62"/>
        <v>147000</v>
      </c>
      <c r="AQ113" s="19">
        <f t="shared" si="63"/>
        <v>147000</v>
      </c>
    </row>
    <row r="114" spans="12:43" x14ac:dyDescent="0.15">
      <c r="L114" s="19">
        <v>110</v>
      </c>
      <c r="M114" s="19">
        <f t="shared" si="64"/>
        <v>3180</v>
      </c>
      <c r="N114" s="19">
        <f t="shared" si="65"/>
        <v>35460</v>
      </c>
      <c r="O114" s="19">
        <f t="shared" si="66"/>
        <v>765000</v>
      </c>
      <c r="P114" s="19">
        <f t="shared" si="67"/>
        <v>147000</v>
      </c>
      <c r="R114" s="19">
        <v>110</v>
      </c>
      <c r="S114" s="19">
        <f>求节点(其他调用!C$4:C$163,其他调用!$B$4:$B$163,其他调用!$C113)</f>
        <v>110</v>
      </c>
      <c r="T114" s="19">
        <f>求节点(其他调用!D$4:D$163,其他调用!$B$4:$B$163,其他调用!$C113)</f>
        <v>106.08154516655873</v>
      </c>
      <c r="U114" s="19">
        <f>求节点(其他调用!E$4:E$163,其他调用!$B$4:$B$163,其他调用!$C113)</f>
        <v>102.31311426548648</v>
      </c>
      <c r="V114" s="19">
        <f>求节点(其他调用!F$4:F$163,其他调用!$B$4:$B$163,其他调用!$C113)</f>
        <v>99.024444643028531</v>
      </c>
      <c r="W114" s="19">
        <f>求节点(其他调用!G$4:G$163,其他调用!$B$4:$B$163,其他调用!$C113)</f>
        <v>97.923973915785979</v>
      </c>
      <c r="X114" s="19">
        <f t="shared" si="44"/>
        <v>3180</v>
      </c>
      <c r="Y114" s="19">
        <f t="shared" si="45"/>
        <v>3180</v>
      </c>
      <c r="Z114" s="19">
        <f t="shared" si="46"/>
        <v>3180</v>
      </c>
      <c r="AA114" s="19">
        <f t="shared" si="47"/>
        <v>3180</v>
      </c>
      <c r="AB114" s="19">
        <f t="shared" si="48"/>
        <v>3180</v>
      </c>
      <c r="AC114" s="19">
        <f t="shared" si="49"/>
        <v>35460</v>
      </c>
      <c r="AD114" s="19">
        <f t="shared" si="50"/>
        <v>35460</v>
      </c>
      <c r="AE114" s="19">
        <f t="shared" si="51"/>
        <v>35460</v>
      </c>
      <c r="AF114" s="19">
        <f t="shared" si="52"/>
        <v>35460</v>
      </c>
      <c r="AG114" s="19">
        <f t="shared" si="53"/>
        <v>35460</v>
      </c>
      <c r="AH114" s="19">
        <f t="shared" si="54"/>
        <v>765000</v>
      </c>
      <c r="AI114" s="19">
        <f t="shared" si="55"/>
        <v>765000</v>
      </c>
      <c r="AJ114" s="19">
        <f t="shared" si="56"/>
        <v>765000</v>
      </c>
      <c r="AK114" s="19">
        <f t="shared" si="57"/>
        <v>765000</v>
      </c>
      <c r="AL114" s="19">
        <f t="shared" si="58"/>
        <v>765000</v>
      </c>
      <c r="AM114" s="19">
        <f t="shared" si="59"/>
        <v>147000</v>
      </c>
      <c r="AN114" s="19">
        <f t="shared" si="60"/>
        <v>147000</v>
      </c>
      <c r="AO114" s="19">
        <f t="shared" si="61"/>
        <v>147000</v>
      </c>
      <c r="AP114" s="19">
        <f t="shared" si="62"/>
        <v>147000</v>
      </c>
      <c r="AQ114" s="19">
        <f t="shared" si="63"/>
        <v>147000</v>
      </c>
    </row>
    <row r="115" spans="12:43" x14ac:dyDescent="0.15">
      <c r="L115" s="19">
        <v>111</v>
      </c>
      <c r="M115" s="19">
        <f t="shared" si="64"/>
        <v>3180</v>
      </c>
      <c r="N115" s="19">
        <f t="shared" si="65"/>
        <v>35460</v>
      </c>
      <c r="O115" s="19">
        <f t="shared" si="66"/>
        <v>765000</v>
      </c>
      <c r="P115" s="19">
        <f t="shared" si="67"/>
        <v>147000</v>
      </c>
      <c r="R115" s="19">
        <v>111</v>
      </c>
      <c r="S115" s="19">
        <f>求节点(其他调用!C$4:C$163,其他调用!$B$4:$B$163,其他调用!$C114)</f>
        <v>111</v>
      </c>
      <c r="T115" s="19">
        <f>求节点(其他调用!D$4:D$163,其他调用!$B$4:$B$163,其他调用!$C114)</f>
        <v>106.9541386301392</v>
      </c>
      <c r="U115" s="19">
        <f>求节点(其他调用!E$4:E$163,其他调用!$B$4:$B$163,其他调用!$C114)</f>
        <v>103.39268509715636</v>
      </c>
      <c r="V115" s="19">
        <f>求节点(其他调用!F$4:F$163,其他调用!$B$4:$B$163,其他调用!$C114)</f>
        <v>100.13981735422898</v>
      </c>
      <c r="W115" s="19">
        <f>求节点(其他调用!G$4:G$163,其他调用!$B$4:$B$163,其他调用!$C114)</f>
        <v>99.180691443212723</v>
      </c>
      <c r="X115" s="19">
        <f t="shared" si="44"/>
        <v>3180</v>
      </c>
      <c r="Y115" s="19">
        <f t="shared" si="45"/>
        <v>3180</v>
      </c>
      <c r="Z115" s="19">
        <f t="shared" si="46"/>
        <v>3180</v>
      </c>
      <c r="AA115" s="19">
        <f t="shared" si="47"/>
        <v>3180</v>
      </c>
      <c r="AB115" s="19">
        <f t="shared" si="48"/>
        <v>3180</v>
      </c>
      <c r="AC115" s="19">
        <f t="shared" si="49"/>
        <v>35460</v>
      </c>
      <c r="AD115" s="19">
        <f t="shared" si="50"/>
        <v>35460</v>
      </c>
      <c r="AE115" s="19">
        <f t="shared" si="51"/>
        <v>35460</v>
      </c>
      <c r="AF115" s="19">
        <f t="shared" si="52"/>
        <v>35460</v>
      </c>
      <c r="AG115" s="19">
        <f t="shared" si="53"/>
        <v>35460</v>
      </c>
      <c r="AH115" s="19">
        <f t="shared" si="54"/>
        <v>765000</v>
      </c>
      <c r="AI115" s="19">
        <f t="shared" si="55"/>
        <v>765000</v>
      </c>
      <c r="AJ115" s="19">
        <f t="shared" si="56"/>
        <v>765000</v>
      </c>
      <c r="AK115" s="19">
        <f t="shared" si="57"/>
        <v>765000</v>
      </c>
      <c r="AL115" s="19">
        <f t="shared" si="58"/>
        <v>765000</v>
      </c>
      <c r="AM115" s="19">
        <f t="shared" si="59"/>
        <v>147000</v>
      </c>
      <c r="AN115" s="19">
        <f t="shared" si="60"/>
        <v>147000</v>
      </c>
      <c r="AO115" s="19">
        <f t="shared" si="61"/>
        <v>147000</v>
      </c>
      <c r="AP115" s="19">
        <f t="shared" si="62"/>
        <v>147000</v>
      </c>
      <c r="AQ115" s="19">
        <f t="shared" si="63"/>
        <v>147000</v>
      </c>
    </row>
    <row r="116" spans="12:43" x14ac:dyDescent="0.15">
      <c r="L116" s="19">
        <v>112</v>
      </c>
      <c r="M116" s="19">
        <f t="shared" si="64"/>
        <v>3180</v>
      </c>
      <c r="N116" s="19">
        <f t="shared" si="65"/>
        <v>35460</v>
      </c>
      <c r="O116" s="19">
        <f t="shared" si="66"/>
        <v>765000</v>
      </c>
      <c r="P116" s="19">
        <f t="shared" si="67"/>
        <v>147000</v>
      </c>
      <c r="R116" s="19">
        <v>112</v>
      </c>
      <c r="S116" s="19">
        <f>求节点(其他调用!C$4:C$163,其他调用!$B$4:$B$163,其他调用!$C115)</f>
        <v>112</v>
      </c>
      <c r="T116" s="19">
        <f>求节点(其他调用!D$4:D$163,其他调用!$B$4:$B$163,其他调用!$C115)</f>
        <v>107.81291366741874</v>
      </c>
      <c r="U116" s="19">
        <f>求节点(其他调用!E$4:E$163,其他调用!$B$4:$B$163,其他调用!$C115)</f>
        <v>104.44042964527949</v>
      </c>
      <c r="V116" s="19">
        <f>求节点(其他调用!F$4:F$163,其他调用!$B$4:$B$163,其他调用!$C115)</f>
        <v>101.5147138125524</v>
      </c>
      <c r="W116" s="19">
        <f>求节点(其他调用!G$4:G$163,其他调用!$B$4:$B$163,其他调用!$C115)</f>
        <v>100.46341339236379</v>
      </c>
      <c r="X116" s="19">
        <f t="shared" si="44"/>
        <v>3180</v>
      </c>
      <c r="Y116" s="19">
        <f t="shared" si="45"/>
        <v>3180</v>
      </c>
      <c r="Z116" s="19">
        <f t="shared" si="46"/>
        <v>3180</v>
      </c>
      <c r="AA116" s="19">
        <f t="shared" si="47"/>
        <v>3180</v>
      </c>
      <c r="AB116" s="19">
        <f t="shared" si="48"/>
        <v>3180</v>
      </c>
      <c r="AC116" s="19">
        <f t="shared" si="49"/>
        <v>35460</v>
      </c>
      <c r="AD116" s="19">
        <f t="shared" si="50"/>
        <v>35460</v>
      </c>
      <c r="AE116" s="19">
        <f t="shared" si="51"/>
        <v>35460</v>
      </c>
      <c r="AF116" s="19">
        <f t="shared" si="52"/>
        <v>35460</v>
      </c>
      <c r="AG116" s="19">
        <f t="shared" si="53"/>
        <v>35460</v>
      </c>
      <c r="AH116" s="19">
        <f t="shared" si="54"/>
        <v>765000</v>
      </c>
      <c r="AI116" s="19">
        <f t="shared" si="55"/>
        <v>765000</v>
      </c>
      <c r="AJ116" s="19">
        <f t="shared" si="56"/>
        <v>765000</v>
      </c>
      <c r="AK116" s="19">
        <f t="shared" si="57"/>
        <v>765000</v>
      </c>
      <c r="AL116" s="19">
        <f t="shared" si="58"/>
        <v>765000</v>
      </c>
      <c r="AM116" s="19">
        <f t="shared" si="59"/>
        <v>147000</v>
      </c>
      <c r="AN116" s="19">
        <f t="shared" si="60"/>
        <v>147000</v>
      </c>
      <c r="AO116" s="19">
        <f t="shared" si="61"/>
        <v>147000</v>
      </c>
      <c r="AP116" s="19">
        <f t="shared" si="62"/>
        <v>147000</v>
      </c>
      <c r="AQ116" s="19">
        <f t="shared" si="63"/>
        <v>147000</v>
      </c>
    </row>
    <row r="117" spans="12:43" x14ac:dyDescent="0.15">
      <c r="L117" s="19">
        <v>113</v>
      </c>
      <c r="M117" s="19">
        <f t="shared" si="64"/>
        <v>3180</v>
      </c>
      <c r="N117" s="19">
        <f t="shared" si="65"/>
        <v>35460</v>
      </c>
      <c r="O117" s="19">
        <f t="shared" si="66"/>
        <v>765000</v>
      </c>
      <c r="P117" s="19">
        <f t="shared" si="67"/>
        <v>147000</v>
      </c>
      <c r="R117" s="19">
        <v>113</v>
      </c>
      <c r="S117" s="19">
        <f>求节点(其他调用!C$4:C$163,其他调用!$B$4:$B$163,其他调用!$C116)</f>
        <v>113</v>
      </c>
      <c r="T117" s="19">
        <f>求节点(其他调用!D$4:D$163,其他调用!$B$4:$B$163,其他调用!$C116)</f>
        <v>108.69230266000633</v>
      </c>
      <c r="U117" s="19">
        <f>求节点(其他调用!E$4:E$163,其他调用!$B$4:$B$163,其他调用!$C116)</f>
        <v>105.49694342849811</v>
      </c>
      <c r="V117" s="19">
        <f>求节点(其他调用!F$4:F$163,其他调用!$B$4:$B$163,其他调用!$C116)</f>
        <v>102.87272301574863</v>
      </c>
      <c r="W117" s="19">
        <f>求节点(其他调用!G$4:G$163,其他调用!$B$4:$B$163,其他调用!$C116)</f>
        <v>101.81800803091684</v>
      </c>
      <c r="X117" s="19">
        <f t="shared" si="44"/>
        <v>3180</v>
      </c>
      <c r="Y117" s="19">
        <f t="shared" si="45"/>
        <v>3180</v>
      </c>
      <c r="Z117" s="19">
        <f t="shared" si="46"/>
        <v>3180</v>
      </c>
      <c r="AA117" s="19">
        <f t="shared" si="47"/>
        <v>3180</v>
      </c>
      <c r="AB117" s="19">
        <f t="shared" si="48"/>
        <v>3180</v>
      </c>
      <c r="AC117" s="19">
        <f t="shared" si="49"/>
        <v>35460</v>
      </c>
      <c r="AD117" s="19">
        <f t="shared" si="50"/>
        <v>35460</v>
      </c>
      <c r="AE117" s="19">
        <f t="shared" si="51"/>
        <v>35460</v>
      </c>
      <c r="AF117" s="19">
        <f t="shared" si="52"/>
        <v>35460</v>
      </c>
      <c r="AG117" s="19">
        <f t="shared" si="53"/>
        <v>35460</v>
      </c>
      <c r="AH117" s="19">
        <f t="shared" si="54"/>
        <v>765000</v>
      </c>
      <c r="AI117" s="19">
        <f t="shared" si="55"/>
        <v>765000</v>
      </c>
      <c r="AJ117" s="19">
        <f t="shared" si="56"/>
        <v>765000</v>
      </c>
      <c r="AK117" s="19">
        <f t="shared" si="57"/>
        <v>765000</v>
      </c>
      <c r="AL117" s="19">
        <f t="shared" si="58"/>
        <v>765000</v>
      </c>
      <c r="AM117" s="19">
        <f t="shared" si="59"/>
        <v>147000</v>
      </c>
      <c r="AN117" s="19">
        <f t="shared" si="60"/>
        <v>147000</v>
      </c>
      <c r="AO117" s="19">
        <f t="shared" si="61"/>
        <v>147000</v>
      </c>
      <c r="AP117" s="19">
        <f t="shared" si="62"/>
        <v>147000</v>
      </c>
      <c r="AQ117" s="19">
        <f t="shared" si="63"/>
        <v>147000</v>
      </c>
    </row>
    <row r="118" spans="12:43" x14ac:dyDescent="0.15">
      <c r="L118" s="19">
        <v>114</v>
      </c>
      <c r="M118" s="19">
        <f t="shared" si="64"/>
        <v>3180</v>
      </c>
      <c r="N118" s="19">
        <f t="shared" si="65"/>
        <v>35460</v>
      </c>
      <c r="O118" s="19">
        <f t="shared" si="66"/>
        <v>765000</v>
      </c>
      <c r="P118" s="19">
        <f t="shared" si="67"/>
        <v>147000</v>
      </c>
      <c r="R118" s="19">
        <v>114</v>
      </c>
      <c r="S118" s="19">
        <f>求节点(其他调用!C$4:C$163,其他调用!$B$4:$B$163,其他调用!$C117)</f>
        <v>114</v>
      </c>
      <c r="T118" s="19">
        <f>求节点(其他调用!D$4:D$163,其他调用!$B$4:$B$163,其他调用!$C117)</f>
        <v>109.61651685535122</v>
      </c>
      <c r="U118" s="19">
        <f>求节点(其他调用!E$4:E$163,其他调用!$B$4:$B$163,其他调用!$C117)</f>
        <v>106.67518132743962</v>
      </c>
      <c r="V118" s="19">
        <f>求节点(其他调用!F$4:F$163,其他调用!$B$4:$B$163,其他调用!$C117)</f>
        <v>104.22958749795568</v>
      </c>
      <c r="W118" s="19">
        <f>求节点(其他调用!G$4:G$163,其他调用!$B$4:$B$163,其他调用!$C117)</f>
        <v>103.16266814161757</v>
      </c>
      <c r="X118" s="19">
        <f t="shared" si="44"/>
        <v>3180</v>
      </c>
      <c r="Y118" s="19">
        <f t="shared" si="45"/>
        <v>3180</v>
      </c>
      <c r="Z118" s="19">
        <f t="shared" si="46"/>
        <v>3180</v>
      </c>
      <c r="AA118" s="19">
        <f t="shared" si="47"/>
        <v>3180</v>
      </c>
      <c r="AB118" s="19">
        <f t="shared" si="48"/>
        <v>3180</v>
      </c>
      <c r="AC118" s="19">
        <f t="shared" si="49"/>
        <v>35460</v>
      </c>
      <c r="AD118" s="19">
        <f t="shared" si="50"/>
        <v>35460</v>
      </c>
      <c r="AE118" s="19">
        <f t="shared" si="51"/>
        <v>35460</v>
      </c>
      <c r="AF118" s="19">
        <f t="shared" si="52"/>
        <v>35460</v>
      </c>
      <c r="AG118" s="19">
        <f t="shared" si="53"/>
        <v>35460</v>
      </c>
      <c r="AH118" s="19">
        <f t="shared" si="54"/>
        <v>765000</v>
      </c>
      <c r="AI118" s="19">
        <f t="shared" si="55"/>
        <v>765000</v>
      </c>
      <c r="AJ118" s="19">
        <f t="shared" si="56"/>
        <v>765000</v>
      </c>
      <c r="AK118" s="19">
        <f t="shared" si="57"/>
        <v>765000</v>
      </c>
      <c r="AL118" s="19">
        <f t="shared" si="58"/>
        <v>765000</v>
      </c>
      <c r="AM118" s="19">
        <f t="shared" si="59"/>
        <v>147000</v>
      </c>
      <c r="AN118" s="19">
        <f t="shared" si="60"/>
        <v>147000</v>
      </c>
      <c r="AO118" s="19">
        <f t="shared" si="61"/>
        <v>147000</v>
      </c>
      <c r="AP118" s="19">
        <f t="shared" si="62"/>
        <v>147000</v>
      </c>
      <c r="AQ118" s="19">
        <f t="shared" si="63"/>
        <v>147000</v>
      </c>
    </row>
    <row r="119" spans="12:43" x14ac:dyDescent="0.15">
      <c r="L119" s="19">
        <v>115</v>
      </c>
      <c r="M119" s="19">
        <f t="shared" si="64"/>
        <v>3180</v>
      </c>
      <c r="N119" s="19">
        <f t="shared" si="65"/>
        <v>35460</v>
      </c>
      <c r="O119" s="19">
        <f t="shared" si="66"/>
        <v>765000</v>
      </c>
      <c r="P119" s="19">
        <f t="shared" si="67"/>
        <v>147000</v>
      </c>
      <c r="R119" s="19">
        <v>115</v>
      </c>
      <c r="S119" s="19">
        <f>求节点(其他调用!C$4:C$163,其他调用!$B$4:$B$163,其他调用!$C118)</f>
        <v>115</v>
      </c>
      <c r="T119" s="19">
        <f>求节点(其他调用!D$4:D$163,其他调用!$B$4:$B$163,其他调用!$C118)</f>
        <v>110.7989947959245</v>
      </c>
      <c r="U119" s="19">
        <f>求节点(其他调用!E$4:E$163,其他调用!$B$4:$B$163,其他调用!$C118)</f>
        <v>107.95640145481018</v>
      </c>
      <c r="V119" s="19">
        <f>求节点(其他调用!F$4:F$163,其他调用!$B$4:$B$163,其他调用!$C118)</f>
        <v>105.58720994376115</v>
      </c>
      <c r="W119" s="19">
        <f>求节点(其他调用!G$4:G$163,其他调用!$B$4:$B$163,其他调用!$C118)</f>
        <v>104.4136100397952</v>
      </c>
      <c r="X119" s="19">
        <f t="shared" si="44"/>
        <v>3180</v>
      </c>
      <c r="Y119" s="19">
        <f t="shared" si="45"/>
        <v>3180</v>
      </c>
      <c r="Z119" s="19">
        <f t="shared" si="46"/>
        <v>3180</v>
      </c>
      <c r="AA119" s="19">
        <f t="shared" si="47"/>
        <v>3180</v>
      </c>
      <c r="AB119" s="19">
        <f t="shared" si="48"/>
        <v>3180</v>
      </c>
      <c r="AC119" s="19">
        <f t="shared" si="49"/>
        <v>35460</v>
      </c>
      <c r="AD119" s="19">
        <f t="shared" si="50"/>
        <v>35460</v>
      </c>
      <c r="AE119" s="19">
        <f t="shared" si="51"/>
        <v>35460</v>
      </c>
      <c r="AF119" s="19">
        <f t="shared" si="52"/>
        <v>35460</v>
      </c>
      <c r="AG119" s="19">
        <f t="shared" si="53"/>
        <v>35460</v>
      </c>
      <c r="AH119" s="19">
        <f t="shared" si="54"/>
        <v>765000</v>
      </c>
      <c r="AI119" s="19">
        <f t="shared" si="55"/>
        <v>765000</v>
      </c>
      <c r="AJ119" s="19">
        <f t="shared" si="56"/>
        <v>765000</v>
      </c>
      <c r="AK119" s="19">
        <f t="shared" si="57"/>
        <v>765000</v>
      </c>
      <c r="AL119" s="19">
        <f t="shared" si="58"/>
        <v>765000</v>
      </c>
      <c r="AM119" s="19">
        <f t="shared" si="59"/>
        <v>147000</v>
      </c>
      <c r="AN119" s="19">
        <f t="shared" si="60"/>
        <v>147000</v>
      </c>
      <c r="AO119" s="19">
        <f t="shared" si="61"/>
        <v>147000</v>
      </c>
      <c r="AP119" s="19">
        <f t="shared" si="62"/>
        <v>147000</v>
      </c>
      <c r="AQ119" s="19">
        <f t="shared" si="63"/>
        <v>147000</v>
      </c>
    </row>
    <row r="120" spans="12:43" x14ac:dyDescent="0.15">
      <c r="L120" s="19">
        <v>116</v>
      </c>
      <c r="M120" s="19">
        <f t="shared" si="64"/>
        <v>3180</v>
      </c>
      <c r="N120" s="19">
        <f t="shared" si="65"/>
        <v>35460</v>
      </c>
      <c r="O120" s="19">
        <f t="shared" si="66"/>
        <v>765000</v>
      </c>
      <c r="P120" s="19">
        <f t="shared" si="67"/>
        <v>147000</v>
      </c>
      <c r="R120" s="19">
        <v>116</v>
      </c>
      <c r="S120" s="19">
        <f>求节点(其他调用!C$4:C$163,其他调用!$B$4:$B$163,其他调用!$C119)</f>
        <v>116</v>
      </c>
      <c r="T120" s="19">
        <f>求节点(其他调用!D$4:D$163,其他调用!$B$4:$B$163,其他调用!$C119)</f>
        <v>112.04149978513314</v>
      </c>
      <c r="U120" s="19">
        <f>求节点(其他调用!E$4:E$163,其他调用!$B$4:$B$163,其他调用!$C119)</f>
        <v>109.12447352841937</v>
      </c>
      <c r="V120" s="19">
        <f>求节点(其他调用!F$4:F$163,其他调用!$B$4:$B$163,其他调用!$C119)</f>
        <v>106.89242452751357</v>
      </c>
      <c r="W120" s="19">
        <f>求节点(其他调用!G$4:G$163,其他调用!$B$4:$B$163,其他调用!$C119)</f>
        <v>105.63544448163543</v>
      </c>
      <c r="X120" s="19">
        <f t="shared" si="44"/>
        <v>3180</v>
      </c>
      <c r="Y120" s="19">
        <f t="shared" si="45"/>
        <v>3180</v>
      </c>
      <c r="Z120" s="19">
        <f t="shared" si="46"/>
        <v>3180</v>
      </c>
      <c r="AA120" s="19">
        <f t="shared" si="47"/>
        <v>3180</v>
      </c>
      <c r="AB120" s="19">
        <f t="shared" si="48"/>
        <v>3180</v>
      </c>
      <c r="AC120" s="19">
        <f t="shared" si="49"/>
        <v>35460</v>
      </c>
      <c r="AD120" s="19">
        <f t="shared" si="50"/>
        <v>35460</v>
      </c>
      <c r="AE120" s="19">
        <f t="shared" si="51"/>
        <v>35460</v>
      </c>
      <c r="AF120" s="19">
        <f t="shared" si="52"/>
        <v>35460</v>
      </c>
      <c r="AG120" s="19">
        <f t="shared" si="53"/>
        <v>35460</v>
      </c>
      <c r="AH120" s="19">
        <f t="shared" si="54"/>
        <v>765000</v>
      </c>
      <c r="AI120" s="19">
        <f t="shared" si="55"/>
        <v>765000</v>
      </c>
      <c r="AJ120" s="19">
        <f t="shared" si="56"/>
        <v>765000</v>
      </c>
      <c r="AK120" s="19">
        <f t="shared" si="57"/>
        <v>765000</v>
      </c>
      <c r="AL120" s="19">
        <f t="shared" si="58"/>
        <v>765000</v>
      </c>
      <c r="AM120" s="19">
        <f t="shared" si="59"/>
        <v>147000</v>
      </c>
      <c r="AN120" s="19">
        <f t="shared" si="60"/>
        <v>147000</v>
      </c>
      <c r="AO120" s="19">
        <f t="shared" si="61"/>
        <v>147000</v>
      </c>
      <c r="AP120" s="19">
        <f t="shared" si="62"/>
        <v>147000</v>
      </c>
      <c r="AQ120" s="19">
        <f t="shared" si="63"/>
        <v>147000</v>
      </c>
    </row>
    <row r="121" spans="12:43" x14ac:dyDescent="0.15">
      <c r="L121" s="19">
        <v>117</v>
      </c>
      <c r="M121" s="19">
        <f t="shared" si="64"/>
        <v>3180</v>
      </c>
      <c r="N121" s="19">
        <f t="shared" si="65"/>
        <v>35460</v>
      </c>
      <c r="O121" s="19">
        <f t="shared" si="66"/>
        <v>765000</v>
      </c>
      <c r="P121" s="19">
        <f t="shared" si="67"/>
        <v>147000</v>
      </c>
      <c r="R121" s="19">
        <v>117</v>
      </c>
      <c r="S121" s="19">
        <f>求节点(其他调用!C$4:C$163,其他调用!$B$4:$B$163,其他调用!$C120)</f>
        <v>117</v>
      </c>
      <c r="T121" s="19">
        <f>求节点(其他调用!D$4:D$163,其他调用!$B$4:$B$163,其他调用!$C120)</f>
        <v>113.18176914047146</v>
      </c>
      <c r="U121" s="19">
        <f>求节点(其他调用!E$4:E$163,其他调用!$B$4:$B$163,其他调用!$C120)</f>
        <v>110.30108908332825</v>
      </c>
      <c r="V121" s="19">
        <f>求节点(其他调用!F$4:F$163,其他调用!$B$4:$B$163,其他调用!$C120)</f>
        <v>108.33808148656112</v>
      </c>
      <c r="W121" s="19">
        <f>求节点(其他调用!G$4:G$163,其他调用!$B$4:$B$163,其他调用!$C120)</f>
        <v>106.95764458293246</v>
      </c>
      <c r="X121" s="19">
        <f t="shared" si="44"/>
        <v>3180</v>
      </c>
      <c r="Y121" s="19">
        <f t="shared" si="45"/>
        <v>3180</v>
      </c>
      <c r="Z121" s="19">
        <f t="shared" si="46"/>
        <v>3180</v>
      </c>
      <c r="AA121" s="19">
        <f t="shared" si="47"/>
        <v>3180</v>
      </c>
      <c r="AB121" s="19">
        <f t="shared" si="48"/>
        <v>3180</v>
      </c>
      <c r="AC121" s="19">
        <f t="shared" si="49"/>
        <v>35460</v>
      </c>
      <c r="AD121" s="19">
        <f t="shared" si="50"/>
        <v>35460</v>
      </c>
      <c r="AE121" s="19">
        <f t="shared" si="51"/>
        <v>35460</v>
      </c>
      <c r="AF121" s="19">
        <f t="shared" si="52"/>
        <v>35460</v>
      </c>
      <c r="AG121" s="19">
        <f t="shared" si="53"/>
        <v>35460</v>
      </c>
      <c r="AH121" s="19">
        <f t="shared" si="54"/>
        <v>765000</v>
      </c>
      <c r="AI121" s="19">
        <f t="shared" si="55"/>
        <v>765000</v>
      </c>
      <c r="AJ121" s="19">
        <f t="shared" si="56"/>
        <v>765000</v>
      </c>
      <c r="AK121" s="19">
        <f t="shared" si="57"/>
        <v>765000</v>
      </c>
      <c r="AL121" s="19">
        <f t="shared" si="58"/>
        <v>765000</v>
      </c>
      <c r="AM121" s="19">
        <f t="shared" si="59"/>
        <v>147000</v>
      </c>
      <c r="AN121" s="19">
        <f t="shared" si="60"/>
        <v>147000</v>
      </c>
      <c r="AO121" s="19">
        <f t="shared" si="61"/>
        <v>147000</v>
      </c>
      <c r="AP121" s="19">
        <f t="shared" si="62"/>
        <v>147000</v>
      </c>
      <c r="AQ121" s="19">
        <f t="shared" si="63"/>
        <v>147000</v>
      </c>
    </row>
    <row r="122" spans="12:43" x14ac:dyDescent="0.15">
      <c r="L122" s="19">
        <v>118</v>
      </c>
      <c r="M122" s="19">
        <f t="shared" si="64"/>
        <v>3180</v>
      </c>
      <c r="N122" s="19">
        <f t="shared" si="65"/>
        <v>35460</v>
      </c>
      <c r="O122" s="19">
        <f t="shared" si="66"/>
        <v>765000</v>
      </c>
      <c r="P122" s="19">
        <f t="shared" si="67"/>
        <v>147000</v>
      </c>
      <c r="R122" s="19">
        <v>118</v>
      </c>
      <c r="S122" s="19">
        <f>求节点(其他调用!C$4:C$163,其他调用!$B$4:$B$163,其他调用!$C121)</f>
        <v>118</v>
      </c>
      <c r="T122" s="19">
        <f>求节点(其他调用!D$4:D$163,其他调用!$B$4:$B$163,其他调用!$C121)</f>
        <v>114.2973922005577</v>
      </c>
      <c r="U122" s="19">
        <f>求节点(其他调用!E$4:E$163,其他调用!$B$4:$B$163,其他调用!$C121)</f>
        <v>111.5761075724201</v>
      </c>
      <c r="V122" s="19">
        <f>求节点(其他调用!F$4:F$163,其他调用!$B$4:$B$163,其他调用!$C121)</f>
        <v>109.77353602965439</v>
      </c>
      <c r="W122" s="19">
        <f>求节点(其他调用!G$4:G$163,其他调用!$B$4:$B$163,其他调用!$C121)</f>
        <v>108.29270358274925</v>
      </c>
      <c r="X122" s="19">
        <f t="shared" si="44"/>
        <v>3180</v>
      </c>
      <c r="Y122" s="19">
        <f t="shared" si="45"/>
        <v>3180</v>
      </c>
      <c r="Z122" s="19">
        <f t="shared" si="46"/>
        <v>3180</v>
      </c>
      <c r="AA122" s="19">
        <f t="shared" si="47"/>
        <v>3180</v>
      </c>
      <c r="AB122" s="19">
        <f t="shared" si="48"/>
        <v>3180</v>
      </c>
      <c r="AC122" s="19">
        <f t="shared" si="49"/>
        <v>35460</v>
      </c>
      <c r="AD122" s="19">
        <f t="shared" si="50"/>
        <v>35460</v>
      </c>
      <c r="AE122" s="19">
        <f t="shared" si="51"/>
        <v>35460</v>
      </c>
      <c r="AF122" s="19">
        <f t="shared" si="52"/>
        <v>35460</v>
      </c>
      <c r="AG122" s="19">
        <f t="shared" si="53"/>
        <v>35460</v>
      </c>
      <c r="AH122" s="19">
        <f t="shared" si="54"/>
        <v>765000</v>
      </c>
      <c r="AI122" s="19">
        <f t="shared" si="55"/>
        <v>765000</v>
      </c>
      <c r="AJ122" s="19">
        <f t="shared" si="56"/>
        <v>765000</v>
      </c>
      <c r="AK122" s="19">
        <f t="shared" si="57"/>
        <v>765000</v>
      </c>
      <c r="AL122" s="19">
        <f t="shared" si="58"/>
        <v>765000</v>
      </c>
      <c r="AM122" s="19">
        <f t="shared" si="59"/>
        <v>147000</v>
      </c>
      <c r="AN122" s="19">
        <f t="shared" si="60"/>
        <v>147000</v>
      </c>
      <c r="AO122" s="19">
        <f t="shared" si="61"/>
        <v>147000</v>
      </c>
      <c r="AP122" s="19">
        <f t="shared" si="62"/>
        <v>147000</v>
      </c>
      <c r="AQ122" s="19">
        <f t="shared" si="63"/>
        <v>147000</v>
      </c>
    </row>
    <row r="123" spans="12:43" x14ac:dyDescent="0.15">
      <c r="L123" s="19">
        <v>119</v>
      </c>
      <c r="M123" s="19">
        <f t="shared" si="64"/>
        <v>3180</v>
      </c>
      <c r="N123" s="19">
        <f t="shared" si="65"/>
        <v>35460</v>
      </c>
      <c r="O123" s="19">
        <f t="shared" si="66"/>
        <v>765000</v>
      </c>
      <c r="P123" s="19">
        <f t="shared" si="67"/>
        <v>147000</v>
      </c>
      <c r="R123" s="19">
        <v>119</v>
      </c>
      <c r="S123" s="19">
        <f>求节点(其他调用!C$4:C$163,其他调用!$B$4:$B$163,其他调用!$C122)</f>
        <v>119</v>
      </c>
      <c r="T123" s="19">
        <f>求节点(其他调用!D$4:D$163,其他调用!$B$4:$B$163,其他调用!$C122)</f>
        <v>115.4266439366158</v>
      </c>
      <c r="U123" s="19">
        <f>求节点(其他调用!E$4:E$163,其他调用!$B$4:$B$163,其他调用!$C122)</f>
        <v>112.78568809112313</v>
      </c>
      <c r="V123" s="19">
        <f>求节点(其他调用!F$4:F$163,其他调用!$B$4:$B$163,其他调用!$C122)</f>
        <v>111.0770431136516</v>
      </c>
      <c r="W123" s="19">
        <f>求节点(其他调用!G$4:G$163,其他调用!$B$4:$B$163,其他调用!$C122)</f>
        <v>109.56266609168102</v>
      </c>
      <c r="X123" s="19">
        <f t="shared" si="44"/>
        <v>3180</v>
      </c>
      <c r="Y123" s="19">
        <f t="shared" si="45"/>
        <v>3180</v>
      </c>
      <c r="Z123" s="19">
        <f t="shared" si="46"/>
        <v>3180</v>
      </c>
      <c r="AA123" s="19">
        <f t="shared" si="47"/>
        <v>3180</v>
      </c>
      <c r="AB123" s="19">
        <f t="shared" si="48"/>
        <v>3180</v>
      </c>
      <c r="AC123" s="19">
        <f t="shared" si="49"/>
        <v>35460</v>
      </c>
      <c r="AD123" s="19">
        <f t="shared" si="50"/>
        <v>35460</v>
      </c>
      <c r="AE123" s="19">
        <f t="shared" si="51"/>
        <v>35460</v>
      </c>
      <c r="AF123" s="19">
        <f t="shared" si="52"/>
        <v>35460</v>
      </c>
      <c r="AG123" s="19">
        <f t="shared" si="53"/>
        <v>35460</v>
      </c>
      <c r="AH123" s="19">
        <f t="shared" si="54"/>
        <v>765000</v>
      </c>
      <c r="AI123" s="19">
        <f t="shared" si="55"/>
        <v>765000</v>
      </c>
      <c r="AJ123" s="19">
        <f t="shared" si="56"/>
        <v>765000</v>
      </c>
      <c r="AK123" s="19">
        <f t="shared" si="57"/>
        <v>765000</v>
      </c>
      <c r="AL123" s="19">
        <f t="shared" si="58"/>
        <v>765000</v>
      </c>
      <c r="AM123" s="19">
        <f t="shared" si="59"/>
        <v>147000</v>
      </c>
      <c r="AN123" s="19">
        <f t="shared" si="60"/>
        <v>147000</v>
      </c>
      <c r="AO123" s="19">
        <f t="shared" si="61"/>
        <v>147000</v>
      </c>
      <c r="AP123" s="19">
        <f t="shared" si="62"/>
        <v>147000</v>
      </c>
      <c r="AQ123" s="19">
        <f t="shared" si="63"/>
        <v>147000</v>
      </c>
    </row>
    <row r="124" spans="12:43" x14ac:dyDescent="0.15">
      <c r="L124" s="19">
        <v>120</v>
      </c>
      <c r="M124" s="19">
        <f t="shared" si="64"/>
        <v>3180</v>
      </c>
      <c r="N124" s="19">
        <f t="shared" si="65"/>
        <v>35460</v>
      </c>
      <c r="O124" s="19">
        <f t="shared" si="66"/>
        <v>765000</v>
      </c>
      <c r="P124" s="19">
        <f t="shared" si="67"/>
        <v>147000</v>
      </c>
      <c r="R124" s="19">
        <v>120</v>
      </c>
      <c r="S124" s="19">
        <f>求节点(其他调用!C$4:C$163,其他调用!$B$4:$B$163,其他调用!$C123)</f>
        <v>120</v>
      </c>
      <c r="T124" s="19">
        <f>求节点(其他调用!D$4:D$163,其他调用!$B$4:$B$163,其他调用!$C123)</f>
        <v>116.55797408712036</v>
      </c>
      <c r="U124" s="19">
        <f>求节点(其他调用!E$4:E$163,其他调用!$B$4:$B$163,其他调用!$C123)</f>
        <v>114.00355681841862</v>
      </c>
      <c r="V124" s="19">
        <f>求节点(其他调用!F$4:F$163,其他调用!$B$4:$B$163,其他调用!$C123)</f>
        <v>112.3296047979488</v>
      </c>
      <c r="W124" s="19">
        <f>求节点(其他调用!G$4:G$163,其他调用!$B$4:$B$163,其他调用!$C123)</f>
        <v>110.7524893251942</v>
      </c>
      <c r="X124" s="19">
        <f t="shared" si="44"/>
        <v>3180</v>
      </c>
      <c r="Y124" s="19">
        <f t="shared" si="45"/>
        <v>3180</v>
      </c>
      <c r="Z124" s="19">
        <f t="shared" si="46"/>
        <v>3180</v>
      </c>
      <c r="AA124" s="19">
        <f t="shared" si="47"/>
        <v>3180</v>
      </c>
      <c r="AB124" s="19">
        <f t="shared" si="48"/>
        <v>3180</v>
      </c>
      <c r="AC124" s="19">
        <f t="shared" si="49"/>
        <v>35460</v>
      </c>
      <c r="AD124" s="19">
        <f t="shared" si="50"/>
        <v>35460</v>
      </c>
      <c r="AE124" s="19">
        <f t="shared" si="51"/>
        <v>35460</v>
      </c>
      <c r="AF124" s="19">
        <f t="shared" si="52"/>
        <v>35460</v>
      </c>
      <c r="AG124" s="19">
        <f t="shared" si="53"/>
        <v>35460</v>
      </c>
      <c r="AH124" s="19">
        <f t="shared" si="54"/>
        <v>765000</v>
      </c>
      <c r="AI124" s="19">
        <f t="shared" si="55"/>
        <v>765000</v>
      </c>
      <c r="AJ124" s="19">
        <f t="shared" si="56"/>
        <v>765000</v>
      </c>
      <c r="AK124" s="19">
        <f t="shared" si="57"/>
        <v>765000</v>
      </c>
      <c r="AL124" s="19">
        <f t="shared" si="58"/>
        <v>765000</v>
      </c>
      <c r="AM124" s="19">
        <f t="shared" si="59"/>
        <v>147000</v>
      </c>
      <c r="AN124" s="19">
        <f t="shared" si="60"/>
        <v>147000</v>
      </c>
      <c r="AO124" s="19">
        <f t="shared" si="61"/>
        <v>147000</v>
      </c>
      <c r="AP124" s="19">
        <f t="shared" si="62"/>
        <v>147000</v>
      </c>
      <c r="AQ124" s="19">
        <f t="shared" si="63"/>
        <v>147000</v>
      </c>
    </row>
    <row r="125" spans="12:43" x14ac:dyDescent="0.15">
      <c r="L125" s="19">
        <v>121</v>
      </c>
      <c r="M125" s="19">
        <f t="shared" si="64"/>
        <v>3180</v>
      </c>
      <c r="N125" s="19">
        <f t="shared" si="65"/>
        <v>35460</v>
      </c>
      <c r="O125" s="19">
        <f t="shared" si="66"/>
        <v>765000</v>
      </c>
      <c r="P125" s="19">
        <f t="shared" si="67"/>
        <v>147000</v>
      </c>
      <c r="R125" s="19">
        <v>121</v>
      </c>
      <c r="S125" s="19">
        <f>求节点(其他调用!C$4:C$163,其他调用!$B$4:$B$163,其他调用!$C124)</f>
        <v>121</v>
      </c>
      <c r="T125" s="19">
        <f>求节点(其他调用!D$4:D$163,其他调用!$B$4:$B$163,其他调用!$C124)</f>
        <v>117.52955662449816</v>
      </c>
      <c r="U125" s="19">
        <f>求节点(其他调用!E$4:E$163,其他调用!$B$4:$B$163,其他调用!$C124)</f>
        <v>115.04150868425464</v>
      </c>
      <c r="V125" s="19">
        <f>求节点(其他调用!F$4:F$163,其他调用!$B$4:$B$163,其他调用!$C124)</f>
        <v>113.40126181313246</v>
      </c>
      <c r="W125" s="19">
        <f>求节点(其他调用!G$4:G$163,其他调用!$B$4:$B$163,其他调用!$C124)</f>
        <v>111.76296126013254</v>
      </c>
      <c r="X125" s="19">
        <f t="shared" si="44"/>
        <v>3180</v>
      </c>
      <c r="Y125" s="19">
        <f t="shared" si="45"/>
        <v>3180</v>
      </c>
      <c r="Z125" s="19">
        <f t="shared" si="46"/>
        <v>3180</v>
      </c>
      <c r="AA125" s="19">
        <f t="shared" si="47"/>
        <v>3180</v>
      </c>
      <c r="AB125" s="19">
        <f t="shared" si="48"/>
        <v>3180</v>
      </c>
      <c r="AC125" s="19">
        <f t="shared" si="49"/>
        <v>35460</v>
      </c>
      <c r="AD125" s="19">
        <f t="shared" si="50"/>
        <v>35460</v>
      </c>
      <c r="AE125" s="19">
        <f t="shared" si="51"/>
        <v>35460</v>
      </c>
      <c r="AF125" s="19">
        <f t="shared" si="52"/>
        <v>35460</v>
      </c>
      <c r="AG125" s="19">
        <f t="shared" si="53"/>
        <v>35460</v>
      </c>
      <c r="AH125" s="19">
        <f t="shared" si="54"/>
        <v>765000</v>
      </c>
      <c r="AI125" s="19">
        <f t="shared" si="55"/>
        <v>765000</v>
      </c>
      <c r="AJ125" s="19">
        <f t="shared" si="56"/>
        <v>765000</v>
      </c>
      <c r="AK125" s="19">
        <f t="shared" si="57"/>
        <v>765000</v>
      </c>
      <c r="AL125" s="19">
        <f t="shared" si="58"/>
        <v>765000</v>
      </c>
      <c r="AM125" s="19">
        <f t="shared" si="59"/>
        <v>147000</v>
      </c>
      <c r="AN125" s="19">
        <f t="shared" si="60"/>
        <v>147000</v>
      </c>
      <c r="AO125" s="19">
        <f t="shared" si="61"/>
        <v>147000</v>
      </c>
      <c r="AP125" s="19">
        <f t="shared" si="62"/>
        <v>147000</v>
      </c>
      <c r="AQ125" s="19">
        <f t="shared" si="63"/>
        <v>147000</v>
      </c>
    </row>
    <row r="126" spans="12:43" x14ac:dyDescent="0.15">
      <c r="L126" s="19">
        <v>122</v>
      </c>
      <c r="M126" s="19">
        <f t="shared" si="64"/>
        <v>3180</v>
      </c>
      <c r="N126" s="19">
        <f t="shared" si="65"/>
        <v>35460</v>
      </c>
      <c r="O126" s="19">
        <f t="shared" si="66"/>
        <v>765000</v>
      </c>
      <c r="P126" s="19">
        <f t="shared" si="67"/>
        <v>147000</v>
      </c>
      <c r="R126" s="19">
        <v>122</v>
      </c>
      <c r="S126" s="19">
        <f>求节点(其他调用!C$4:C$163,其他调用!$B$4:$B$163,其他调用!$C125)</f>
        <v>122</v>
      </c>
      <c r="T126" s="19">
        <f>求节点(其他调用!D$4:D$163,其他调用!$B$4:$B$163,其他调用!$C125)</f>
        <v>118.50601272627307</v>
      </c>
      <c r="U126" s="19">
        <f>求节点(其他调用!E$4:E$163,其他调用!$B$4:$B$163,其他调用!$C125)</f>
        <v>116.04054338812651</v>
      </c>
      <c r="V126" s="19">
        <f>求节点(其他调用!F$4:F$163,其他调用!$B$4:$B$163,其他调用!$C125)</f>
        <v>114.46652685727513</v>
      </c>
      <c r="W126" s="19">
        <f>求节点(其他调用!G$4:G$163,其他调用!$B$4:$B$163,其他调用!$C125)</f>
        <v>112.77557436659758</v>
      </c>
      <c r="X126" s="19">
        <f t="shared" si="44"/>
        <v>3180</v>
      </c>
      <c r="Y126" s="19">
        <f t="shared" si="45"/>
        <v>3180</v>
      </c>
      <c r="Z126" s="19">
        <f t="shared" si="46"/>
        <v>3180</v>
      </c>
      <c r="AA126" s="19">
        <f t="shared" si="47"/>
        <v>3180</v>
      </c>
      <c r="AB126" s="19">
        <f t="shared" si="48"/>
        <v>3180</v>
      </c>
      <c r="AC126" s="19">
        <f t="shared" si="49"/>
        <v>35460</v>
      </c>
      <c r="AD126" s="19">
        <f t="shared" si="50"/>
        <v>35460</v>
      </c>
      <c r="AE126" s="19">
        <f t="shared" si="51"/>
        <v>35460</v>
      </c>
      <c r="AF126" s="19">
        <f t="shared" si="52"/>
        <v>35460</v>
      </c>
      <c r="AG126" s="19">
        <f t="shared" si="53"/>
        <v>35460</v>
      </c>
      <c r="AH126" s="19">
        <f t="shared" si="54"/>
        <v>765000</v>
      </c>
      <c r="AI126" s="19">
        <f t="shared" si="55"/>
        <v>765000</v>
      </c>
      <c r="AJ126" s="19">
        <f t="shared" si="56"/>
        <v>765000</v>
      </c>
      <c r="AK126" s="19">
        <f t="shared" si="57"/>
        <v>765000</v>
      </c>
      <c r="AL126" s="19">
        <f t="shared" si="58"/>
        <v>765000</v>
      </c>
      <c r="AM126" s="19">
        <f t="shared" si="59"/>
        <v>147000</v>
      </c>
      <c r="AN126" s="19">
        <f t="shared" si="60"/>
        <v>147000</v>
      </c>
      <c r="AO126" s="19">
        <f t="shared" si="61"/>
        <v>147000</v>
      </c>
      <c r="AP126" s="19">
        <f t="shared" si="62"/>
        <v>147000</v>
      </c>
      <c r="AQ126" s="19">
        <f t="shared" si="63"/>
        <v>147000</v>
      </c>
    </row>
    <row r="127" spans="12:43" x14ac:dyDescent="0.15">
      <c r="L127" s="19">
        <v>123</v>
      </c>
      <c r="M127" s="19">
        <f t="shared" si="64"/>
        <v>3180</v>
      </c>
      <c r="N127" s="19">
        <f t="shared" si="65"/>
        <v>35460</v>
      </c>
      <c r="O127" s="19">
        <f t="shared" si="66"/>
        <v>765000</v>
      </c>
      <c r="P127" s="19">
        <f t="shared" si="67"/>
        <v>147000</v>
      </c>
      <c r="R127" s="19">
        <v>123</v>
      </c>
      <c r="S127" s="19">
        <f>求节点(其他调用!C$4:C$163,其他调用!$B$4:$B$163,其他调用!$C126)</f>
        <v>123</v>
      </c>
      <c r="T127" s="19">
        <f>求节点(其他调用!D$4:D$163,其他调用!$B$4:$B$163,其他调用!$C126)</f>
        <v>119.44490210328395</v>
      </c>
      <c r="U127" s="19">
        <f>求节点(其他调用!E$4:E$163,其他调用!$B$4:$B$163,其他调用!$C126)</f>
        <v>117.06417487262283</v>
      </c>
      <c r="V127" s="19">
        <f>求节点(其他调用!F$4:F$163,其他调用!$B$4:$B$163,其他调用!$C126)</f>
        <v>115.45535718171455</v>
      </c>
      <c r="W127" s="19">
        <f>求节点(其他调用!G$4:G$163,其他调用!$B$4:$B$163,其他调用!$C126)</f>
        <v>113.74443912781554</v>
      </c>
      <c r="X127" s="19">
        <f t="shared" si="44"/>
        <v>3180</v>
      </c>
      <c r="Y127" s="19">
        <f t="shared" si="45"/>
        <v>3180</v>
      </c>
      <c r="Z127" s="19">
        <f t="shared" si="46"/>
        <v>3180</v>
      </c>
      <c r="AA127" s="19">
        <f t="shared" si="47"/>
        <v>3180</v>
      </c>
      <c r="AB127" s="19">
        <f t="shared" si="48"/>
        <v>3180</v>
      </c>
      <c r="AC127" s="19">
        <f t="shared" si="49"/>
        <v>35460</v>
      </c>
      <c r="AD127" s="19">
        <f t="shared" si="50"/>
        <v>35460</v>
      </c>
      <c r="AE127" s="19">
        <f t="shared" si="51"/>
        <v>35460</v>
      </c>
      <c r="AF127" s="19">
        <f t="shared" si="52"/>
        <v>35460</v>
      </c>
      <c r="AG127" s="19">
        <f t="shared" si="53"/>
        <v>35460</v>
      </c>
      <c r="AH127" s="19">
        <f t="shared" si="54"/>
        <v>765000</v>
      </c>
      <c r="AI127" s="19">
        <f t="shared" si="55"/>
        <v>765000</v>
      </c>
      <c r="AJ127" s="19">
        <f t="shared" si="56"/>
        <v>765000</v>
      </c>
      <c r="AK127" s="19">
        <f t="shared" si="57"/>
        <v>765000</v>
      </c>
      <c r="AL127" s="19">
        <f t="shared" si="58"/>
        <v>765000</v>
      </c>
      <c r="AM127" s="19">
        <f t="shared" si="59"/>
        <v>147000</v>
      </c>
      <c r="AN127" s="19">
        <f t="shared" si="60"/>
        <v>147000</v>
      </c>
      <c r="AO127" s="19">
        <f t="shared" si="61"/>
        <v>147000</v>
      </c>
      <c r="AP127" s="19">
        <f t="shared" si="62"/>
        <v>147000</v>
      </c>
      <c r="AQ127" s="19">
        <f t="shared" si="63"/>
        <v>147000</v>
      </c>
    </row>
    <row r="128" spans="12:43" x14ac:dyDescent="0.15">
      <c r="L128" s="19">
        <v>124</v>
      </c>
      <c r="M128" s="19">
        <f t="shared" si="64"/>
        <v>3180</v>
      </c>
      <c r="N128" s="19">
        <f t="shared" si="65"/>
        <v>35460</v>
      </c>
      <c r="O128" s="19">
        <f t="shared" si="66"/>
        <v>765000</v>
      </c>
      <c r="P128" s="19">
        <f t="shared" si="67"/>
        <v>147000</v>
      </c>
      <c r="R128" s="19">
        <v>124</v>
      </c>
      <c r="S128" s="19">
        <f>求节点(其他调用!C$4:C$163,其他调用!$B$4:$B$163,其他调用!$C127)</f>
        <v>124</v>
      </c>
      <c r="T128" s="19">
        <f>求节点(其他调用!D$4:D$163,其他调用!$B$4:$B$163,其他调用!$C127)</f>
        <v>120.40806757850378</v>
      </c>
      <c r="U128" s="19">
        <f>求节点(其他调用!E$4:E$163,其他调用!$B$4:$B$163,其他调用!$C127)</f>
        <v>118.07727225630661</v>
      </c>
      <c r="V128" s="19">
        <f>求节点(其他调用!F$4:F$163,其他调用!$B$4:$B$163,其他调用!$C127)</f>
        <v>116.43273381392133</v>
      </c>
      <c r="W128" s="19">
        <f>求节点(其他调用!G$4:G$163,其他调用!$B$4:$B$163,其他调用!$C127)</f>
        <v>114.70003503372841</v>
      </c>
      <c r="X128" s="19">
        <f t="shared" si="44"/>
        <v>3180</v>
      </c>
      <c r="Y128" s="19">
        <f t="shared" si="45"/>
        <v>3180</v>
      </c>
      <c r="Z128" s="19">
        <f t="shared" si="46"/>
        <v>3180</v>
      </c>
      <c r="AA128" s="19">
        <f t="shared" si="47"/>
        <v>3180</v>
      </c>
      <c r="AB128" s="19">
        <f t="shared" si="48"/>
        <v>3180</v>
      </c>
      <c r="AC128" s="19">
        <f t="shared" si="49"/>
        <v>35460</v>
      </c>
      <c r="AD128" s="19">
        <f t="shared" si="50"/>
        <v>35460</v>
      </c>
      <c r="AE128" s="19">
        <f t="shared" si="51"/>
        <v>35460</v>
      </c>
      <c r="AF128" s="19">
        <f t="shared" si="52"/>
        <v>35460</v>
      </c>
      <c r="AG128" s="19">
        <f t="shared" si="53"/>
        <v>35460</v>
      </c>
      <c r="AH128" s="19">
        <f t="shared" si="54"/>
        <v>765000</v>
      </c>
      <c r="AI128" s="19">
        <f t="shared" si="55"/>
        <v>765000</v>
      </c>
      <c r="AJ128" s="19">
        <f t="shared" si="56"/>
        <v>765000</v>
      </c>
      <c r="AK128" s="19">
        <f t="shared" si="57"/>
        <v>765000</v>
      </c>
      <c r="AL128" s="19">
        <f t="shared" si="58"/>
        <v>765000</v>
      </c>
      <c r="AM128" s="19">
        <f t="shared" si="59"/>
        <v>147000</v>
      </c>
      <c r="AN128" s="19">
        <f t="shared" si="60"/>
        <v>147000</v>
      </c>
      <c r="AO128" s="19">
        <f t="shared" si="61"/>
        <v>147000</v>
      </c>
      <c r="AP128" s="19">
        <f t="shared" si="62"/>
        <v>147000</v>
      </c>
      <c r="AQ128" s="19">
        <f t="shared" si="63"/>
        <v>147000</v>
      </c>
    </row>
    <row r="129" spans="12:43" x14ac:dyDescent="0.15">
      <c r="L129" s="19">
        <v>125</v>
      </c>
      <c r="M129" s="19">
        <f t="shared" si="64"/>
        <v>3180</v>
      </c>
      <c r="N129" s="19">
        <f t="shared" si="65"/>
        <v>35460</v>
      </c>
      <c r="O129" s="19">
        <f t="shared" si="66"/>
        <v>765000</v>
      </c>
      <c r="P129" s="19">
        <f t="shared" si="67"/>
        <v>147000</v>
      </c>
      <c r="R129" s="19">
        <v>125</v>
      </c>
      <c r="S129" s="19">
        <f>求节点(其他调用!C$4:C$163,其他调用!$B$4:$B$163,其他调用!$C128)</f>
        <v>125</v>
      </c>
      <c r="T129" s="19">
        <f>求节点(其他调用!D$4:D$163,其他调用!$B$4:$B$163,其他调用!$C128)</f>
        <v>121.40557217842233</v>
      </c>
      <c r="U129" s="19">
        <f>求节点(其他调用!E$4:E$163,其他调用!$B$4:$B$163,其他调用!$C128)</f>
        <v>119.09044100700312</v>
      </c>
      <c r="V129" s="19">
        <f>求节点(其他调用!F$4:F$163,其他调用!$B$4:$B$163,其他调用!$C128)</f>
        <v>117.43111859426131</v>
      </c>
      <c r="W129" s="19">
        <f>求节点(其他调用!G$4:G$163,其他调用!$B$4:$B$163,其他调用!$C128)</f>
        <v>115.63057560413628</v>
      </c>
      <c r="X129" s="19">
        <f t="shared" si="44"/>
        <v>3180</v>
      </c>
      <c r="Y129" s="19">
        <f t="shared" si="45"/>
        <v>3180</v>
      </c>
      <c r="Z129" s="19">
        <f t="shared" si="46"/>
        <v>3180</v>
      </c>
      <c r="AA129" s="19">
        <f t="shared" si="47"/>
        <v>3180</v>
      </c>
      <c r="AB129" s="19">
        <f t="shared" si="48"/>
        <v>3180</v>
      </c>
      <c r="AC129" s="19">
        <f t="shared" si="49"/>
        <v>35460</v>
      </c>
      <c r="AD129" s="19">
        <f t="shared" si="50"/>
        <v>35460</v>
      </c>
      <c r="AE129" s="19">
        <f t="shared" si="51"/>
        <v>35460</v>
      </c>
      <c r="AF129" s="19">
        <f t="shared" si="52"/>
        <v>35460</v>
      </c>
      <c r="AG129" s="19">
        <f t="shared" si="53"/>
        <v>35460</v>
      </c>
      <c r="AH129" s="19">
        <f t="shared" si="54"/>
        <v>765000</v>
      </c>
      <c r="AI129" s="19">
        <f t="shared" si="55"/>
        <v>765000</v>
      </c>
      <c r="AJ129" s="19">
        <f t="shared" si="56"/>
        <v>765000</v>
      </c>
      <c r="AK129" s="19">
        <f t="shared" si="57"/>
        <v>765000</v>
      </c>
      <c r="AL129" s="19">
        <f t="shared" si="58"/>
        <v>765000</v>
      </c>
      <c r="AM129" s="19">
        <f t="shared" si="59"/>
        <v>147000</v>
      </c>
      <c r="AN129" s="19">
        <f t="shared" si="60"/>
        <v>147000</v>
      </c>
      <c r="AO129" s="19">
        <f t="shared" si="61"/>
        <v>147000</v>
      </c>
      <c r="AP129" s="19">
        <f t="shared" si="62"/>
        <v>147000</v>
      </c>
      <c r="AQ129" s="19">
        <f t="shared" si="63"/>
        <v>147000</v>
      </c>
    </row>
    <row r="130" spans="12:43" x14ac:dyDescent="0.15">
      <c r="L130" s="19">
        <v>126</v>
      </c>
      <c r="M130" s="19">
        <f t="shared" si="64"/>
        <v>3180</v>
      </c>
      <c r="N130" s="19">
        <f t="shared" si="65"/>
        <v>35460</v>
      </c>
      <c r="O130" s="19">
        <f t="shared" si="66"/>
        <v>765000</v>
      </c>
      <c r="P130" s="19">
        <f t="shared" si="67"/>
        <v>147000</v>
      </c>
      <c r="R130" s="19">
        <v>126</v>
      </c>
      <c r="S130" s="19">
        <f>求节点(其他调用!C$4:C$163,其他调用!$B$4:$B$163,其他调用!$C129)</f>
        <v>126</v>
      </c>
      <c r="T130" s="19">
        <f>求节点(其他调用!D$4:D$163,其他调用!$B$4:$B$163,其他调用!$C129)</f>
        <v>122.40279573201563</v>
      </c>
      <c r="U130" s="19">
        <f>求节点(其他调用!E$4:E$163,其他调用!$B$4:$B$163,其他调用!$C129)</f>
        <v>120.10818742250657</v>
      </c>
      <c r="V130" s="19">
        <f>求节点(其他调用!F$4:F$163,其他调用!$B$4:$B$163,其他调用!$C129)</f>
        <v>118.43059024874958</v>
      </c>
      <c r="W130" s="19">
        <f>求节点(其他调用!G$4:G$163,其他调用!$B$4:$B$163,其他调用!$C129)</f>
        <v>116.57631766497333</v>
      </c>
      <c r="X130" s="19">
        <f t="shared" si="44"/>
        <v>3180</v>
      </c>
      <c r="Y130" s="19">
        <f t="shared" si="45"/>
        <v>3180</v>
      </c>
      <c r="Z130" s="19">
        <f t="shared" si="46"/>
        <v>3180</v>
      </c>
      <c r="AA130" s="19">
        <f t="shared" si="47"/>
        <v>3180</v>
      </c>
      <c r="AB130" s="19">
        <f t="shared" si="48"/>
        <v>3180</v>
      </c>
      <c r="AC130" s="19">
        <f t="shared" si="49"/>
        <v>35460</v>
      </c>
      <c r="AD130" s="19">
        <f t="shared" si="50"/>
        <v>35460</v>
      </c>
      <c r="AE130" s="19">
        <f t="shared" si="51"/>
        <v>35460</v>
      </c>
      <c r="AF130" s="19">
        <f t="shared" si="52"/>
        <v>35460</v>
      </c>
      <c r="AG130" s="19">
        <f t="shared" si="53"/>
        <v>35460</v>
      </c>
      <c r="AH130" s="19">
        <f t="shared" si="54"/>
        <v>765000</v>
      </c>
      <c r="AI130" s="19">
        <f t="shared" si="55"/>
        <v>765000</v>
      </c>
      <c r="AJ130" s="19">
        <f t="shared" si="56"/>
        <v>765000</v>
      </c>
      <c r="AK130" s="19">
        <f t="shared" si="57"/>
        <v>765000</v>
      </c>
      <c r="AL130" s="19">
        <f t="shared" si="58"/>
        <v>765000</v>
      </c>
      <c r="AM130" s="19">
        <f t="shared" si="59"/>
        <v>147000</v>
      </c>
      <c r="AN130" s="19">
        <f t="shared" si="60"/>
        <v>147000</v>
      </c>
      <c r="AO130" s="19">
        <f t="shared" si="61"/>
        <v>147000</v>
      </c>
      <c r="AP130" s="19">
        <f t="shared" si="62"/>
        <v>147000</v>
      </c>
      <c r="AQ130" s="19">
        <f t="shared" si="63"/>
        <v>147000</v>
      </c>
    </row>
    <row r="131" spans="12:43" x14ac:dyDescent="0.15">
      <c r="L131" s="19">
        <v>127</v>
      </c>
      <c r="M131" s="19">
        <f t="shared" si="64"/>
        <v>3180</v>
      </c>
      <c r="N131" s="19">
        <f t="shared" si="65"/>
        <v>35460</v>
      </c>
      <c r="O131" s="19">
        <f t="shared" si="66"/>
        <v>765000</v>
      </c>
      <c r="P131" s="19">
        <f t="shared" si="67"/>
        <v>147000</v>
      </c>
      <c r="R131" s="19">
        <v>127</v>
      </c>
      <c r="S131" s="19">
        <f>求节点(其他调用!C$4:C$163,其他调用!$B$4:$B$163,其他调用!$C130)</f>
        <v>127</v>
      </c>
      <c r="T131" s="19">
        <f>求节点(其他调用!D$4:D$163,其他调用!$B$4:$B$163,其他调用!$C130)</f>
        <v>123.37869779329128</v>
      </c>
      <c r="U131" s="19">
        <f>求节点(其他调用!E$4:E$163,其他调用!$B$4:$B$163,其他调用!$C130)</f>
        <v>121.15065780245514</v>
      </c>
      <c r="V131" s="19">
        <f>求节点(其他调用!F$4:F$163,其他调用!$B$4:$B$163,其他调用!$C130)</f>
        <v>119.426908998128</v>
      </c>
      <c r="W131" s="19">
        <f>求节点(其他调用!G$4:G$163,其他调用!$B$4:$B$163,其他调用!$C130)</f>
        <v>117.53280845153212</v>
      </c>
      <c r="X131" s="19">
        <f t="shared" si="44"/>
        <v>3180</v>
      </c>
      <c r="Y131" s="19">
        <f t="shared" si="45"/>
        <v>3180</v>
      </c>
      <c r="Z131" s="19">
        <f t="shared" si="46"/>
        <v>3180</v>
      </c>
      <c r="AA131" s="19">
        <f t="shared" si="47"/>
        <v>3180</v>
      </c>
      <c r="AB131" s="19">
        <f t="shared" si="48"/>
        <v>3180</v>
      </c>
      <c r="AC131" s="19">
        <f t="shared" si="49"/>
        <v>35460</v>
      </c>
      <c r="AD131" s="19">
        <f t="shared" si="50"/>
        <v>35460</v>
      </c>
      <c r="AE131" s="19">
        <f t="shared" si="51"/>
        <v>35460</v>
      </c>
      <c r="AF131" s="19">
        <f t="shared" si="52"/>
        <v>35460</v>
      </c>
      <c r="AG131" s="19">
        <f t="shared" si="53"/>
        <v>35460</v>
      </c>
      <c r="AH131" s="19">
        <f t="shared" si="54"/>
        <v>765000</v>
      </c>
      <c r="AI131" s="19">
        <f t="shared" si="55"/>
        <v>765000</v>
      </c>
      <c r="AJ131" s="19">
        <f t="shared" si="56"/>
        <v>765000</v>
      </c>
      <c r="AK131" s="19">
        <f t="shared" si="57"/>
        <v>765000</v>
      </c>
      <c r="AL131" s="19">
        <f t="shared" si="58"/>
        <v>765000</v>
      </c>
      <c r="AM131" s="19">
        <f t="shared" si="59"/>
        <v>147000</v>
      </c>
      <c r="AN131" s="19">
        <f t="shared" si="60"/>
        <v>147000</v>
      </c>
      <c r="AO131" s="19">
        <f t="shared" si="61"/>
        <v>147000</v>
      </c>
      <c r="AP131" s="19">
        <f t="shared" si="62"/>
        <v>147000</v>
      </c>
      <c r="AQ131" s="19">
        <f t="shared" si="63"/>
        <v>147000</v>
      </c>
    </row>
    <row r="132" spans="12:43" x14ac:dyDescent="0.15">
      <c r="L132" s="19">
        <v>128</v>
      </c>
      <c r="M132" s="19">
        <f t="shared" si="64"/>
        <v>3180</v>
      </c>
      <c r="N132" s="19">
        <f t="shared" si="65"/>
        <v>35460</v>
      </c>
      <c r="O132" s="19">
        <f t="shared" si="66"/>
        <v>765000</v>
      </c>
      <c r="P132" s="19">
        <f t="shared" si="67"/>
        <v>147000</v>
      </c>
      <c r="R132" s="19">
        <v>128</v>
      </c>
      <c r="S132" s="19">
        <f>求节点(其他调用!C$4:C$163,其他调用!$B$4:$B$163,其他调用!$C131)</f>
        <v>128</v>
      </c>
      <c r="T132" s="19">
        <f>求节点(其他调用!D$4:D$163,其他调用!$B$4:$B$163,其他调用!$C131)</f>
        <v>124.37604766679551</v>
      </c>
      <c r="U132" s="19">
        <f>求节点(其他调用!E$4:E$163,其他调用!$B$4:$B$163,其他调用!$C131)</f>
        <v>122.1912292144637</v>
      </c>
      <c r="V132" s="19">
        <f>求节点(其他调用!F$4:F$163,其他调用!$B$4:$B$163,其他调用!$C131)</f>
        <v>120.44294392822982</v>
      </c>
      <c r="W132" s="19">
        <f>求节点(其他调用!G$4:G$163,其他调用!$B$4:$B$163,其他调用!$C131)</f>
        <v>118.51804104363649</v>
      </c>
      <c r="X132" s="19">
        <f t="shared" si="44"/>
        <v>3180</v>
      </c>
      <c r="Y132" s="19">
        <f t="shared" si="45"/>
        <v>3180</v>
      </c>
      <c r="Z132" s="19">
        <f t="shared" si="46"/>
        <v>3180</v>
      </c>
      <c r="AA132" s="19">
        <f t="shared" si="47"/>
        <v>3180</v>
      </c>
      <c r="AB132" s="19">
        <f t="shared" si="48"/>
        <v>3180</v>
      </c>
      <c r="AC132" s="19">
        <f t="shared" si="49"/>
        <v>35460</v>
      </c>
      <c r="AD132" s="19">
        <f t="shared" si="50"/>
        <v>35460</v>
      </c>
      <c r="AE132" s="19">
        <f t="shared" si="51"/>
        <v>35460</v>
      </c>
      <c r="AF132" s="19">
        <f t="shared" si="52"/>
        <v>35460</v>
      </c>
      <c r="AG132" s="19">
        <f t="shared" si="53"/>
        <v>35460</v>
      </c>
      <c r="AH132" s="19">
        <f t="shared" si="54"/>
        <v>765000</v>
      </c>
      <c r="AI132" s="19">
        <f t="shared" si="55"/>
        <v>765000</v>
      </c>
      <c r="AJ132" s="19">
        <f t="shared" si="56"/>
        <v>765000</v>
      </c>
      <c r="AK132" s="19">
        <f t="shared" si="57"/>
        <v>765000</v>
      </c>
      <c r="AL132" s="19">
        <f t="shared" si="58"/>
        <v>765000</v>
      </c>
      <c r="AM132" s="19">
        <f t="shared" si="59"/>
        <v>147000</v>
      </c>
      <c r="AN132" s="19">
        <f t="shared" si="60"/>
        <v>147000</v>
      </c>
      <c r="AO132" s="19">
        <f t="shared" si="61"/>
        <v>147000</v>
      </c>
      <c r="AP132" s="19">
        <f t="shared" si="62"/>
        <v>147000</v>
      </c>
      <c r="AQ132" s="19">
        <f t="shared" si="63"/>
        <v>147000</v>
      </c>
    </row>
    <row r="133" spans="12:43" x14ac:dyDescent="0.15">
      <c r="L133" s="19">
        <v>129</v>
      </c>
      <c r="M133" s="19">
        <f t="shared" ref="M133:M164" si="68">求节点($AY$5:$AY$46,BC$5:BC$46,$L133)+求节点($BK$5:$BK$10,$BN$5:$BN$10,$L133)+求节点($BT$21:$BT$23,$BU$21:$BU$23,$L133)*240+求节点($BT$21:$BT$23,$BV$21:$BV$23,$L133)+求节点($CC$5:$CC$7,$CF$5:$CF$7,$L133)*240</f>
        <v>3180</v>
      </c>
      <c r="N133" s="19">
        <f t="shared" ref="N133:N164" si="69">求节点($AY$5:$AY$46,BD$5:BD$46,$L133)+求节点($CC$5:$CC$7,$CG$5:$CG$7,$L133)</f>
        <v>35460</v>
      </c>
      <c r="O133" s="19">
        <f t="shared" ref="O133:O164" si="70">求节点($AY$5:$AY$46,BE$5:BE$46,$L133)+求节点($BT$21:$BT$23,$BW$21:$BW$23,$L133)</f>
        <v>765000</v>
      </c>
      <c r="P133" s="19">
        <f t="shared" ref="P133:P164" si="71">求节点($BK$5:$BK$10,$BO$5:$BO$10,$L133)+求节点($BT$21:$BT$23,$BX$21:$BX$23,$L133)</f>
        <v>147000</v>
      </c>
      <c r="R133" s="19">
        <v>129</v>
      </c>
      <c r="S133" s="19">
        <f>求节点(其他调用!C$4:C$163,其他调用!$B$4:$B$163,其他调用!$C132)</f>
        <v>129</v>
      </c>
      <c r="T133" s="19">
        <f>求节点(其他调用!D$4:D$163,其他调用!$B$4:$B$163,其他调用!$C132)</f>
        <v>125.39008702035792</v>
      </c>
      <c r="U133" s="19">
        <f>求节点(其他调用!E$4:E$163,其他调用!$B$4:$B$163,其他调用!$C132)</f>
        <v>123.2234297240427</v>
      </c>
      <c r="V133" s="19">
        <f>求节点(其他调用!F$4:F$163,其他调用!$B$4:$B$163,其他调用!$C132)</f>
        <v>121.44194219170525</v>
      </c>
      <c r="W133" s="19">
        <f>求节点(其他调用!G$4:G$163,其他调用!$B$4:$B$163,其他调用!$C132)</f>
        <v>119.49767840514546</v>
      </c>
      <c r="X133" s="19">
        <f t="shared" si="44"/>
        <v>3180</v>
      </c>
      <c r="Y133" s="19">
        <f t="shared" si="45"/>
        <v>3180</v>
      </c>
      <c r="Z133" s="19">
        <f t="shared" si="46"/>
        <v>3180</v>
      </c>
      <c r="AA133" s="19">
        <f t="shared" si="47"/>
        <v>3180</v>
      </c>
      <c r="AB133" s="19">
        <f t="shared" si="48"/>
        <v>3180</v>
      </c>
      <c r="AC133" s="19">
        <f t="shared" si="49"/>
        <v>35460</v>
      </c>
      <c r="AD133" s="19">
        <f t="shared" si="50"/>
        <v>35460</v>
      </c>
      <c r="AE133" s="19">
        <f t="shared" si="51"/>
        <v>35460</v>
      </c>
      <c r="AF133" s="19">
        <f t="shared" si="52"/>
        <v>35460</v>
      </c>
      <c r="AG133" s="19">
        <f t="shared" si="53"/>
        <v>35460</v>
      </c>
      <c r="AH133" s="19">
        <f t="shared" si="54"/>
        <v>765000</v>
      </c>
      <c r="AI133" s="19">
        <f t="shared" si="55"/>
        <v>765000</v>
      </c>
      <c r="AJ133" s="19">
        <f t="shared" si="56"/>
        <v>765000</v>
      </c>
      <c r="AK133" s="19">
        <f t="shared" si="57"/>
        <v>765000</v>
      </c>
      <c r="AL133" s="19">
        <f t="shared" si="58"/>
        <v>765000</v>
      </c>
      <c r="AM133" s="19">
        <f t="shared" si="59"/>
        <v>147000</v>
      </c>
      <c r="AN133" s="19">
        <f t="shared" si="60"/>
        <v>147000</v>
      </c>
      <c r="AO133" s="19">
        <f t="shared" si="61"/>
        <v>147000</v>
      </c>
      <c r="AP133" s="19">
        <f t="shared" si="62"/>
        <v>147000</v>
      </c>
      <c r="AQ133" s="19">
        <f t="shared" si="63"/>
        <v>147000</v>
      </c>
    </row>
    <row r="134" spans="12:43" x14ac:dyDescent="0.15">
      <c r="L134" s="19">
        <v>130</v>
      </c>
      <c r="M134" s="19">
        <f t="shared" si="68"/>
        <v>3180</v>
      </c>
      <c r="N134" s="19">
        <f t="shared" si="69"/>
        <v>35460</v>
      </c>
      <c r="O134" s="19">
        <f t="shared" si="70"/>
        <v>765000</v>
      </c>
      <c r="P134" s="19">
        <f t="shared" si="71"/>
        <v>147000</v>
      </c>
      <c r="R134" s="19">
        <v>130</v>
      </c>
      <c r="S134" s="19">
        <f>求节点(其他调用!C$4:C$163,其他调用!$B$4:$B$163,其他调用!$C133)</f>
        <v>130</v>
      </c>
      <c r="T134" s="19">
        <f>求节点(其他调用!D$4:D$163,其他调用!$B$4:$B$163,其他调用!$C133)</f>
        <v>126.442271925843</v>
      </c>
      <c r="U134" s="19">
        <f>求节点(其他调用!E$4:E$163,其他调用!$B$4:$B$163,其他调用!$C133)</f>
        <v>124.27992038557491</v>
      </c>
      <c r="V134" s="19">
        <f>求节点(其他调用!F$4:F$163,其他调用!$B$4:$B$163,其他调用!$C133)</f>
        <v>122.44763097872551</v>
      </c>
      <c r="W134" s="19">
        <f>求节点(其他调用!G$4:G$163,其他调用!$B$4:$B$163,其他调用!$C133)</f>
        <v>120.47367909004107</v>
      </c>
      <c r="X134" s="19">
        <f t="shared" ref="X134:X164" si="72">求节点(S$5:S$164,$M$5:$M$164,$R134)</f>
        <v>3180</v>
      </c>
      <c r="Y134" s="19">
        <f t="shared" ref="Y134:Y164" si="73">求节点(T$5:T$164,$M$5:$M$164,$R134)</f>
        <v>3180</v>
      </c>
      <c r="Z134" s="19">
        <f t="shared" ref="Z134:Z164" si="74">求节点(U$5:U$164,$M$5:$M$164,$R134)</f>
        <v>3180</v>
      </c>
      <c r="AA134" s="19">
        <f t="shared" ref="AA134:AA164" si="75">求节点(V$5:V$164,$M$5:$M$164,$R134)</f>
        <v>3180</v>
      </c>
      <c r="AB134" s="19">
        <f t="shared" ref="AB134:AB164" si="76">求节点(W$5:W$164,$M$5:$M$164,$R134)</f>
        <v>3180</v>
      </c>
      <c r="AC134" s="19">
        <f t="shared" ref="AC134:AC164" si="77">求节点(S$5:S$164,$N$5:$N$164,$R134)</f>
        <v>35460</v>
      </c>
      <c r="AD134" s="19">
        <f t="shared" ref="AD134:AD164" si="78">求节点(T$5:T$164,$N$5:$N$164,$R134)</f>
        <v>35460</v>
      </c>
      <c r="AE134" s="19">
        <f t="shared" ref="AE134:AE164" si="79">求节点(U$5:U$164,$N$5:$N$164,$R134)</f>
        <v>35460</v>
      </c>
      <c r="AF134" s="19">
        <f t="shared" ref="AF134:AF164" si="80">求节点(V$5:V$164,$N$5:$N$164,$R134)</f>
        <v>35460</v>
      </c>
      <c r="AG134" s="19">
        <f t="shared" ref="AG134:AG164" si="81">求节点(W$5:W$164,$N$5:$N$164,$R134)</f>
        <v>35460</v>
      </c>
      <c r="AH134" s="19">
        <f t="shared" ref="AH134:AH164" si="82">求节点(S$5:S$164,$O$5:$O$164,$R134)</f>
        <v>765000</v>
      </c>
      <c r="AI134" s="19">
        <f t="shared" ref="AI134:AI164" si="83">求节点(T$5:T$164,$O$5:$O$164,$R134)</f>
        <v>765000</v>
      </c>
      <c r="AJ134" s="19">
        <f t="shared" ref="AJ134:AJ164" si="84">求节点(U$5:U$164,$O$5:$O$164,$R134)</f>
        <v>765000</v>
      </c>
      <c r="AK134" s="19">
        <f t="shared" ref="AK134:AK164" si="85">求节点(V$5:V$164,$O$5:$O$164,$R134)</f>
        <v>765000</v>
      </c>
      <c r="AL134" s="19">
        <f t="shared" ref="AL134:AL164" si="86">求节点(W$5:W$164,$O$5:$O$164,$R134)</f>
        <v>765000</v>
      </c>
      <c r="AM134" s="19">
        <f t="shared" ref="AM134:AM164" si="87">求节点(S$5:S$164,$P$5:$P$164,$R134)</f>
        <v>147000</v>
      </c>
      <c r="AN134" s="19">
        <f t="shared" ref="AN134:AN164" si="88">求节点(T$5:T$164,$P$5:$P$164,$R134)</f>
        <v>147000</v>
      </c>
      <c r="AO134" s="19">
        <f t="shared" ref="AO134:AO164" si="89">求节点(U$5:U$164,$P$5:$P$164,$R134)</f>
        <v>147000</v>
      </c>
      <c r="AP134" s="19">
        <f t="shared" ref="AP134:AP164" si="90">求节点(V$5:V$164,$P$5:$P$164,$R134)</f>
        <v>147000</v>
      </c>
      <c r="AQ134" s="19">
        <f t="shared" ref="AQ134:AQ164" si="91">求节点(W$5:W$164,$P$5:$P$164,$R134)</f>
        <v>147000</v>
      </c>
    </row>
    <row r="135" spans="12:43" x14ac:dyDescent="0.15">
      <c r="L135" s="19">
        <v>131</v>
      </c>
      <c r="M135" s="19">
        <f t="shared" si="68"/>
        <v>3180</v>
      </c>
      <c r="N135" s="19">
        <f t="shared" si="69"/>
        <v>35460</v>
      </c>
      <c r="O135" s="19">
        <f t="shared" si="70"/>
        <v>765000</v>
      </c>
      <c r="P135" s="19">
        <f t="shared" si="71"/>
        <v>147000</v>
      </c>
      <c r="R135" s="19">
        <v>131</v>
      </c>
      <c r="S135" s="19">
        <f>求节点(其他调用!C$4:C$163,其他调用!$B$4:$B$163,其他调用!$C134)</f>
        <v>131</v>
      </c>
      <c r="T135" s="19">
        <f>求节点(其他调用!D$4:D$163,其他调用!$B$4:$B$163,其他调用!$C134)</f>
        <v>127.43347764737698</v>
      </c>
      <c r="U135" s="19">
        <f>求节点(其他调用!E$4:E$163,其他调用!$B$4:$B$163,其他调用!$C134)</f>
        <v>125.30043039617895</v>
      </c>
      <c r="V135" s="19">
        <f>求节点(其他调用!F$4:F$163,其他调用!$B$4:$B$163,其他调用!$C134)</f>
        <v>123.39379159376823</v>
      </c>
      <c r="W135" s="19">
        <f>求节点(其他调用!G$4:G$163,其他调用!$B$4:$B$163,其他调用!$C134)</f>
        <v>121.37374330893016</v>
      </c>
      <c r="X135" s="19">
        <f t="shared" si="72"/>
        <v>3180</v>
      </c>
      <c r="Y135" s="19">
        <f t="shared" si="73"/>
        <v>3180</v>
      </c>
      <c r="Z135" s="19">
        <f t="shared" si="74"/>
        <v>3180</v>
      </c>
      <c r="AA135" s="19">
        <f t="shared" si="75"/>
        <v>3180</v>
      </c>
      <c r="AB135" s="19">
        <f t="shared" si="76"/>
        <v>3180</v>
      </c>
      <c r="AC135" s="19">
        <f t="shared" si="77"/>
        <v>35460</v>
      </c>
      <c r="AD135" s="19">
        <f t="shared" si="78"/>
        <v>35460</v>
      </c>
      <c r="AE135" s="19">
        <f t="shared" si="79"/>
        <v>35460</v>
      </c>
      <c r="AF135" s="19">
        <f t="shared" si="80"/>
        <v>35460</v>
      </c>
      <c r="AG135" s="19">
        <f t="shared" si="81"/>
        <v>35460</v>
      </c>
      <c r="AH135" s="19">
        <f t="shared" si="82"/>
        <v>765000</v>
      </c>
      <c r="AI135" s="19">
        <f t="shared" si="83"/>
        <v>765000</v>
      </c>
      <c r="AJ135" s="19">
        <f t="shared" si="84"/>
        <v>765000</v>
      </c>
      <c r="AK135" s="19">
        <f t="shared" si="85"/>
        <v>765000</v>
      </c>
      <c r="AL135" s="19">
        <f t="shared" si="86"/>
        <v>765000</v>
      </c>
      <c r="AM135" s="19">
        <f t="shared" si="87"/>
        <v>147000</v>
      </c>
      <c r="AN135" s="19">
        <f t="shared" si="88"/>
        <v>147000</v>
      </c>
      <c r="AO135" s="19">
        <f t="shared" si="89"/>
        <v>147000</v>
      </c>
      <c r="AP135" s="19">
        <f t="shared" si="90"/>
        <v>147000</v>
      </c>
      <c r="AQ135" s="19">
        <f t="shared" si="91"/>
        <v>147000</v>
      </c>
    </row>
    <row r="136" spans="12:43" x14ac:dyDescent="0.15">
      <c r="L136" s="19">
        <v>132</v>
      </c>
      <c r="M136" s="19">
        <f t="shared" si="68"/>
        <v>3180</v>
      </c>
      <c r="N136" s="19">
        <f t="shared" si="69"/>
        <v>35460</v>
      </c>
      <c r="O136" s="19">
        <f t="shared" si="70"/>
        <v>765000</v>
      </c>
      <c r="P136" s="19">
        <f t="shared" si="71"/>
        <v>147000</v>
      </c>
      <c r="R136" s="19">
        <v>132</v>
      </c>
      <c r="S136" s="19">
        <f>求节点(其他调用!C$4:C$163,其他调用!$B$4:$B$163,其他调用!$C135)</f>
        <v>132</v>
      </c>
      <c r="T136" s="19">
        <f>求节点(其他调用!D$4:D$163,其他调用!$B$4:$B$163,其他调用!$C135)</f>
        <v>128.44454268280265</v>
      </c>
      <c r="U136" s="19">
        <f>求节点(其他调用!E$4:E$163,其他调用!$B$4:$B$163,其他调用!$C135)</f>
        <v>126.32326156168494</v>
      </c>
      <c r="V136" s="19">
        <f>求节点(其他调用!F$4:F$163,其他调用!$B$4:$B$163,其他调用!$C135)</f>
        <v>124.37493524674548</v>
      </c>
      <c r="W136" s="19">
        <f>求节点(其他调用!G$4:G$163,其他调用!$B$4:$B$163,其他调用!$C135)</f>
        <v>122.28858813216901</v>
      </c>
      <c r="X136" s="19">
        <f t="shared" si="72"/>
        <v>3180</v>
      </c>
      <c r="Y136" s="19">
        <f t="shared" si="73"/>
        <v>3180</v>
      </c>
      <c r="Z136" s="19">
        <f t="shared" si="74"/>
        <v>3180</v>
      </c>
      <c r="AA136" s="19">
        <f t="shared" si="75"/>
        <v>3180</v>
      </c>
      <c r="AB136" s="19">
        <f t="shared" si="76"/>
        <v>3180</v>
      </c>
      <c r="AC136" s="19">
        <f t="shared" si="77"/>
        <v>35460</v>
      </c>
      <c r="AD136" s="19">
        <f t="shared" si="78"/>
        <v>35460</v>
      </c>
      <c r="AE136" s="19">
        <f t="shared" si="79"/>
        <v>35460</v>
      </c>
      <c r="AF136" s="19">
        <f t="shared" si="80"/>
        <v>35460</v>
      </c>
      <c r="AG136" s="19">
        <f t="shared" si="81"/>
        <v>35460</v>
      </c>
      <c r="AH136" s="19">
        <f t="shared" si="82"/>
        <v>765000</v>
      </c>
      <c r="AI136" s="19">
        <f t="shared" si="83"/>
        <v>765000</v>
      </c>
      <c r="AJ136" s="19">
        <f t="shared" si="84"/>
        <v>765000</v>
      </c>
      <c r="AK136" s="19">
        <f t="shared" si="85"/>
        <v>765000</v>
      </c>
      <c r="AL136" s="19">
        <f t="shared" si="86"/>
        <v>765000</v>
      </c>
      <c r="AM136" s="19">
        <f t="shared" si="87"/>
        <v>147000</v>
      </c>
      <c r="AN136" s="19">
        <f t="shared" si="88"/>
        <v>147000</v>
      </c>
      <c r="AO136" s="19">
        <f t="shared" si="89"/>
        <v>147000</v>
      </c>
      <c r="AP136" s="19">
        <f t="shared" si="90"/>
        <v>147000</v>
      </c>
      <c r="AQ136" s="19">
        <f t="shared" si="91"/>
        <v>147000</v>
      </c>
    </row>
    <row r="137" spans="12:43" x14ac:dyDescent="0.15">
      <c r="L137" s="19">
        <v>133</v>
      </c>
      <c r="M137" s="19">
        <f t="shared" si="68"/>
        <v>3180</v>
      </c>
      <c r="N137" s="19">
        <f t="shared" si="69"/>
        <v>35460</v>
      </c>
      <c r="O137" s="19">
        <f t="shared" si="70"/>
        <v>765000</v>
      </c>
      <c r="P137" s="19">
        <f t="shared" si="71"/>
        <v>147000</v>
      </c>
      <c r="R137" s="19">
        <v>133</v>
      </c>
      <c r="S137" s="19">
        <f>求节点(其他调用!C$4:C$163,其他调用!$B$4:$B$163,其他调用!$C136)</f>
        <v>133</v>
      </c>
      <c r="T137" s="19">
        <f>求节点(其他调用!D$4:D$163,其他调用!$B$4:$B$163,其他调用!$C136)</f>
        <v>129.43729012526885</v>
      </c>
      <c r="U137" s="19">
        <f>求节点(其他调用!E$4:E$163,其他调用!$B$4:$B$163,其他调用!$C136)</f>
        <v>127.30198280775585</v>
      </c>
      <c r="V137" s="19">
        <f>求节点(其他调用!F$4:F$163,其他调用!$B$4:$B$163,其他调用!$C136)</f>
        <v>125.33789625178477</v>
      </c>
      <c r="W137" s="19">
        <f>求节点(其他调用!G$4:G$163,其他调用!$B$4:$B$163,其他调用!$C136)</f>
        <v>123.20672719849763</v>
      </c>
      <c r="X137" s="19">
        <f t="shared" si="72"/>
        <v>3180</v>
      </c>
      <c r="Y137" s="19">
        <f t="shared" si="73"/>
        <v>3180</v>
      </c>
      <c r="Z137" s="19">
        <f t="shared" si="74"/>
        <v>3180</v>
      </c>
      <c r="AA137" s="19">
        <f t="shared" si="75"/>
        <v>3180</v>
      </c>
      <c r="AB137" s="19">
        <f t="shared" si="76"/>
        <v>3180</v>
      </c>
      <c r="AC137" s="19">
        <f t="shared" si="77"/>
        <v>35460</v>
      </c>
      <c r="AD137" s="19">
        <f t="shared" si="78"/>
        <v>35460</v>
      </c>
      <c r="AE137" s="19">
        <f t="shared" si="79"/>
        <v>35460</v>
      </c>
      <c r="AF137" s="19">
        <f t="shared" si="80"/>
        <v>35460</v>
      </c>
      <c r="AG137" s="19">
        <f t="shared" si="81"/>
        <v>35460</v>
      </c>
      <c r="AH137" s="19">
        <f t="shared" si="82"/>
        <v>765000</v>
      </c>
      <c r="AI137" s="19">
        <f t="shared" si="83"/>
        <v>765000</v>
      </c>
      <c r="AJ137" s="19">
        <f t="shared" si="84"/>
        <v>765000</v>
      </c>
      <c r="AK137" s="19">
        <f t="shared" si="85"/>
        <v>765000</v>
      </c>
      <c r="AL137" s="19">
        <f t="shared" si="86"/>
        <v>765000</v>
      </c>
      <c r="AM137" s="19">
        <f t="shared" si="87"/>
        <v>147000</v>
      </c>
      <c r="AN137" s="19">
        <f t="shared" si="88"/>
        <v>147000</v>
      </c>
      <c r="AO137" s="19">
        <f t="shared" si="89"/>
        <v>147000</v>
      </c>
      <c r="AP137" s="19">
        <f t="shared" si="90"/>
        <v>147000</v>
      </c>
      <c r="AQ137" s="19">
        <f t="shared" si="91"/>
        <v>147000</v>
      </c>
    </row>
    <row r="138" spans="12:43" x14ac:dyDescent="0.15">
      <c r="L138" s="19">
        <v>134</v>
      </c>
      <c r="M138" s="19">
        <f t="shared" si="68"/>
        <v>3180</v>
      </c>
      <c r="N138" s="19">
        <f t="shared" si="69"/>
        <v>35460</v>
      </c>
      <c r="O138" s="19">
        <f t="shared" si="70"/>
        <v>765000</v>
      </c>
      <c r="P138" s="19">
        <f t="shared" si="71"/>
        <v>147000</v>
      </c>
      <c r="R138" s="19">
        <v>134</v>
      </c>
      <c r="S138" s="19">
        <f>求节点(其他调用!C$4:C$163,其他调用!$B$4:$B$163,其他调用!$C137)</f>
        <v>134</v>
      </c>
      <c r="T138" s="19">
        <f>求节点(其他调用!D$4:D$163,其他调用!$B$4:$B$163,其他调用!$C137)</f>
        <v>130.46022940470286</v>
      </c>
      <c r="U138" s="19">
        <f>求节点(其他调用!E$4:E$163,其他调用!$B$4:$B$163,其他调用!$C137)</f>
        <v>128.26967620789154</v>
      </c>
      <c r="V138" s="19">
        <f>求节点(其他调用!F$4:F$163,其他调用!$B$4:$B$163,其他调用!$C137)</f>
        <v>126.28334875905965</v>
      </c>
      <c r="W138" s="19">
        <f>求节点(其他调用!G$4:G$163,其他调用!$B$4:$B$163,其他调用!$C137)</f>
        <v>124.13090226660829</v>
      </c>
      <c r="X138" s="19">
        <f t="shared" si="72"/>
        <v>3180</v>
      </c>
      <c r="Y138" s="19">
        <f t="shared" si="73"/>
        <v>3180</v>
      </c>
      <c r="Z138" s="19">
        <f t="shared" si="74"/>
        <v>3180</v>
      </c>
      <c r="AA138" s="19">
        <f t="shared" si="75"/>
        <v>3180</v>
      </c>
      <c r="AB138" s="19">
        <f t="shared" si="76"/>
        <v>3180</v>
      </c>
      <c r="AC138" s="19">
        <f t="shared" si="77"/>
        <v>35460</v>
      </c>
      <c r="AD138" s="19">
        <f t="shared" si="78"/>
        <v>35460</v>
      </c>
      <c r="AE138" s="19">
        <f t="shared" si="79"/>
        <v>35460</v>
      </c>
      <c r="AF138" s="19">
        <f t="shared" si="80"/>
        <v>35460</v>
      </c>
      <c r="AG138" s="19">
        <f t="shared" si="81"/>
        <v>35460</v>
      </c>
      <c r="AH138" s="19">
        <f t="shared" si="82"/>
        <v>765000</v>
      </c>
      <c r="AI138" s="19">
        <f t="shared" si="83"/>
        <v>765000</v>
      </c>
      <c r="AJ138" s="19">
        <f t="shared" si="84"/>
        <v>765000</v>
      </c>
      <c r="AK138" s="19">
        <f t="shared" si="85"/>
        <v>765000</v>
      </c>
      <c r="AL138" s="19">
        <f t="shared" si="86"/>
        <v>765000</v>
      </c>
      <c r="AM138" s="19">
        <f t="shared" si="87"/>
        <v>147000</v>
      </c>
      <c r="AN138" s="19">
        <f t="shared" si="88"/>
        <v>147000</v>
      </c>
      <c r="AO138" s="19">
        <f t="shared" si="89"/>
        <v>147000</v>
      </c>
      <c r="AP138" s="19">
        <f t="shared" si="90"/>
        <v>147000</v>
      </c>
      <c r="AQ138" s="19">
        <f t="shared" si="91"/>
        <v>147000</v>
      </c>
    </row>
    <row r="139" spans="12:43" x14ac:dyDescent="0.15">
      <c r="L139" s="19">
        <v>135</v>
      </c>
      <c r="M139" s="19">
        <f t="shared" si="68"/>
        <v>3180</v>
      </c>
      <c r="N139" s="19">
        <f t="shared" si="69"/>
        <v>35460</v>
      </c>
      <c r="O139" s="19">
        <f t="shared" si="70"/>
        <v>765000</v>
      </c>
      <c r="P139" s="19">
        <f t="shared" si="71"/>
        <v>147000</v>
      </c>
      <c r="R139" s="19">
        <v>135</v>
      </c>
      <c r="S139" s="19">
        <f>求节点(其他调用!C$4:C$163,其他调用!$B$4:$B$163,其他调用!$C138)</f>
        <v>135</v>
      </c>
      <c r="T139" s="19">
        <f>求节点(其他调用!D$4:D$163,其他调用!$B$4:$B$163,其他调用!$C138)</f>
        <v>131.43182101677451</v>
      </c>
      <c r="U139" s="19">
        <f>求节点(其他调用!E$4:E$163,其他调用!$B$4:$B$163,其他调用!$C138)</f>
        <v>129.15328420215315</v>
      </c>
      <c r="V139" s="19">
        <f>求节点(其他调用!F$4:F$163,其他调用!$B$4:$B$163,其他调用!$C138)</f>
        <v>127.14845536110072</v>
      </c>
      <c r="W139" s="19">
        <f>求节点(其他调用!G$4:G$163,其他调用!$B$4:$B$163,其他调用!$C138)</f>
        <v>124.96212830187176</v>
      </c>
      <c r="X139" s="19">
        <f t="shared" si="72"/>
        <v>3180</v>
      </c>
      <c r="Y139" s="19">
        <f t="shared" si="73"/>
        <v>3180</v>
      </c>
      <c r="Z139" s="19">
        <f t="shared" si="74"/>
        <v>3180</v>
      </c>
      <c r="AA139" s="19">
        <f t="shared" si="75"/>
        <v>3180</v>
      </c>
      <c r="AB139" s="19">
        <f t="shared" si="76"/>
        <v>3180</v>
      </c>
      <c r="AC139" s="19">
        <f t="shared" si="77"/>
        <v>35460</v>
      </c>
      <c r="AD139" s="19">
        <f t="shared" si="78"/>
        <v>35460</v>
      </c>
      <c r="AE139" s="19">
        <f t="shared" si="79"/>
        <v>35460</v>
      </c>
      <c r="AF139" s="19">
        <f t="shared" si="80"/>
        <v>35460</v>
      </c>
      <c r="AG139" s="19">
        <f t="shared" si="81"/>
        <v>35460</v>
      </c>
      <c r="AH139" s="19">
        <f t="shared" si="82"/>
        <v>765000</v>
      </c>
      <c r="AI139" s="19">
        <f t="shared" si="83"/>
        <v>765000</v>
      </c>
      <c r="AJ139" s="19">
        <f t="shared" si="84"/>
        <v>765000</v>
      </c>
      <c r="AK139" s="19">
        <f t="shared" si="85"/>
        <v>765000</v>
      </c>
      <c r="AL139" s="19">
        <f t="shared" si="86"/>
        <v>765000</v>
      </c>
      <c r="AM139" s="19">
        <f t="shared" si="87"/>
        <v>147000</v>
      </c>
      <c r="AN139" s="19">
        <f t="shared" si="88"/>
        <v>147000</v>
      </c>
      <c r="AO139" s="19">
        <f t="shared" si="89"/>
        <v>147000</v>
      </c>
      <c r="AP139" s="19">
        <f t="shared" si="90"/>
        <v>147000</v>
      </c>
      <c r="AQ139" s="19">
        <f t="shared" si="91"/>
        <v>147000</v>
      </c>
    </row>
    <row r="140" spans="12:43" x14ac:dyDescent="0.15">
      <c r="L140" s="19">
        <v>136</v>
      </c>
      <c r="M140" s="19">
        <f t="shared" si="68"/>
        <v>3180</v>
      </c>
      <c r="N140" s="19">
        <f t="shared" si="69"/>
        <v>35460</v>
      </c>
      <c r="O140" s="19">
        <f t="shared" si="70"/>
        <v>765000</v>
      </c>
      <c r="P140" s="19">
        <f t="shared" si="71"/>
        <v>147000</v>
      </c>
      <c r="R140" s="19">
        <v>136</v>
      </c>
      <c r="S140" s="19">
        <f>求节点(其他调用!C$4:C$163,其他调用!$B$4:$B$163,其他调用!$C139)</f>
        <v>136</v>
      </c>
      <c r="T140" s="19">
        <f>求节点(其他调用!D$4:D$163,其他调用!$B$4:$B$163,其他调用!$C139)</f>
        <v>132.37258699226481</v>
      </c>
      <c r="U140" s="19">
        <f>求节点(其他调用!E$4:E$163,其他调用!$B$4:$B$163,其他调用!$C139)</f>
        <v>130.0059719990083</v>
      </c>
      <c r="V140" s="19">
        <f>求节点(其他调用!F$4:F$163,其他调用!$B$4:$B$163,其他调用!$C139)</f>
        <v>127.98404408116626</v>
      </c>
      <c r="W140" s="19">
        <f>求节点(其他调用!G$4:G$163,其他调用!$B$4:$B$163,其他调用!$C139)</f>
        <v>125.75110687159572</v>
      </c>
      <c r="X140" s="19">
        <f t="shared" si="72"/>
        <v>3180</v>
      </c>
      <c r="Y140" s="19">
        <f t="shared" si="73"/>
        <v>3180</v>
      </c>
      <c r="Z140" s="19">
        <f t="shared" si="74"/>
        <v>3180</v>
      </c>
      <c r="AA140" s="19">
        <f t="shared" si="75"/>
        <v>3180</v>
      </c>
      <c r="AB140" s="19">
        <f t="shared" si="76"/>
        <v>3180</v>
      </c>
      <c r="AC140" s="19">
        <f t="shared" si="77"/>
        <v>35460</v>
      </c>
      <c r="AD140" s="19">
        <f t="shared" si="78"/>
        <v>35460</v>
      </c>
      <c r="AE140" s="19">
        <f t="shared" si="79"/>
        <v>35460</v>
      </c>
      <c r="AF140" s="19">
        <f t="shared" si="80"/>
        <v>35460</v>
      </c>
      <c r="AG140" s="19">
        <f t="shared" si="81"/>
        <v>35460</v>
      </c>
      <c r="AH140" s="19">
        <f t="shared" si="82"/>
        <v>765000</v>
      </c>
      <c r="AI140" s="19">
        <f t="shared" si="83"/>
        <v>765000</v>
      </c>
      <c r="AJ140" s="19">
        <f t="shared" si="84"/>
        <v>765000</v>
      </c>
      <c r="AK140" s="19">
        <f t="shared" si="85"/>
        <v>765000</v>
      </c>
      <c r="AL140" s="19">
        <f t="shared" si="86"/>
        <v>765000</v>
      </c>
      <c r="AM140" s="19">
        <f t="shared" si="87"/>
        <v>147000</v>
      </c>
      <c r="AN140" s="19">
        <f t="shared" si="88"/>
        <v>147000</v>
      </c>
      <c r="AO140" s="19">
        <f t="shared" si="89"/>
        <v>147000</v>
      </c>
      <c r="AP140" s="19">
        <f t="shared" si="90"/>
        <v>147000</v>
      </c>
      <c r="AQ140" s="19">
        <f t="shared" si="91"/>
        <v>147000</v>
      </c>
    </row>
    <row r="141" spans="12:43" x14ac:dyDescent="0.15">
      <c r="L141" s="19">
        <v>137</v>
      </c>
      <c r="M141" s="19">
        <f t="shared" si="68"/>
        <v>3180</v>
      </c>
      <c r="N141" s="19">
        <f t="shared" si="69"/>
        <v>35460</v>
      </c>
      <c r="O141" s="19">
        <f t="shared" si="70"/>
        <v>765000</v>
      </c>
      <c r="P141" s="19">
        <f t="shared" si="71"/>
        <v>147000</v>
      </c>
      <c r="R141" s="19">
        <v>137</v>
      </c>
      <c r="S141" s="19">
        <f>求节点(其他调用!C$4:C$163,其他调用!$B$4:$B$163,其他调用!$C140)</f>
        <v>137</v>
      </c>
      <c r="T141" s="19">
        <f>求节点(其他调用!D$4:D$163,其他调用!$B$4:$B$163,其他调用!$C140)</f>
        <v>133.33281843642388</v>
      </c>
      <c r="U141" s="19">
        <f>求节点(其他调用!E$4:E$163,其他调用!$B$4:$B$163,其他调用!$C140)</f>
        <v>130.85583011278948</v>
      </c>
      <c r="V141" s="19">
        <f>求节点(其他调用!F$4:F$163,其他调用!$B$4:$B$163,其他调用!$C140)</f>
        <v>128.79423815094026</v>
      </c>
      <c r="W141" s="19">
        <f>求节点(其他调用!G$4:G$163,其他调用!$B$4:$B$163,其他调用!$C140)</f>
        <v>126.53927142846456</v>
      </c>
      <c r="X141" s="19">
        <f t="shared" si="72"/>
        <v>3180</v>
      </c>
      <c r="Y141" s="19">
        <f t="shared" si="73"/>
        <v>3180</v>
      </c>
      <c r="Z141" s="19">
        <f t="shared" si="74"/>
        <v>3180</v>
      </c>
      <c r="AA141" s="19">
        <f t="shared" si="75"/>
        <v>3180</v>
      </c>
      <c r="AB141" s="19">
        <f t="shared" si="76"/>
        <v>3180</v>
      </c>
      <c r="AC141" s="19">
        <f t="shared" si="77"/>
        <v>35460</v>
      </c>
      <c r="AD141" s="19">
        <f t="shared" si="78"/>
        <v>35460</v>
      </c>
      <c r="AE141" s="19">
        <f t="shared" si="79"/>
        <v>35460</v>
      </c>
      <c r="AF141" s="19">
        <f t="shared" si="80"/>
        <v>35460</v>
      </c>
      <c r="AG141" s="19">
        <f t="shared" si="81"/>
        <v>35460</v>
      </c>
      <c r="AH141" s="19">
        <f t="shared" si="82"/>
        <v>765000</v>
      </c>
      <c r="AI141" s="19">
        <f t="shared" si="83"/>
        <v>765000</v>
      </c>
      <c r="AJ141" s="19">
        <f t="shared" si="84"/>
        <v>765000</v>
      </c>
      <c r="AK141" s="19">
        <f t="shared" si="85"/>
        <v>765000</v>
      </c>
      <c r="AL141" s="19">
        <f t="shared" si="86"/>
        <v>765000</v>
      </c>
      <c r="AM141" s="19">
        <f t="shared" si="87"/>
        <v>147000</v>
      </c>
      <c r="AN141" s="19">
        <f t="shared" si="88"/>
        <v>147000</v>
      </c>
      <c r="AO141" s="19">
        <f t="shared" si="89"/>
        <v>147000</v>
      </c>
      <c r="AP141" s="19">
        <f t="shared" si="90"/>
        <v>147000</v>
      </c>
      <c r="AQ141" s="19">
        <f t="shared" si="91"/>
        <v>147000</v>
      </c>
    </row>
    <row r="142" spans="12:43" x14ac:dyDescent="0.15">
      <c r="L142" s="19">
        <v>138</v>
      </c>
      <c r="M142" s="19">
        <f t="shared" si="68"/>
        <v>3180</v>
      </c>
      <c r="N142" s="19">
        <f t="shared" si="69"/>
        <v>35460</v>
      </c>
      <c r="O142" s="19">
        <f t="shared" si="70"/>
        <v>765000</v>
      </c>
      <c r="P142" s="19">
        <f t="shared" si="71"/>
        <v>147000</v>
      </c>
      <c r="R142" s="19">
        <v>138</v>
      </c>
      <c r="S142" s="19">
        <f>求节点(其他调用!C$4:C$163,其他调用!$B$4:$B$163,其他调用!$C141)</f>
        <v>138</v>
      </c>
      <c r="T142" s="19">
        <f>求节点(其他调用!D$4:D$163,其他调用!$B$4:$B$163,其他调用!$C141)</f>
        <v>134.35920156447216</v>
      </c>
      <c r="U142" s="19">
        <f>求节点(其他调用!E$4:E$163,其他调用!$B$4:$B$163,其他调用!$C141)</f>
        <v>131.70437113312411</v>
      </c>
      <c r="V142" s="19">
        <f>求节点(其他调用!F$4:F$163,其他调用!$B$4:$B$163,其他调用!$C141)</f>
        <v>129.60402561189383</v>
      </c>
      <c r="W142" s="19">
        <f>求节点(其他调用!G$4:G$163,其他调用!$B$4:$B$163,其他调用!$C141)</f>
        <v>127.32720096264062</v>
      </c>
      <c r="X142" s="19">
        <f t="shared" si="72"/>
        <v>3180</v>
      </c>
      <c r="Y142" s="19">
        <f t="shared" si="73"/>
        <v>3180</v>
      </c>
      <c r="Z142" s="19">
        <f t="shared" si="74"/>
        <v>3180</v>
      </c>
      <c r="AA142" s="19">
        <f t="shared" si="75"/>
        <v>3180</v>
      </c>
      <c r="AB142" s="19">
        <f t="shared" si="76"/>
        <v>3180</v>
      </c>
      <c r="AC142" s="19">
        <f t="shared" si="77"/>
        <v>35460</v>
      </c>
      <c r="AD142" s="19">
        <f t="shared" si="78"/>
        <v>35460</v>
      </c>
      <c r="AE142" s="19">
        <f t="shared" si="79"/>
        <v>35460</v>
      </c>
      <c r="AF142" s="19">
        <f t="shared" si="80"/>
        <v>35460</v>
      </c>
      <c r="AG142" s="19">
        <f t="shared" si="81"/>
        <v>35460</v>
      </c>
      <c r="AH142" s="19">
        <f t="shared" si="82"/>
        <v>765000</v>
      </c>
      <c r="AI142" s="19">
        <f t="shared" si="83"/>
        <v>765000</v>
      </c>
      <c r="AJ142" s="19">
        <f t="shared" si="84"/>
        <v>765000</v>
      </c>
      <c r="AK142" s="19">
        <f t="shared" si="85"/>
        <v>765000</v>
      </c>
      <c r="AL142" s="19">
        <f t="shared" si="86"/>
        <v>765000</v>
      </c>
      <c r="AM142" s="19">
        <f t="shared" si="87"/>
        <v>147000</v>
      </c>
      <c r="AN142" s="19">
        <f t="shared" si="88"/>
        <v>147000</v>
      </c>
      <c r="AO142" s="19">
        <f t="shared" si="89"/>
        <v>147000</v>
      </c>
      <c r="AP142" s="19">
        <f t="shared" si="90"/>
        <v>147000</v>
      </c>
      <c r="AQ142" s="19">
        <f t="shared" si="91"/>
        <v>147000</v>
      </c>
    </row>
    <row r="143" spans="12:43" x14ac:dyDescent="0.15">
      <c r="L143" s="19">
        <v>139</v>
      </c>
      <c r="M143" s="19">
        <f t="shared" si="68"/>
        <v>3180</v>
      </c>
      <c r="N143" s="19">
        <f t="shared" si="69"/>
        <v>35460</v>
      </c>
      <c r="O143" s="19">
        <f t="shared" si="70"/>
        <v>765000</v>
      </c>
      <c r="P143" s="19">
        <f t="shared" si="71"/>
        <v>147000</v>
      </c>
      <c r="R143" s="19">
        <v>139</v>
      </c>
      <c r="S143" s="19">
        <f>求节点(其他调用!C$4:C$163,其他调用!$B$4:$B$163,其他调用!$C142)</f>
        <v>139</v>
      </c>
      <c r="T143" s="19">
        <f>求节点(其他调用!D$4:D$163,其他调用!$B$4:$B$163,其他调用!$C142)</f>
        <v>135.41766241336248</v>
      </c>
      <c r="U143" s="19">
        <f>求节点(其他调用!E$4:E$163,其他调用!$B$4:$B$163,其他调用!$C142)</f>
        <v>132.58497826411934</v>
      </c>
      <c r="V143" s="19">
        <f>求节点(其他调用!F$4:F$163,其他调用!$B$4:$B$163,其他调用!$C142)</f>
        <v>130.40980223140613</v>
      </c>
      <c r="W143" s="19">
        <f>求节点(其他调用!G$4:G$163,其他调用!$B$4:$B$163,其他调用!$C142)</f>
        <v>128.11059570456698</v>
      </c>
      <c r="X143" s="19">
        <f t="shared" si="72"/>
        <v>3180</v>
      </c>
      <c r="Y143" s="19">
        <f t="shared" si="73"/>
        <v>3180</v>
      </c>
      <c r="Z143" s="19">
        <f t="shared" si="74"/>
        <v>3180</v>
      </c>
      <c r="AA143" s="19">
        <f t="shared" si="75"/>
        <v>3180</v>
      </c>
      <c r="AB143" s="19">
        <f t="shared" si="76"/>
        <v>3180</v>
      </c>
      <c r="AC143" s="19">
        <f t="shared" si="77"/>
        <v>35460</v>
      </c>
      <c r="AD143" s="19">
        <f t="shared" si="78"/>
        <v>35460</v>
      </c>
      <c r="AE143" s="19">
        <f t="shared" si="79"/>
        <v>35460</v>
      </c>
      <c r="AF143" s="19">
        <f t="shared" si="80"/>
        <v>35460</v>
      </c>
      <c r="AG143" s="19">
        <f t="shared" si="81"/>
        <v>35460</v>
      </c>
      <c r="AH143" s="19">
        <f t="shared" si="82"/>
        <v>765000</v>
      </c>
      <c r="AI143" s="19">
        <f t="shared" si="83"/>
        <v>765000</v>
      </c>
      <c r="AJ143" s="19">
        <f t="shared" si="84"/>
        <v>765000</v>
      </c>
      <c r="AK143" s="19">
        <f t="shared" si="85"/>
        <v>765000</v>
      </c>
      <c r="AL143" s="19">
        <f t="shared" si="86"/>
        <v>765000</v>
      </c>
      <c r="AM143" s="19">
        <f t="shared" si="87"/>
        <v>147000</v>
      </c>
      <c r="AN143" s="19">
        <f t="shared" si="88"/>
        <v>147000</v>
      </c>
      <c r="AO143" s="19">
        <f t="shared" si="89"/>
        <v>147000</v>
      </c>
      <c r="AP143" s="19">
        <f t="shared" si="90"/>
        <v>147000</v>
      </c>
      <c r="AQ143" s="19">
        <f t="shared" si="91"/>
        <v>147000</v>
      </c>
    </row>
    <row r="144" spans="12:43" x14ac:dyDescent="0.15">
      <c r="L144" s="19">
        <v>140</v>
      </c>
      <c r="M144" s="19">
        <f t="shared" si="68"/>
        <v>3180</v>
      </c>
      <c r="N144" s="19">
        <f t="shared" si="69"/>
        <v>35460</v>
      </c>
      <c r="O144" s="19">
        <f t="shared" si="70"/>
        <v>765000</v>
      </c>
      <c r="P144" s="19">
        <f t="shared" si="71"/>
        <v>147000</v>
      </c>
      <c r="R144" s="19">
        <v>140</v>
      </c>
      <c r="S144" s="19">
        <f>求节点(其他调用!C$4:C$163,其他调用!$B$4:$B$163,其他调用!$C143)</f>
        <v>140</v>
      </c>
      <c r="T144" s="19">
        <f>求节点(其他调用!D$4:D$163,其他调用!$B$4:$B$163,其他调用!$C143)</f>
        <v>136.4671101260457</v>
      </c>
      <c r="U144" s="19">
        <f>求节点(其他调用!E$4:E$163,其他调用!$B$4:$B$163,其他调用!$C143)</f>
        <v>133.51498252164504</v>
      </c>
      <c r="V144" s="19">
        <f>求节点(其他调用!F$4:F$163,其他调用!$B$4:$B$163,其他调用!$C143)</f>
        <v>131.21989866427072</v>
      </c>
      <c r="W144" s="19">
        <f>求节点(其他调用!G$4:G$163,其他调用!$B$4:$B$163,其他调用!$C143)</f>
        <v>128.87728938947828</v>
      </c>
      <c r="X144" s="19">
        <f t="shared" si="72"/>
        <v>3180</v>
      </c>
      <c r="Y144" s="19">
        <f t="shared" si="73"/>
        <v>3180</v>
      </c>
      <c r="Z144" s="19">
        <f t="shared" si="74"/>
        <v>3180</v>
      </c>
      <c r="AA144" s="19">
        <f t="shared" si="75"/>
        <v>3180</v>
      </c>
      <c r="AB144" s="19">
        <f t="shared" si="76"/>
        <v>3180</v>
      </c>
      <c r="AC144" s="19">
        <f t="shared" si="77"/>
        <v>35460</v>
      </c>
      <c r="AD144" s="19">
        <f t="shared" si="78"/>
        <v>35460</v>
      </c>
      <c r="AE144" s="19">
        <f t="shared" si="79"/>
        <v>35460</v>
      </c>
      <c r="AF144" s="19">
        <f t="shared" si="80"/>
        <v>35460</v>
      </c>
      <c r="AG144" s="19">
        <f t="shared" si="81"/>
        <v>35460</v>
      </c>
      <c r="AH144" s="19">
        <f t="shared" si="82"/>
        <v>765000</v>
      </c>
      <c r="AI144" s="19">
        <f t="shared" si="83"/>
        <v>765000</v>
      </c>
      <c r="AJ144" s="19">
        <f t="shared" si="84"/>
        <v>765000</v>
      </c>
      <c r="AK144" s="19">
        <f t="shared" si="85"/>
        <v>765000</v>
      </c>
      <c r="AL144" s="19">
        <f t="shared" si="86"/>
        <v>765000</v>
      </c>
      <c r="AM144" s="19">
        <f t="shared" si="87"/>
        <v>147000</v>
      </c>
      <c r="AN144" s="19">
        <f t="shared" si="88"/>
        <v>147000</v>
      </c>
      <c r="AO144" s="19">
        <f t="shared" si="89"/>
        <v>147000</v>
      </c>
      <c r="AP144" s="19">
        <f t="shared" si="90"/>
        <v>147000</v>
      </c>
      <c r="AQ144" s="19">
        <f t="shared" si="91"/>
        <v>147000</v>
      </c>
    </row>
    <row r="145" spans="12:43" x14ac:dyDescent="0.15">
      <c r="L145" s="19">
        <v>141</v>
      </c>
      <c r="M145" s="19">
        <f t="shared" si="68"/>
        <v>3180</v>
      </c>
      <c r="N145" s="19">
        <f t="shared" si="69"/>
        <v>35460</v>
      </c>
      <c r="O145" s="19">
        <f t="shared" si="70"/>
        <v>765000</v>
      </c>
      <c r="P145" s="19">
        <f t="shared" si="71"/>
        <v>147000</v>
      </c>
      <c r="R145" s="19">
        <v>141</v>
      </c>
      <c r="S145" s="19">
        <f>求节点(其他调用!C$4:C$163,其他调用!$B$4:$B$163,其他调用!$C144)</f>
        <v>141</v>
      </c>
      <c r="T145" s="19">
        <f>求节点(其他调用!D$4:D$163,其他调用!$B$4:$B$163,其他调用!$C144)</f>
        <v>137.51381037691212</v>
      </c>
      <c r="U145" s="19">
        <f>求节点(其他调用!E$4:E$163,其他调用!$B$4:$B$163,其他调用!$C144)</f>
        <v>134.47822109007785</v>
      </c>
      <c r="V145" s="19">
        <f>求节点(其他调用!F$4:F$163,其他调用!$B$4:$B$163,其他调用!$C144)</f>
        <v>132.07392743942233</v>
      </c>
      <c r="W145" s="19">
        <f>求节点(其他调用!G$4:G$163,其他调用!$B$4:$B$163,其他调用!$C144)</f>
        <v>129.65028753874466</v>
      </c>
      <c r="X145" s="19">
        <f t="shared" si="72"/>
        <v>3180</v>
      </c>
      <c r="Y145" s="19">
        <f t="shared" si="73"/>
        <v>3180</v>
      </c>
      <c r="Z145" s="19">
        <f t="shared" si="74"/>
        <v>3180</v>
      </c>
      <c r="AA145" s="19">
        <f t="shared" si="75"/>
        <v>3180</v>
      </c>
      <c r="AB145" s="19">
        <f t="shared" si="76"/>
        <v>3180</v>
      </c>
      <c r="AC145" s="19">
        <f t="shared" si="77"/>
        <v>35460</v>
      </c>
      <c r="AD145" s="19">
        <f t="shared" si="78"/>
        <v>35460</v>
      </c>
      <c r="AE145" s="19">
        <f t="shared" si="79"/>
        <v>35460</v>
      </c>
      <c r="AF145" s="19">
        <f t="shared" si="80"/>
        <v>35460</v>
      </c>
      <c r="AG145" s="19">
        <f t="shared" si="81"/>
        <v>35460</v>
      </c>
      <c r="AH145" s="19">
        <f t="shared" si="82"/>
        <v>765000</v>
      </c>
      <c r="AI145" s="19">
        <f t="shared" si="83"/>
        <v>765000</v>
      </c>
      <c r="AJ145" s="19">
        <f t="shared" si="84"/>
        <v>765000</v>
      </c>
      <c r="AK145" s="19">
        <f t="shared" si="85"/>
        <v>765000</v>
      </c>
      <c r="AL145" s="19">
        <f t="shared" si="86"/>
        <v>765000</v>
      </c>
      <c r="AM145" s="19">
        <f t="shared" si="87"/>
        <v>147000</v>
      </c>
      <c r="AN145" s="19">
        <f t="shared" si="88"/>
        <v>147000</v>
      </c>
      <c r="AO145" s="19">
        <f t="shared" si="89"/>
        <v>147000</v>
      </c>
      <c r="AP145" s="19">
        <f t="shared" si="90"/>
        <v>147000</v>
      </c>
      <c r="AQ145" s="19">
        <f t="shared" si="91"/>
        <v>147000</v>
      </c>
    </row>
    <row r="146" spans="12:43" x14ac:dyDescent="0.15">
      <c r="L146" s="19">
        <v>142</v>
      </c>
      <c r="M146" s="19">
        <f t="shared" si="68"/>
        <v>3180</v>
      </c>
      <c r="N146" s="19">
        <f t="shared" si="69"/>
        <v>35460</v>
      </c>
      <c r="O146" s="19">
        <f t="shared" si="70"/>
        <v>765000</v>
      </c>
      <c r="P146" s="19">
        <f t="shared" si="71"/>
        <v>147000</v>
      </c>
      <c r="R146" s="19">
        <v>142</v>
      </c>
      <c r="S146" s="19">
        <f>求节点(其他调用!C$4:C$163,其他调用!$B$4:$B$163,其他调用!$C145)</f>
        <v>142</v>
      </c>
      <c r="T146" s="19">
        <f>求节点(其他调用!D$4:D$163,其他调用!$B$4:$B$163,其他调用!$C145)</f>
        <v>138.50166248578967</v>
      </c>
      <c r="U146" s="19">
        <f>求节点(其他调用!E$4:E$163,其他调用!$B$4:$B$163,其他调用!$C145)</f>
        <v>135.42520153884902</v>
      </c>
      <c r="V146" s="19">
        <f>求节点(其他调用!F$4:F$163,其他调用!$B$4:$B$163,其他调用!$C145)</f>
        <v>132.98436180946342</v>
      </c>
      <c r="W146" s="19">
        <f>求节点(其他调用!G$4:G$163,其他调用!$B$4:$B$163,其他调用!$C145)</f>
        <v>130.45320741934094</v>
      </c>
      <c r="X146" s="19">
        <f t="shared" si="72"/>
        <v>3180</v>
      </c>
      <c r="Y146" s="19">
        <f t="shared" si="73"/>
        <v>3180</v>
      </c>
      <c r="Z146" s="19">
        <f t="shared" si="74"/>
        <v>3180</v>
      </c>
      <c r="AA146" s="19">
        <f t="shared" si="75"/>
        <v>3180</v>
      </c>
      <c r="AB146" s="19">
        <f t="shared" si="76"/>
        <v>3180</v>
      </c>
      <c r="AC146" s="19">
        <f t="shared" si="77"/>
        <v>35460</v>
      </c>
      <c r="AD146" s="19">
        <f t="shared" si="78"/>
        <v>35460</v>
      </c>
      <c r="AE146" s="19">
        <f t="shared" si="79"/>
        <v>35460</v>
      </c>
      <c r="AF146" s="19">
        <f t="shared" si="80"/>
        <v>35460</v>
      </c>
      <c r="AG146" s="19">
        <f t="shared" si="81"/>
        <v>35460</v>
      </c>
      <c r="AH146" s="19">
        <f t="shared" si="82"/>
        <v>765000</v>
      </c>
      <c r="AI146" s="19">
        <f t="shared" si="83"/>
        <v>765000</v>
      </c>
      <c r="AJ146" s="19">
        <f t="shared" si="84"/>
        <v>765000</v>
      </c>
      <c r="AK146" s="19">
        <f t="shared" si="85"/>
        <v>765000</v>
      </c>
      <c r="AL146" s="19">
        <f t="shared" si="86"/>
        <v>765000</v>
      </c>
      <c r="AM146" s="19">
        <f t="shared" si="87"/>
        <v>147000</v>
      </c>
      <c r="AN146" s="19">
        <f t="shared" si="88"/>
        <v>147000</v>
      </c>
      <c r="AO146" s="19">
        <f t="shared" si="89"/>
        <v>147000</v>
      </c>
      <c r="AP146" s="19">
        <f t="shared" si="90"/>
        <v>147000</v>
      </c>
      <c r="AQ146" s="19">
        <f t="shared" si="91"/>
        <v>147000</v>
      </c>
    </row>
    <row r="147" spans="12:43" x14ac:dyDescent="0.15">
      <c r="L147" s="19">
        <v>143</v>
      </c>
      <c r="M147" s="19">
        <f t="shared" si="68"/>
        <v>3180</v>
      </c>
      <c r="N147" s="19">
        <f t="shared" si="69"/>
        <v>35460</v>
      </c>
      <c r="O147" s="19">
        <f t="shared" si="70"/>
        <v>765000</v>
      </c>
      <c r="P147" s="19">
        <f t="shared" si="71"/>
        <v>147000</v>
      </c>
      <c r="R147" s="19">
        <v>143</v>
      </c>
      <c r="S147" s="19">
        <f>求节点(其他调用!C$4:C$163,其他调用!$B$4:$B$163,其他调用!$C146)</f>
        <v>143</v>
      </c>
      <c r="T147" s="19">
        <f>求节点(其他调用!D$4:D$163,其他调用!$B$4:$B$163,其他调用!$C146)</f>
        <v>139.47925378387404</v>
      </c>
      <c r="U147" s="19">
        <f>求节点(其他调用!E$4:E$163,其他调用!$B$4:$B$163,其他调用!$C146)</f>
        <v>136.38920371317727</v>
      </c>
      <c r="V147" s="19">
        <f>求节点(其他调用!F$4:F$163,其他调用!$B$4:$B$163,其他调用!$C146)</f>
        <v>133.90472813766041</v>
      </c>
      <c r="W147" s="19">
        <f>求节点(其他调用!G$4:G$163,其他调用!$B$4:$B$163,其他调用!$C146)</f>
        <v>131.32408259352621</v>
      </c>
      <c r="X147" s="19">
        <f t="shared" si="72"/>
        <v>3180</v>
      </c>
      <c r="Y147" s="19">
        <f t="shared" si="73"/>
        <v>3180</v>
      </c>
      <c r="Z147" s="19">
        <f t="shared" si="74"/>
        <v>3180</v>
      </c>
      <c r="AA147" s="19">
        <f t="shared" si="75"/>
        <v>3180</v>
      </c>
      <c r="AB147" s="19">
        <f t="shared" si="76"/>
        <v>3180</v>
      </c>
      <c r="AC147" s="19">
        <f t="shared" si="77"/>
        <v>35460</v>
      </c>
      <c r="AD147" s="19">
        <f t="shared" si="78"/>
        <v>35460</v>
      </c>
      <c r="AE147" s="19">
        <f t="shared" si="79"/>
        <v>35460</v>
      </c>
      <c r="AF147" s="19">
        <f t="shared" si="80"/>
        <v>35460</v>
      </c>
      <c r="AG147" s="19">
        <f t="shared" si="81"/>
        <v>35460</v>
      </c>
      <c r="AH147" s="19">
        <f t="shared" si="82"/>
        <v>765000</v>
      </c>
      <c r="AI147" s="19">
        <f t="shared" si="83"/>
        <v>765000</v>
      </c>
      <c r="AJ147" s="19">
        <f t="shared" si="84"/>
        <v>765000</v>
      </c>
      <c r="AK147" s="19">
        <f t="shared" si="85"/>
        <v>765000</v>
      </c>
      <c r="AL147" s="19">
        <f t="shared" si="86"/>
        <v>765000</v>
      </c>
      <c r="AM147" s="19">
        <f t="shared" si="87"/>
        <v>147000</v>
      </c>
      <c r="AN147" s="19">
        <f t="shared" si="88"/>
        <v>147000</v>
      </c>
      <c r="AO147" s="19">
        <f t="shared" si="89"/>
        <v>147000</v>
      </c>
      <c r="AP147" s="19">
        <f t="shared" si="90"/>
        <v>147000</v>
      </c>
      <c r="AQ147" s="19">
        <f t="shared" si="91"/>
        <v>147000</v>
      </c>
    </row>
    <row r="148" spans="12:43" x14ac:dyDescent="0.15">
      <c r="L148" s="19">
        <v>144</v>
      </c>
      <c r="M148" s="19">
        <f t="shared" si="68"/>
        <v>3180</v>
      </c>
      <c r="N148" s="19">
        <f t="shared" si="69"/>
        <v>35460</v>
      </c>
      <c r="O148" s="19">
        <f t="shared" si="70"/>
        <v>765000</v>
      </c>
      <c r="P148" s="19">
        <f t="shared" si="71"/>
        <v>147000</v>
      </c>
      <c r="R148" s="19">
        <v>144</v>
      </c>
      <c r="S148" s="19">
        <f>求节点(其他调用!C$4:C$163,其他调用!$B$4:$B$163,其他调用!$C147)</f>
        <v>144</v>
      </c>
      <c r="T148" s="19">
        <f>求节点(其他调用!D$4:D$163,其他调用!$B$4:$B$163,其他调用!$C147)</f>
        <v>140.46726197130886</v>
      </c>
      <c r="U148" s="19">
        <f>求节点(其他调用!E$4:E$163,其他调用!$B$4:$B$163,其他调用!$C147)</f>
        <v>137.36907746690912</v>
      </c>
      <c r="V148" s="19">
        <f>求节点(其他调用!F$4:F$163,其他调用!$B$4:$B$163,其他调用!$C147)</f>
        <v>134.84069197030891</v>
      </c>
      <c r="W148" s="19">
        <f>求节点(其他调用!G$4:G$163,其他调用!$B$4:$B$163,其他调用!$C147)</f>
        <v>132.25025188679561</v>
      </c>
      <c r="X148" s="19">
        <f t="shared" si="72"/>
        <v>3180</v>
      </c>
      <c r="Y148" s="19">
        <f t="shared" si="73"/>
        <v>3180</v>
      </c>
      <c r="Z148" s="19">
        <f t="shared" si="74"/>
        <v>3180</v>
      </c>
      <c r="AA148" s="19">
        <f t="shared" si="75"/>
        <v>3180</v>
      </c>
      <c r="AB148" s="19">
        <f t="shared" si="76"/>
        <v>3180</v>
      </c>
      <c r="AC148" s="19">
        <f t="shared" si="77"/>
        <v>35460</v>
      </c>
      <c r="AD148" s="19">
        <f t="shared" si="78"/>
        <v>35460</v>
      </c>
      <c r="AE148" s="19">
        <f t="shared" si="79"/>
        <v>35460</v>
      </c>
      <c r="AF148" s="19">
        <f t="shared" si="80"/>
        <v>35460</v>
      </c>
      <c r="AG148" s="19">
        <f t="shared" si="81"/>
        <v>35460</v>
      </c>
      <c r="AH148" s="19">
        <f t="shared" si="82"/>
        <v>765000</v>
      </c>
      <c r="AI148" s="19">
        <f t="shared" si="83"/>
        <v>765000</v>
      </c>
      <c r="AJ148" s="19">
        <f t="shared" si="84"/>
        <v>765000</v>
      </c>
      <c r="AK148" s="19">
        <f t="shared" si="85"/>
        <v>765000</v>
      </c>
      <c r="AL148" s="19">
        <f t="shared" si="86"/>
        <v>765000</v>
      </c>
      <c r="AM148" s="19">
        <f t="shared" si="87"/>
        <v>147000</v>
      </c>
      <c r="AN148" s="19">
        <f t="shared" si="88"/>
        <v>147000</v>
      </c>
      <c r="AO148" s="19">
        <f t="shared" si="89"/>
        <v>147000</v>
      </c>
      <c r="AP148" s="19">
        <f t="shared" si="90"/>
        <v>147000</v>
      </c>
      <c r="AQ148" s="19">
        <f t="shared" si="91"/>
        <v>147000</v>
      </c>
    </row>
    <row r="149" spans="12:43" x14ac:dyDescent="0.15">
      <c r="L149" s="19">
        <v>145</v>
      </c>
      <c r="M149" s="19">
        <f t="shared" si="68"/>
        <v>3180</v>
      </c>
      <c r="N149" s="19">
        <f t="shared" si="69"/>
        <v>35460</v>
      </c>
      <c r="O149" s="19">
        <f t="shared" si="70"/>
        <v>765000</v>
      </c>
      <c r="P149" s="19">
        <f t="shared" si="71"/>
        <v>147000</v>
      </c>
      <c r="R149" s="19">
        <v>145</v>
      </c>
      <c r="S149" s="19">
        <f>求节点(其他调用!C$4:C$163,其他调用!$B$4:$B$163,其他调用!$C148)</f>
        <v>145</v>
      </c>
      <c r="T149" s="19">
        <f>求节点(其他调用!D$4:D$163,其他调用!$B$4:$B$163,其他调用!$C148)</f>
        <v>141.44837310545412</v>
      </c>
      <c r="U149" s="19">
        <f>求节点(其他调用!E$4:E$163,其他调用!$B$4:$B$163,其他调用!$C148)</f>
        <v>138.35814656080632</v>
      </c>
      <c r="V149" s="19">
        <f>求节点(其他调用!F$4:F$163,其他调用!$B$4:$B$163,其他调用!$C148)</f>
        <v>135.77239550356279</v>
      </c>
      <c r="W149" s="19">
        <f>求节点(其他调用!G$4:G$163,其他调用!$B$4:$B$163,其他调用!$C148)</f>
        <v>133.18539248978428</v>
      </c>
      <c r="X149" s="19">
        <f t="shared" si="72"/>
        <v>3180</v>
      </c>
      <c r="Y149" s="19">
        <f t="shared" si="73"/>
        <v>3180</v>
      </c>
      <c r="Z149" s="19">
        <f t="shared" si="74"/>
        <v>3180</v>
      </c>
      <c r="AA149" s="19">
        <f t="shared" si="75"/>
        <v>3180</v>
      </c>
      <c r="AB149" s="19">
        <f t="shared" si="76"/>
        <v>3180</v>
      </c>
      <c r="AC149" s="19">
        <f t="shared" si="77"/>
        <v>35460</v>
      </c>
      <c r="AD149" s="19">
        <f t="shared" si="78"/>
        <v>35460</v>
      </c>
      <c r="AE149" s="19">
        <f t="shared" si="79"/>
        <v>35460</v>
      </c>
      <c r="AF149" s="19">
        <f t="shared" si="80"/>
        <v>35460</v>
      </c>
      <c r="AG149" s="19">
        <f t="shared" si="81"/>
        <v>35460</v>
      </c>
      <c r="AH149" s="19">
        <f t="shared" si="82"/>
        <v>765000</v>
      </c>
      <c r="AI149" s="19">
        <f t="shared" si="83"/>
        <v>765000</v>
      </c>
      <c r="AJ149" s="19">
        <f t="shared" si="84"/>
        <v>765000</v>
      </c>
      <c r="AK149" s="19">
        <f t="shared" si="85"/>
        <v>765000</v>
      </c>
      <c r="AL149" s="19">
        <f t="shared" si="86"/>
        <v>765000</v>
      </c>
      <c r="AM149" s="19">
        <f t="shared" si="87"/>
        <v>147000</v>
      </c>
      <c r="AN149" s="19">
        <f t="shared" si="88"/>
        <v>147000</v>
      </c>
      <c r="AO149" s="19">
        <f t="shared" si="89"/>
        <v>147000</v>
      </c>
      <c r="AP149" s="19">
        <f t="shared" si="90"/>
        <v>147000</v>
      </c>
      <c r="AQ149" s="19">
        <f t="shared" si="91"/>
        <v>147000</v>
      </c>
    </row>
    <row r="150" spans="12:43" x14ac:dyDescent="0.15">
      <c r="L150" s="19">
        <v>146</v>
      </c>
      <c r="M150" s="19">
        <f t="shared" si="68"/>
        <v>3180</v>
      </c>
      <c r="N150" s="19">
        <f t="shared" si="69"/>
        <v>35460</v>
      </c>
      <c r="O150" s="19">
        <f t="shared" si="70"/>
        <v>765000</v>
      </c>
      <c r="P150" s="19">
        <f t="shared" si="71"/>
        <v>147000</v>
      </c>
      <c r="R150" s="19">
        <v>146</v>
      </c>
      <c r="S150" s="19">
        <f>求节点(其他调用!C$4:C$163,其他调用!$B$4:$B$163,其他调用!$C149)</f>
        <v>146</v>
      </c>
      <c r="T150" s="19">
        <f>求节点(其他调用!D$4:D$163,其他调用!$B$4:$B$163,其他调用!$C149)</f>
        <v>142.40561571100076</v>
      </c>
      <c r="U150" s="19">
        <f>求节点(其他调用!E$4:E$163,其他调用!$B$4:$B$163,其他调用!$C149)</f>
        <v>139.34164753732927</v>
      </c>
      <c r="V150" s="19">
        <f>求节点(其他调用!F$4:F$163,其他调用!$B$4:$B$163,其他调用!$C149)</f>
        <v>136.71851132710245</v>
      </c>
      <c r="W150" s="19">
        <f>求节点(其他调用!G$4:G$163,其他调用!$B$4:$B$163,其他调用!$C149)</f>
        <v>134.11310112080795</v>
      </c>
      <c r="X150" s="19">
        <f t="shared" si="72"/>
        <v>3180</v>
      </c>
      <c r="Y150" s="19">
        <f t="shared" si="73"/>
        <v>3180</v>
      </c>
      <c r="Z150" s="19">
        <f t="shared" si="74"/>
        <v>3180</v>
      </c>
      <c r="AA150" s="19">
        <f t="shared" si="75"/>
        <v>3180</v>
      </c>
      <c r="AB150" s="19">
        <f t="shared" si="76"/>
        <v>3180</v>
      </c>
      <c r="AC150" s="19">
        <f t="shared" si="77"/>
        <v>35460</v>
      </c>
      <c r="AD150" s="19">
        <f t="shared" si="78"/>
        <v>35460</v>
      </c>
      <c r="AE150" s="19">
        <f t="shared" si="79"/>
        <v>35460</v>
      </c>
      <c r="AF150" s="19">
        <f t="shared" si="80"/>
        <v>35460</v>
      </c>
      <c r="AG150" s="19">
        <f t="shared" si="81"/>
        <v>35460</v>
      </c>
      <c r="AH150" s="19">
        <f t="shared" si="82"/>
        <v>765000</v>
      </c>
      <c r="AI150" s="19">
        <f t="shared" si="83"/>
        <v>765000</v>
      </c>
      <c r="AJ150" s="19">
        <f t="shared" si="84"/>
        <v>765000</v>
      </c>
      <c r="AK150" s="19">
        <f t="shared" si="85"/>
        <v>765000</v>
      </c>
      <c r="AL150" s="19">
        <f t="shared" si="86"/>
        <v>765000</v>
      </c>
      <c r="AM150" s="19">
        <f t="shared" si="87"/>
        <v>147000</v>
      </c>
      <c r="AN150" s="19">
        <f t="shared" si="88"/>
        <v>147000</v>
      </c>
      <c r="AO150" s="19">
        <f t="shared" si="89"/>
        <v>147000</v>
      </c>
      <c r="AP150" s="19">
        <f t="shared" si="90"/>
        <v>147000</v>
      </c>
      <c r="AQ150" s="19">
        <f t="shared" si="91"/>
        <v>147000</v>
      </c>
    </row>
    <row r="151" spans="12:43" x14ac:dyDescent="0.15">
      <c r="L151" s="19">
        <v>147</v>
      </c>
      <c r="M151" s="19">
        <f t="shared" si="68"/>
        <v>3180</v>
      </c>
      <c r="N151" s="19">
        <f t="shared" si="69"/>
        <v>35460</v>
      </c>
      <c r="O151" s="19">
        <f t="shared" si="70"/>
        <v>765000</v>
      </c>
      <c r="P151" s="19">
        <f t="shared" si="71"/>
        <v>147000</v>
      </c>
      <c r="R151" s="19">
        <v>147</v>
      </c>
      <c r="S151" s="19">
        <f>求节点(其他调用!C$4:C$163,其他调用!$B$4:$B$163,其他调用!$C150)</f>
        <v>147</v>
      </c>
      <c r="T151" s="19">
        <f>求节点(其他调用!D$4:D$163,其他调用!$B$4:$B$163,其他调用!$C150)</f>
        <v>143.36236041426028</v>
      </c>
      <c r="U151" s="19">
        <f>求节点(其他调用!E$4:E$163,其他调用!$B$4:$B$163,其他调用!$C150)</f>
        <v>140.3403880410155</v>
      </c>
      <c r="V151" s="19">
        <f>求节点(其他调用!F$4:F$163,其他调用!$B$4:$B$163,其他调用!$C150)</f>
        <v>137.68215825717667</v>
      </c>
      <c r="W151" s="19">
        <f>求节点(其他调用!G$4:G$163,其他调用!$B$4:$B$163,其他调用!$C150)</f>
        <v>135.05058046985306</v>
      </c>
      <c r="X151" s="19">
        <f t="shared" si="72"/>
        <v>3180</v>
      </c>
      <c r="Y151" s="19">
        <f t="shared" si="73"/>
        <v>3180</v>
      </c>
      <c r="Z151" s="19">
        <f t="shared" si="74"/>
        <v>3180</v>
      </c>
      <c r="AA151" s="19">
        <f t="shared" si="75"/>
        <v>3180</v>
      </c>
      <c r="AB151" s="19">
        <f t="shared" si="76"/>
        <v>3180</v>
      </c>
      <c r="AC151" s="19">
        <f t="shared" si="77"/>
        <v>35460</v>
      </c>
      <c r="AD151" s="19">
        <f t="shared" si="78"/>
        <v>35460</v>
      </c>
      <c r="AE151" s="19">
        <f t="shared" si="79"/>
        <v>35460</v>
      </c>
      <c r="AF151" s="19">
        <f t="shared" si="80"/>
        <v>35460</v>
      </c>
      <c r="AG151" s="19">
        <f t="shared" si="81"/>
        <v>35460</v>
      </c>
      <c r="AH151" s="19">
        <f t="shared" si="82"/>
        <v>765000</v>
      </c>
      <c r="AI151" s="19">
        <f t="shared" si="83"/>
        <v>765000</v>
      </c>
      <c r="AJ151" s="19">
        <f t="shared" si="84"/>
        <v>765000</v>
      </c>
      <c r="AK151" s="19">
        <f t="shared" si="85"/>
        <v>765000</v>
      </c>
      <c r="AL151" s="19">
        <f t="shared" si="86"/>
        <v>765000</v>
      </c>
      <c r="AM151" s="19">
        <f t="shared" si="87"/>
        <v>147000</v>
      </c>
      <c r="AN151" s="19">
        <f t="shared" si="88"/>
        <v>147000</v>
      </c>
      <c r="AO151" s="19">
        <f t="shared" si="89"/>
        <v>147000</v>
      </c>
      <c r="AP151" s="19">
        <f t="shared" si="90"/>
        <v>147000</v>
      </c>
      <c r="AQ151" s="19">
        <f t="shared" si="91"/>
        <v>147000</v>
      </c>
    </row>
    <row r="152" spans="12:43" x14ac:dyDescent="0.15">
      <c r="L152" s="19">
        <v>148</v>
      </c>
      <c r="M152" s="19">
        <f t="shared" si="68"/>
        <v>3180</v>
      </c>
      <c r="N152" s="19">
        <f t="shared" si="69"/>
        <v>35460</v>
      </c>
      <c r="O152" s="19">
        <f t="shared" si="70"/>
        <v>765000</v>
      </c>
      <c r="P152" s="19">
        <f t="shared" si="71"/>
        <v>147000</v>
      </c>
      <c r="R152" s="19">
        <v>148</v>
      </c>
      <c r="S152" s="19">
        <f>求节点(其他调用!C$4:C$163,其他调用!$B$4:$B$163,其他调用!$C151)</f>
        <v>148</v>
      </c>
      <c r="T152" s="19">
        <f>求节点(其他调用!D$4:D$163,其他调用!$B$4:$B$163,其他调用!$C151)</f>
        <v>144.29299679585782</v>
      </c>
      <c r="U152" s="19">
        <f>求节点(其他调用!E$4:E$163,其他调用!$B$4:$B$163,其他调用!$C151)</f>
        <v>141.28360392086324</v>
      </c>
      <c r="V152" s="19">
        <f>求节点(其他调用!F$4:F$163,其他调用!$B$4:$B$163,其他调用!$C151)</f>
        <v>138.64927450706389</v>
      </c>
      <c r="W152" s="19">
        <f>求节点(其他调用!G$4:G$163,其他调用!$B$4:$B$163,其他调用!$C151)</f>
        <v>136.09753060436248</v>
      </c>
      <c r="X152" s="19">
        <f t="shared" si="72"/>
        <v>3180</v>
      </c>
      <c r="Y152" s="19">
        <f t="shared" si="73"/>
        <v>3180</v>
      </c>
      <c r="Z152" s="19">
        <f t="shared" si="74"/>
        <v>3180</v>
      </c>
      <c r="AA152" s="19">
        <f t="shared" si="75"/>
        <v>3180</v>
      </c>
      <c r="AB152" s="19">
        <f t="shared" si="76"/>
        <v>3180</v>
      </c>
      <c r="AC152" s="19">
        <f t="shared" si="77"/>
        <v>35460</v>
      </c>
      <c r="AD152" s="19">
        <f t="shared" si="78"/>
        <v>35460</v>
      </c>
      <c r="AE152" s="19">
        <f t="shared" si="79"/>
        <v>35460</v>
      </c>
      <c r="AF152" s="19">
        <f t="shared" si="80"/>
        <v>35460</v>
      </c>
      <c r="AG152" s="19">
        <f t="shared" si="81"/>
        <v>35460</v>
      </c>
      <c r="AH152" s="19">
        <f t="shared" si="82"/>
        <v>765000</v>
      </c>
      <c r="AI152" s="19">
        <f t="shared" si="83"/>
        <v>765000</v>
      </c>
      <c r="AJ152" s="19">
        <f t="shared" si="84"/>
        <v>765000</v>
      </c>
      <c r="AK152" s="19">
        <f t="shared" si="85"/>
        <v>765000</v>
      </c>
      <c r="AL152" s="19">
        <f t="shared" si="86"/>
        <v>765000</v>
      </c>
      <c r="AM152" s="19">
        <f t="shared" si="87"/>
        <v>147000</v>
      </c>
      <c r="AN152" s="19">
        <f t="shared" si="88"/>
        <v>147000</v>
      </c>
      <c r="AO152" s="19">
        <f t="shared" si="89"/>
        <v>147000</v>
      </c>
      <c r="AP152" s="19">
        <f t="shared" si="90"/>
        <v>147000</v>
      </c>
      <c r="AQ152" s="19">
        <f t="shared" si="91"/>
        <v>147000</v>
      </c>
    </row>
    <row r="153" spans="12:43" x14ac:dyDescent="0.15">
      <c r="L153" s="19">
        <v>149</v>
      </c>
      <c r="M153" s="19">
        <f t="shared" si="68"/>
        <v>3180</v>
      </c>
      <c r="N153" s="19">
        <f t="shared" si="69"/>
        <v>35460</v>
      </c>
      <c r="O153" s="19">
        <f t="shared" si="70"/>
        <v>765000</v>
      </c>
      <c r="P153" s="19">
        <f t="shared" si="71"/>
        <v>147000</v>
      </c>
      <c r="R153" s="19">
        <v>149</v>
      </c>
      <c r="S153" s="19">
        <f>求节点(其他调用!C$4:C$163,其他调用!$B$4:$B$163,其他调用!$C152)</f>
        <v>149</v>
      </c>
      <c r="T153" s="19">
        <f>求节点(其他调用!D$4:D$163,其他调用!$B$4:$B$163,其他调用!$C152)</f>
        <v>145.24208116528993</v>
      </c>
      <c r="U153" s="19">
        <f>求节点(其他调用!E$4:E$163,其他调用!$B$4:$B$163,其他调用!$C152)</f>
        <v>142.2069524844477</v>
      </c>
      <c r="V153" s="19">
        <f>求节点(其他调用!F$4:F$163,其他调用!$B$4:$B$163,其他调用!$C152)</f>
        <v>139.63194267040043</v>
      </c>
      <c r="W153" s="19">
        <f>求节点(其他调用!G$4:G$163,其他调用!$B$4:$B$163,其他调用!$C152)</f>
        <v>137.16229299141682</v>
      </c>
      <c r="X153" s="19">
        <f t="shared" si="72"/>
        <v>3180</v>
      </c>
      <c r="Y153" s="19">
        <f t="shared" si="73"/>
        <v>3180</v>
      </c>
      <c r="Z153" s="19">
        <f t="shared" si="74"/>
        <v>3180</v>
      </c>
      <c r="AA153" s="19">
        <f t="shared" si="75"/>
        <v>3180</v>
      </c>
      <c r="AB153" s="19">
        <f t="shared" si="76"/>
        <v>3180</v>
      </c>
      <c r="AC153" s="19">
        <f t="shared" si="77"/>
        <v>35460</v>
      </c>
      <c r="AD153" s="19">
        <f t="shared" si="78"/>
        <v>35460</v>
      </c>
      <c r="AE153" s="19">
        <f t="shared" si="79"/>
        <v>35460</v>
      </c>
      <c r="AF153" s="19">
        <f t="shared" si="80"/>
        <v>35460</v>
      </c>
      <c r="AG153" s="19">
        <f t="shared" si="81"/>
        <v>35460</v>
      </c>
      <c r="AH153" s="19">
        <f t="shared" si="82"/>
        <v>765000</v>
      </c>
      <c r="AI153" s="19">
        <f t="shared" si="83"/>
        <v>765000</v>
      </c>
      <c r="AJ153" s="19">
        <f t="shared" si="84"/>
        <v>765000</v>
      </c>
      <c r="AK153" s="19">
        <f t="shared" si="85"/>
        <v>765000</v>
      </c>
      <c r="AL153" s="19">
        <f t="shared" si="86"/>
        <v>765000</v>
      </c>
      <c r="AM153" s="19">
        <f t="shared" si="87"/>
        <v>147000</v>
      </c>
      <c r="AN153" s="19">
        <f t="shared" si="88"/>
        <v>147000</v>
      </c>
      <c r="AO153" s="19">
        <f t="shared" si="89"/>
        <v>147000</v>
      </c>
      <c r="AP153" s="19">
        <f t="shared" si="90"/>
        <v>147000</v>
      </c>
      <c r="AQ153" s="19">
        <f t="shared" si="91"/>
        <v>147000</v>
      </c>
    </row>
    <row r="154" spans="12:43" x14ac:dyDescent="0.15">
      <c r="L154" s="19">
        <v>150</v>
      </c>
      <c r="M154" s="19">
        <f t="shared" si="68"/>
        <v>3180</v>
      </c>
      <c r="N154" s="19">
        <f t="shared" si="69"/>
        <v>35460</v>
      </c>
      <c r="O154" s="19">
        <f t="shared" si="70"/>
        <v>765000</v>
      </c>
      <c r="P154" s="19">
        <f t="shared" si="71"/>
        <v>147000</v>
      </c>
      <c r="R154" s="19">
        <v>150</v>
      </c>
      <c r="S154" s="19">
        <f>求节点(其他调用!C$4:C$163,其他调用!$B$4:$B$163,其他调用!$C153)</f>
        <v>150</v>
      </c>
      <c r="T154" s="19">
        <f>求节点(其他调用!D$4:D$163,其他调用!$B$4:$B$163,其他调用!$C153)</f>
        <v>146.29363241059752</v>
      </c>
      <c r="U154" s="19">
        <f>求节点(其他调用!E$4:E$163,其他调用!$B$4:$B$163,其他调用!$C153)</f>
        <v>143.22559051690689</v>
      </c>
      <c r="V154" s="19">
        <f>求节点(其他调用!F$4:F$163,其他调用!$B$4:$B$163,其他调用!$C153)</f>
        <v>140.70061978068478</v>
      </c>
      <c r="W154" s="19">
        <f>求节点(其他调用!G$4:G$163,其他调用!$B$4:$B$163,其他调用!$C153)</f>
        <v>138.36886862427824</v>
      </c>
      <c r="X154" s="19">
        <f t="shared" si="72"/>
        <v>3180</v>
      </c>
      <c r="Y154" s="19">
        <f t="shared" si="73"/>
        <v>3180</v>
      </c>
      <c r="Z154" s="19">
        <f t="shared" si="74"/>
        <v>3180</v>
      </c>
      <c r="AA154" s="19">
        <f t="shared" si="75"/>
        <v>3180</v>
      </c>
      <c r="AB154" s="19">
        <f t="shared" si="76"/>
        <v>3180</v>
      </c>
      <c r="AC154" s="19">
        <f t="shared" si="77"/>
        <v>35460</v>
      </c>
      <c r="AD154" s="19">
        <f t="shared" si="78"/>
        <v>35460</v>
      </c>
      <c r="AE154" s="19">
        <f t="shared" si="79"/>
        <v>35460</v>
      </c>
      <c r="AF154" s="19">
        <f t="shared" si="80"/>
        <v>35460</v>
      </c>
      <c r="AG154" s="19">
        <f t="shared" si="81"/>
        <v>35460</v>
      </c>
      <c r="AH154" s="19">
        <f t="shared" si="82"/>
        <v>765000</v>
      </c>
      <c r="AI154" s="19">
        <f t="shared" si="83"/>
        <v>765000</v>
      </c>
      <c r="AJ154" s="19">
        <f t="shared" si="84"/>
        <v>765000</v>
      </c>
      <c r="AK154" s="19">
        <f t="shared" si="85"/>
        <v>765000</v>
      </c>
      <c r="AL154" s="19">
        <f t="shared" si="86"/>
        <v>765000</v>
      </c>
      <c r="AM154" s="19">
        <f t="shared" si="87"/>
        <v>147000</v>
      </c>
      <c r="AN154" s="19">
        <f t="shared" si="88"/>
        <v>147000</v>
      </c>
      <c r="AO154" s="19">
        <f t="shared" si="89"/>
        <v>147000</v>
      </c>
      <c r="AP154" s="19">
        <f t="shared" si="90"/>
        <v>147000</v>
      </c>
      <c r="AQ154" s="19">
        <f t="shared" si="91"/>
        <v>147000</v>
      </c>
    </row>
    <row r="155" spans="12:43" x14ac:dyDescent="0.15">
      <c r="L155" s="19">
        <v>151</v>
      </c>
      <c r="M155" s="19">
        <f t="shared" si="68"/>
        <v>3180</v>
      </c>
      <c r="N155" s="19">
        <f t="shared" si="69"/>
        <v>35460</v>
      </c>
      <c r="O155" s="19">
        <f t="shared" si="70"/>
        <v>765000</v>
      </c>
      <c r="P155" s="19">
        <f t="shared" si="71"/>
        <v>147000</v>
      </c>
      <c r="R155" s="19">
        <v>151</v>
      </c>
      <c r="S155" s="19">
        <f>求节点(其他调用!C$4:C$163,其他调用!$B$4:$B$163,其他调用!$C154)</f>
        <v>151</v>
      </c>
      <c r="T155" s="19">
        <f>求节点(其他调用!D$4:D$163,其他调用!$B$4:$B$163,其他调用!$C154)</f>
        <v>147.30191563115952</v>
      </c>
      <c r="U155" s="19">
        <f>求节点(其他调用!E$4:E$163,其他调用!$B$4:$B$163,其他调用!$C154)</f>
        <v>144.19992385918272</v>
      </c>
      <c r="V155" s="19">
        <f>求节点(其他调用!F$4:F$163,其他调用!$B$4:$B$163,其他调用!$C154)</f>
        <v>141.69277967986494</v>
      </c>
      <c r="W155" s="19">
        <f>求节点(其他调用!G$4:G$163,其他调用!$B$4:$B$163,其他调用!$C154)</f>
        <v>139.47770829270974</v>
      </c>
      <c r="X155" s="19">
        <f t="shared" si="72"/>
        <v>3180</v>
      </c>
      <c r="Y155" s="19">
        <f t="shared" si="73"/>
        <v>3180</v>
      </c>
      <c r="Z155" s="19">
        <f t="shared" si="74"/>
        <v>3180</v>
      </c>
      <c r="AA155" s="19">
        <f t="shared" si="75"/>
        <v>3180</v>
      </c>
      <c r="AB155" s="19">
        <f t="shared" si="76"/>
        <v>3180</v>
      </c>
      <c r="AC155" s="19">
        <f t="shared" si="77"/>
        <v>35460</v>
      </c>
      <c r="AD155" s="19">
        <f t="shared" si="78"/>
        <v>35460</v>
      </c>
      <c r="AE155" s="19">
        <f t="shared" si="79"/>
        <v>35460</v>
      </c>
      <c r="AF155" s="19">
        <f t="shared" si="80"/>
        <v>35460</v>
      </c>
      <c r="AG155" s="19">
        <f t="shared" si="81"/>
        <v>35460</v>
      </c>
      <c r="AH155" s="19">
        <f t="shared" si="82"/>
        <v>765000</v>
      </c>
      <c r="AI155" s="19">
        <f t="shared" si="83"/>
        <v>765000</v>
      </c>
      <c r="AJ155" s="19">
        <f t="shared" si="84"/>
        <v>765000</v>
      </c>
      <c r="AK155" s="19">
        <f t="shared" si="85"/>
        <v>765000</v>
      </c>
      <c r="AL155" s="19">
        <f t="shared" si="86"/>
        <v>765000</v>
      </c>
      <c r="AM155" s="19">
        <f t="shared" si="87"/>
        <v>147000</v>
      </c>
      <c r="AN155" s="19">
        <f t="shared" si="88"/>
        <v>147000</v>
      </c>
      <c r="AO155" s="19">
        <f t="shared" si="89"/>
        <v>147000</v>
      </c>
      <c r="AP155" s="19">
        <f t="shared" si="90"/>
        <v>147000</v>
      </c>
      <c r="AQ155" s="19">
        <f t="shared" si="91"/>
        <v>147000</v>
      </c>
    </row>
    <row r="156" spans="12:43" x14ac:dyDescent="0.15">
      <c r="L156" s="19">
        <v>152</v>
      </c>
      <c r="M156" s="19">
        <f t="shared" si="68"/>
        <v>3180</v>
      </c>
      <c r="N156" s="19">
        <f t="shared" si="69"/>
        <v>35460</v>
      </c>
      <c r="O156" s="19">
        <f t="shared" si="70"/>
        <v>765000</v>
      </c>
      <c r="P156" s="19">
        <f t="shared" si="71"/>
        <v>147000</v>
      </c>
      <c r="R156" s="19">
        <v>152</v>
      </c>
      <c r="S156" s="19">
        <f>求节点(其他调用!C$4:C$163,其他调用!$B$4:$B$163,其他调用!$C155)</f>
        <v>152</v>
      </c>
      <c r="T156" s="19">
        <f>求节点(其他调用!D$4:D$163,其他调用!$B$4:$B$163,其他调用!$C155)</f>
        <v>148.26231072475827</v>
      </c>
      <c r="U156" s="19">
        <f>求节点(其他调用!E$4:E$163,其他调用!$B$4:$B$163,其他调用!$C155)</f>
        <v>145.15546554220816</v>
      </c>
      <c r="V156" s="19">
        <f>求节点(其他调用!F$4:F$163,其他调用!$B$4:$B$163,其他调用!$C155)</f>
        <v>142.66725830649619</v>
      </c>
      <c r="W156" s="19">
        <f>求节点(其他调用!G$4:G$163,其他调用!$B$4:$B$163,其他调用!$C155)</f>
        <v>140.52565016501836</v>
      </c>
      <c r="X156" s="19">
        <f t="shared" si="72"/>
        <v>3180</v>
      </c>
      <c r="Y156" s="19">
        <f t="shared" si="73"/>
        <v>3180</v>
      </c>
      <c r="Z156" s="19">
        <f t="shared" si="74"/>
        <v>3180</v>
      </c>
      <c r="AA156" s="19">
        <f t="shared" si="75"/>
        <v>3180</v>
      </c>
      <c r="AB156" s="19">
        <f t="shared" si="76"/>
        <v>3180</v>
      </c>
      <c r="AC156" s="19">
        <f t="shared" si="77"/>
        <v>35460</v>
      </c>
      <c r="AD156" s="19">
        <f t="shared" si="78"/>
        <v>35460</v>
      </c>
      <c r="AE156" s="19">
        <f t="shared" si="79"/>
        <v>35460</v>
      </c>
      <c r="AF156" s="19">
        <f t="shared" si="80"/>
        <v>35460</v>
      </c>
      <c r="AG156" s="19">
        <f t="shared" si="81"/>
        <v>35460</v>
      </c>
      <c r="AH156" s="19">
        <f t="shared" si="82"/>
        <v>765000</v>
      </c>
      <c r="AI156" s="19">
        <f t="shared" si="83"/>
        <v>765000</v>
      </c>
      <c r="AJ156" s="19">
        <f t="shared" si="84"/>
        <v>765000</v>
      </c>
      <c r="AK156" s="19">
        <f t="shared" si="85"/>
        <v>765000</v>
      </c>
      <c r="AL156" s="19">
        <f t="shared" si="86"/>
        <v>765000</v>
      </c>
      <c r="AM156" s="19">
        <f t="shared" si="87"/>
        <v>147000</v>
      </c>
      <c r="AN156" s="19">
        <f t="shared" si="88"/>
        <v>147000</v>
      </c>
      <c r="AO156" s="19">
        <f t="shared" si="89"/>
        <v>147000</v>
      </c>
      <c r="AP156" s="19">
        <f t="shared" si="90"/>
        <v>147000</v>
      </c>
      <c r="AQ156" s="19">
        <f t="shared" si="91"/>
        <v>147000</v>
      </c>
    </row>
    <row r="157" spans="12:43" x14ac:dyDescent="0.15">
      <c r="L157" s="19">
        <v>153</v>
      </c>
      <c r="M157" s="19">
        <f t="shared" si="68"/>
        <v>3180</v>
      </c>
      <c r="N157" s="19">
        <f t="shared" si="69"/>
        <v>35460</v>
      </c>
      <c r="O157" s="19">
        <f t="shared" si="70"/>
        <v>765000</v>
      </c>
      <c r="P157" s="19">
        <f t="shared" si="71"/>
        <v>147000</v>
      </c>
      <c r="R157" s="19">
        <v>153</v>
      </c>
      <c r="S157" s="19">
        <f>求节点(其他调用!C$4:C$163,其他调用!$B$4:$B$163,其他调用!$C156)</f>
        <v>153</v>
      </c>
      <c r="T157" s="19">
        <f>求节点(其他调用!D$4:D$163,其他调用!$B$4:$B$163,其他调用!$C156)</f>
        <v>149.22724439493442</v>
      </c>
      <c r="U157" s="19">
        <f>求节点(其他调用!E$4:E$163,其他调用!$B$4:$B$163,其他调用!$C156)</f>
        <v>146.18094645470723</v>
      </c>
      <c r="V157" s="19">
        <f>求节点(其他调用!F$4:F$163,其他调用!$B$4:$B$163,其他调用!$C156)</f>
        <v>143.69564459576247</v>
      </c>
      <c r="W157" s="19">
        <f>求节点(其他调用!G$4:G$163,其他调用!$B$4:$B$163,其他调用!$C156)</f>
        <v>141.61624630282981</v>
      </c>
      <c r="X157" s="19">
        <f t="shared" si="72"/>
        <v>3180</v>
      </c>
      <c r="Y157" s="19">
        <f t="shared" si="73"/>
        <v>3180</v>
      </c>
      <c r="Z157" s="19">
        <f t="shared" si="74"/>
        <v>3180</v>
      </c>
      <c r="AA157" s="19">
        <f t="shared" si="75"/>
        <v>3180</v>
      </c>
      <c r="AB157" s="19">
        <f t="shared" si="76"/>
        <v>3180</v>
      </c>
      <c r="AC157" s="19">
        <f t="shared" si="77"/>
        <v>35460</v>
      </c>
      <c r="AD157" s="19">
        <f t="shared" si="78"/>
        <v>35460</v>
      </c>
      <c r="AE157" s="19">
        <f t="shared" si="79"/>
        <v>35460</v>
      </c>
      <c r="AF157" s="19">
        <f t="shared" si="80"/>
        <v>35460</v>
      </c>
      <c r="AG157" s="19">
        <f t="shared" si="81"/>
        <v>35460</v>
      </c>
      <c r="AH157" s="19">
        <f t="shared" si="82"/>
        <v>765000</v>
      </c>
      <c r="AI157" s="19">
        <f t="shared" si="83"/>
        <v>765000</v>
      </c>
      <c r="AJ157" s="19">
        <f t="shared" si="84"/>
        <v>765000</v>
      </c>
      <c r="AK157" s="19">
        <f t="shared" si="85"/>
        <v>765000</v>
      </c>
      <c r="AL157" s="19">
        <f t="shared" si="86"/>
        <v>765000</v>
      </c>
      <c r="AM157" s="19">
        <f t="shared" si="87"/>
        <v>147000</v>
      </c>
      <c r="AN157" s="19">
        <f t="shared" si="88"/>
        <v>147000</v>
      </c>
      <c r="AO157" s="19">
        <f t="shared" si="89"/>
        <v>147000</v>
      </c>
      <c r="AP157" s="19">
        <f t="shared" si="90"/>
        <v>147000</v>
      </c>
      <c r="AQ157" s="19">
        <f t="shared" si="91"/>
        <v>147000</v>
      </c>
    </row>
    <row r="158" spans="12:43" x14ac:dyDescent="0.15">
      <c r="L158" s="19">
        <v>154</v>
      </c>
      <c r="M158" s="19">
        <f t="shared" si="68"/>
        <v>3180</v>
      </c>
      <c r="N158" s="19">
        <f t="shared" si="69"/>
        <v>35460</v>
      </c>
      <c r="O158" s="19">
        <f t="shared" si="70"/>
        <v>765000</v>
      </c>
      <c r="P158" s="19">
        <f t="shared" si="71"/>
        <v>147000</v>
      </c>
      <c r="R158" s="19">
        <v>154</v>
      </c>
      <c r="S158" s="19">
        <f>求节点(其他调用!C$4:C$163,其他调用!$B$4:$B$163,其他调用!$C157)</f>
        <v>154</v>
      </c>
      <c r="T158" s="19">
        <f>求节点(其他调用!D$4:D$163,其他调用!$B$4:$B$163,其他调用!$C157)</f>
        <v>150.20047026037338</v>
      </c>
      <c r="U158" s="19">
        <f>求节点(其他调用!E$4:E$163,其他调用!$B$4:$B$163,其他调用!$C157)</f>
        <v>147.18629370451961</v>
      </c>
      <c r="V158" s="19">
        <f>求节点(其他调用!F$4:F$163,其他调用!$B$4:$B$163,其他调用!$C157)</f>
        <v>144.72804176956279</v>
      </c>
      <c r="W158" s="19">
        <f>求节点(其他调用!G$4:G$163,其他调用!$B$4:$B$163,其他调用!$C157)</f>
        <v>142.69284640920316</v>
      </c>
      <c r="X158" s="19">
        <f t="shared" si="72"/>
        <v>3180</v>
      </c>
      <c r="Y158" s="19">
        <f t="shared" si="73"/>
        <v>3180</v>
      </c>
      <c r="Z158" s="19">
        <f t="shared" si="74"/>
        <v>3180</v>
      </c>
      <c r="AA158" s="19">
        <f t="shared" si="75"/>
        <v>3180</v>
      </c>
      <c r="AB158" s="19">
        <f t="shared" si="76"/>
        <v>3180</v>
      </c>
      <c r="AC158" s="19">
        <f t="shared" si="77"/>
        <v>35460</v>
      </c>
      <c r="AD158" s="19">
        <f t="shared" si="78"/>
        <v>35460</v>
      </c>
      <c r="AE158" s="19">
        <f t="shared" si="79"/>
        <v>35460</v>
      </c>
      <c r="AF158" s="19">
        <f t="shared" si="80"/>
        <v>35460</v>
      </c>
      <c r="AG158" s="19">
        <f t="shared" si="81"/>
        <v>35460</v>
      </c>
      <c r="AH158" s="19">
        <f t="shared" si="82"/>
        <v>765000</v>
      </c>
      <c r="AI158" s="19">
        <f t="shared" si="83"/>
        <v>765000</v>
      </c>
      <c r="AJ158" s="19">
        <f t="shared" si="84"/>
        <v>765000</v>
      </c>
      <c r="AK158" s="19">
        <f t="shared" si="85"/>
        <v>765000</v>
      </c>
      <c r="AL158" s="19">
        <f t="shared" si="86"/>
        <v>765000</v>
      </c>
      <c r="AM158" s="19">
        <f t="shared" si="87"/>
        <v>147000</v>
      </c>
      <c r="AN158" s="19">
        <f t="shared" si="88"/>
        <v>147000</v>
      </c>
      <c r="AO158" s="19">
        <f t="shared" si="89"/>
        <v>147000</v>
      </c>
      <c r="AP158" s="19">
        <f t="shared" si="90"/>
        <v>147000</v>
      </c>
      <c r="AQ158" s="19">
        <f t="shared" si="91"/>
        <v>147000</v>
      </c>
    </row>
    <row r="159" spans="12:43" x14ac:dyDescent="0.15">
      <c r="L159" s="19">
        <v>155</v>
      </c>
      <c r="M159" s="19">
        <f t="shared" si="68"/>
        <v>3180</v>
      </c>
      <c r="N159" s="19">
        <f t="shared" si="69"/>
        <v>35460</v>
      </c>
      <c r="O159" s="19">
        <f t="shared" si="70"/>
        <v>765000</v>
      </c>
      <c r="P159" s="19">
        <f t="shared" si="71"/>
        <v>147000</v>
      </c>
      <c r="R159" s="19">
        <v>155</v>
      </c>
      <c r="S159" s="19">
        <f>求节点(其他调用!C$4:C$163,其他调用!$B$4:$B$163,其他调用!$C158)</f>
        <v>155</v>
      </c>
      <c r="T159" s="19">
        <f>求节点(其他调用!D$4:D$163,其他调用!$B$4:$B$163,其他调用!$C158)</f>
        <v>151.22544745995287</v>
      </c>
      <c r="U159" s="19">
        <f>求节点(其他调用!E$4:E$163,其他调用!$B$4:$B$163,其他调用!$C158)</f>
        <v>148.13350001027095</v>
      </c>
      <c r="V159" s="19">
        <f>求节点(其他调用!F$4:F$163,其他调用!$B$4:$B$163,其他调用!$C158)</f>
        <v>145.77635177699014</v>
      </c>
      <c r="W159" s="19">
        <f>求节点(其他调用!G$4:G$163,其他调用!$B$4:$B$163,其他调用!$C158)</f>
        <v>143.78889057973333</v>
      </c>
      <c r="X159" s="19">
        <f t="shared" si="72"/>
        <v>3180</v>
      </c>
      <c r="Y159" s="19">
        <f t="shared" si="73"/>
        <v>3180</v>
      </c>
      <c r="Z159" s="19">
        <f t="shared" si="74"/>
        <v>3180</v>
      </c>
      <c r="AA159" s="19">
        <f t="shared" si="75"/>
        <v>3180</v>
      </c>
      <c r="AB159" s="19">
        <f t="shared" si="76"/>
        <v>3180</v>
      </c>
      <c r="AC159" s="19">
        <f t="shared" si="77"/>
        <v>35460</v>
      </c>
      <c r="AD159" s="19">
        <f t="shared" si="78"/>
        <v>35460</v>
      </c>
      <c r="AE159" s="19">
        <f t="shared" si="79"/>
        <v>35460</v>
      </c>
      <c r="AF159" s="19">
        <f t="shared" si="80"/>
        <v>35460</v>
      </c>
      <c r="AG159" s="19">
        <f t="shared" si="81"/>
        <v>35460</v>
      </c>
      <c r="AH159" s="19">
        <f t="shared" si="82"/>
        <v>765000</v>
      </c>
      <c r="AI159" s="19">
        <f t="shared" si="83"/>
        <v>765000</v>
      </c>
      <c r="AJ159" s="19">
        <f t="shared" si="84"/>
        <v>765000</v>
      </c>
      <c r="AK159" s="19">
        <f t="shared" si="85"/>
        <v>765000</v>
      </c>
      <c r="AL159" s="19">
        <f t="shared" si="86"/>
        <v>765000</v>
      </c>
      <c r="AM159" s="19">
        <f t="shared" si="87"/>
        <v>147000</v>
      </c>
      <c r="AN159" s="19">
        <f t="shared" si="88"/>
        <v>147000</v>
      </c>
      <c r="AO159" s="19">
        <f t="shared" si="89"/>
        <v>147000</v>
      </c>
      <c r="AP159" s="19">
        <f t="shared" si="90"/>
        <v>147000</v>
      </c>
      <c r="AQ159" s="19">
        <f t="shared" si="91"/>
        <v>147000</v>
      </c>
    </row>
    <row r="160" spans="12:43" x14ac:dyDescent="0.15">
      <c r="L160" s="19">
        <v>156</v>
      </c>
      <c r="M160" s="19">
        <f t="shared" si="68"/>
        <v>3180</v>
      </c>
      <c r="N160" s="19">
        <f t="shared" si="69"/>
        <v>35460</v>
      </c>
      <c r="O160" s="19">
        <f t="shared" si="70"/>
        <v>765000</v>
      </c>
      <c r="P160" s="19">
        <f t="shared" si="71"/>
        <v>147000</v>
      </c>
      <c r="R160" s="19">
        <v>156</v>
      </c>
      <c r="S160" s="19">
        <f>求节点(其他调用!C$4:C$163,其他调用!$B$4:$B$163,其他调用!$C159)</f>
        <v>156</v>
      </c>
      <c r="T160" s="19">
        <f>求节点(其他调用!D$4:D$163,其他调用!$B$4:$B$163,其他调用!$C159)</f>
        <v>151.87386680858575</v>
      </c>
      <c r="U160" s="19">
        <f>求节点(其他调用!E$4:E$163,其他调用!$B$4:$B$163,其他调用!$C159)</f>
        <v>148.70542536375274</v>
      </c>
      <c r="V160" s="19">
        <f>求节点(其他调用!F$4:F$163,其他调用!$B$4:$B$163,其他调用!$C159)</f>
        <v>146.41614684728927</v>
      </c>
      <c r="W160" s="19">
        <f>求节点(其他调用!G$4:G$163,其他调用!$B$4:$B$163,其他调用!$C159)</f>
        <v>144.48550825462956</v>
      </c>
      <c r="X160" s="19">
        <f t="shared" si="72"/>
        <v>3180</v>
      </c>
      <c r="Y160" s="19">
        <f t="shared" si="73"/>
        <v>3180</v>
      </c>
      <c r="Z160" s="19">
        <f t="shared" si="74"/>
        <v>3180</v>
      </c>
      <c r="AA160" s="19">
        <f t="shared" si="75"/>
        <v>3180</v>
      </c>
      <c r="AB160" s="19">
        <f t="shared" si="76"/>
        <v>3180</v>
      </c>
      <c r="AC160" s="19">
        <f t="shared" si="77"/>
        <v>35460</v>
      </c>
      <c r="AD160" s="19">
        <f t="shared" si="78"/>
        <v>35460</v>
      </c>
      <c r="AE160" s="19">
        <f t="shared" si="79"/>
        <v>35460</v>
      </c>
      <c r="AF160" s="19">
        <f t="shared" si="80"/>
        <v>35460</v>
      </c>
      <c r="AG160" s="19">
        <f t="shared" si="81"/>
        <v>35460</v>
      </c>
      <c r="AH160" s="19">
        <f t="shared" si="82"/>
        <v>765000</v>
      </c>
      <c r="AI160" s="19">
        <f t="shared" si="83"/>
        <v>765000</v>
      </c>
      <c r="AJ160" s="19">
        <f t="shared" si="84"/>
        <v>765000</v>
      </c>
      <c r="AK160" s="19">
        <f t="shared" si="85"/>
        <v>765000</v>
      </c>
      <c r="AL160" s="19">
        <f t="shared" si="86"/>
        <v>765000</v>
      </c>
      <c r="AM160" s="19">
        <f t="shared" si="87"/>
        <v>147000</v>
      </c>
      <c r="AN160" s="19">
        <f t="shared" si="88"/>
        <v>147000</v>
      </c>
      <c r="AO160" s="19">
        <f t="shared" si="89"/>
        <v>147000</v>
      </c>
      <c r="AP160" s="19">
        <f t="shared" si="90"/>
        <v>147000</v>
      </c>
      <c r="AQ160" s="19">
        <f t="shared" si="91"/>
        <v>147000</v>
      </c>
    </row>
    <row r="161" spans="12:43" x14ac:dyDescent="0.15">
      <c r="L161" s="19">
        <v>157</v>
      </c>
      <c r="M161" s="19">
        <f t="shared" si="68"/>
        <v>3180</v>
      </c>
      <c r="N161" s="19">
        <f t="shared" si="69"/>
        <v>35460</v>
      </c>
      <c r="O161" s="19">
        <f t="shared" si="70"/>
        <v>765000</v>
      </c>
      <c r="P161" s="19">
        <f t="shared" si="71"/>
        <v>147000</v>
      </c>
      <c r="R161" s="19">
        <v>157</v>
      </c>
      <c r="S161" s="19">
        <f>求节点(其他调用!C$4:C$163,其他调用!$B$4:$B$163,其他调用!$C160)</f>
        <v>157</v>
      </c>
      <c r="T161" s="19">
        <f>求节点(其他调用!D$4:D$163,其他调用!$B$4:$B$163,其他调用!$C160)</f>
        <v>152.28799293356656</v>
      </c>
      <c r="U161" s="19">
        <f>求节点(其他调用!E$4:E$163,其他调用!$B$4:$B$163,其他调用!$C160)</f>
        <v>149.09377422591396</v>
      </c>
      <c r="V161" s="19">
        <f>求节点(其他调用!F$4:F$163,其他调用!$B$4:$B$163,其他调用!$C160)</f>
        <v>146.84203004069025</v>
      </c>
      <c r="W161" s="19">
        <f>求节点(其他调用!G$4:G$163,其他调用!$B$4:$B$163,其他调用!$C160)</f>
        <v>144.95885946524785</v>
      </c>
      <c r="X161" s="19">
        <f t="shared" si="72"/>
        <v>3180</v>
      </c>
      <c r="Y161" s="19">
        <f t="shared" si="73"/>
        <v>3180</v>
      </c>
      <c r="Z161" s="19">
        <f t="shared" si="74"/>
        <v>3180</v>
      </c>
      <c r="AA161" s="19">
        <f t="shared" si="75"/>
        <v>3180</v>
      </c>
      <c r="AB161" s="19">
        <f t="shared" si="76"/>
        <v>3180</v>
      </c>
      <c r="AC161" s="19">
        <f t="shared" si="77"/>
        <v>35460</v>
      </c>
      <c r="AD161" s="19">
        <f t="shared" si="78"/>
        <v>35460</v>
      </c>
      <c r="AE161" s="19">
        <f t="shared" si="79"/>
        <v>35460</v>
      </c>
      <c r="AF161" s="19">
        <f t="shared" si="80"/>
        <v>35460</v>
      </c>
      <c r="AG161" s="19">
        <f t="shared" si="81"/>
        <v>35460</v>
      </c>
      <c r="AH161" s="19">
        <f t="shared" si="82"/>
        <v>765000</v>
      </c>
      <c r="AI161" s="19">
        <f t="shared" si="83"/>
        <v>765000</v>
      </c>
      <c r="AJ161" s="19">
        <f t="shared" si="84"/>
        <v>765000</v>
      </c>
      <c r="AK161" s="19">
        <f t="shared" si="85"/>
        <v>765000</v>
      </c>
      <c r="AL161" s="19">
        <f t="shared" si="86"/>
        <v>765000</v>
      </c>
      <c r="AM161" s="19">
        <f t="shared" si="87"/>
        <v>147000</v>
      </c>
      <c r="AN161" s="19">
        <f t="shared" si="88"/>
        <v>147000</v>
      </c>
      <c r="AO161" s="19">
        <f t="shared" si="89"/>
        <v>147000</v>
      </c>
      <c r="AP161" s="19">
        <f t="shared" si="90"/>
        <v>147000</v>
      </c>
      <c r="AQ161" s="19">
        <f t="shared" si="91"/>
        <v>147000</v>
      </c>
    </row>
    <row r="162" spans="12:43" x14ac:dyDescent="0.15">
      <c r="L162" s="19">
        <v>158</v>
      </c>
      <c r="M162" s="19">
        <f t="shared" si="68"/>
        <v>3180</v>
      </c>
      <c r="N162" s="19">
        <f t="shared" si="69"/>
        <v>35460</v>
      </c>
      <c r="O162" s="19">
        <f t="shared" si="70"/>
        <v>765000</v>
      </c>
      <c r="P162" s="19">
        <f t="shared" si="71"/>
        <v>147000</v>
      </c>
      <c r="R162" s="19">
        <v>158</v>
      </c>
      <c r="S162" s="19">
        <f>求节点(其他调用!C$4:C$163,其他调用!$B$4:$B$163,其他调用!$C161)</f>
        <v>158</v>
      </c>
      <c r="T162" s="19">
        <f>求节点(其他调用!D$4:D$163,其他调用!$B$4:$B$163,其他调用!$C161)</f>
        <v>152.5119236486014</v>
      </c>
      <c r="U162" s="19">
        <f>求节点(其他调用!E$4:E$163,其他调用!$B$4:$B$163,其他调用!$C161)</f>
        <v>149.30436048410266</v>
      </c>
      <c r="V162" s="19">
        <f>求节点(其他调用!F$4:F$163,其他调用!$B$4:$B$163,其他调用!$C161)</f>
        <v>147.07085476191776</v>
      </c>
      <c r="W162" s="19">
        <f>求节点(其他调用!G$4:G$163,其他调用!$B$4:$B$163,其他调用!$C161)</f>
        <v>145.21270539445152</v>
      </c>
      <c r="X162" s="19">
        <f t="shared" si="72"/>
        <v>3180</v>
      </c>
      <c r="Y162" s="19">
        <f t="shared" si="73"/>
        <v>3180</v>
      </c>
      <c r="Z162" s="19">
        <f t="shared" si="74"/>
        <v>3180</v>
      </c>
      <c r="AA162" s="19">
        <f t="shared" si="75"/>
        <v>3180</v>
      </c>
      <c r="AB162" s="19">
        <f t="shared" si="76"/>
        <v>3180</v>
      </c>
      <c r="AC162" s="19">
        <f t="shared" si="77"/>
        <v>35460</v>
      </c>
      <c r="AD162" s="19">
        <f t="shared" si="78"/>
        <v>35460</v>
      </c>
      <c r="AE162" s="19">
        <f t="shared" si="79"/>
        <v>35460</v>
      </c>
      <c r="AF162" s="19">
        <f t="shared" si="80"/>
        <v>35460</v>
      </c>
      <c r="AG162" s="19">
        <f t="shared" si="81"/>
        <v>35460</v>
      </c>
      <c r="AH162" s="19">
        <f t="shared" si="82"/>
        <v>765000</v>
      </c>
      <c r="AI162" s="19">
        <f t="shared" si="83"/>
        <v>765000</v>
      </c>
      <c r="AJ162" s="19">
        <f t="shared" si="84"/>
        <v>765000</v>
      </c>
      <c r="AK162" s="19">
        <f t="shared" si="85"/>
        <v>765000</v>
      </c>
      <c r="AL162" s="19">
        <f t="shared" si="86"/>
        <v>765000</v>
      </c>
      <c r="AM162" s="19">
        <f t="shared" si="87"/>
        <v>147000</v>
      </c>
      <c r="AN162" s="19">
        <f t="shared" si="88"/>
        <v>147000</v>
      </c>
      <c r="AO162" s="19">
        <f t="shared" si="89"/>
        <v>147000</v>
      </c>
      <c r="AP162" s="19">
        <f t="shared" si="90"/>
        <v>147000</v>
      </c>
      <c r="AQ162" s="19">
        <f t="shared" si="91"/>
        <v>147000</v>
      </c>
    </row>
    <row r="163" spans="12:43" x14ac:dyDescent="0.15">
      <c r="L163" s="19">
        <v>159</v>
      </c>
      <c r="M163" s="19">
        <f t="shared" si="68"/>
        <v>3180</v>
      </c>
      <c r="N163" s="19">
        <f t="shared" si="69"/>
        <v>35460</v>
      </c>
      <c r="O163" s="19">
        <f t="shared" si="70"/>
        <v>765000</v>
      </c>
      <c r="P163" s="19">
        <f t="shared" si="71"/>
        <v>147000</v>
      </c>
      <c r="R163" s="19">
        <v>159</v>
      </c>
      <c r="S163" s="19">
        <f>求节点(其他调用!C$4:C$163,其他调用!$B$4:$B$163,其他调用!$C162)</f>
        <v>159</v>
      </c>
      <c r="T163" s="19">
        <f>求节点(其他调用!D$4:D$163,其他调用!$B$4:$B$163,其他调用!$C162)</f>
        <v>152.63727744274277</v>
      </c>
      <c r="U163" s="19">
        <f>求节点(其他调用!E$4:E$163,其他调用!$B$4:$B$163,其他调用!$C162)</f>
        <v>149.42224420744043</v>
      </c>
      <c r="V163" s="19">
        <f>求节点(其他调用!F$4:F$163,其他调用!$B$4:$B$163,其他调用!$C162)</f>
        <v>147.18971508748848</v>
      </c>
      <c r="W163" s="19">
        <f>求节点(其他调用!G$4:G$163,其他调用!$B$4:$B$163,其他调用!$C162)</f>
        <v>145.35380447598564</v>
      </c>
      <c r="X163" s="19">
        <f t="shared" si="72"/>
        <v>3180</v>
      </c>
      <c r="Y163" s="19">
        <f t="shared" si="73"/>
        <v>3180</v>
      </c>
      <c r="Z163" s="19">
        <f t="shared" si="74"/>
        <v>3180</v>
      </c>
      <c r="AA163" s="19">
        <f t="shared" si="75"/>
        <v>3180</v>
      </c>
      <c r="AB163" s="19">
        <f t="shared" si="76"/>
        <v>3180</v>
      </c>
      <c r="AC163" s="19">
        <f t="shared" si="77"/>
        <v>35460</v>
      </c>
      <c r="AD163" s="19">
        <f t="shared" si="78"/>
        <v>35460</v>
      </c>
      <c r="AE163" s="19">
        <f t="shared" si="79"/>
        <v>35460</v>
      </c>
      <c r="AF163" s="19">
        <f t="shared" si="80"/>
        <v>35460</v>
      </c>
      <c r="AG163" s="19">
        <f t="shared" si="81"/>
        <v>35460</v>
      </c>
      <c r="AH163" s="19">
        <f t="shared" si="82"/>
        <v>765000</v>
      </c>
      <c r="AI163" s="19">
        <f t="shared" si="83"/>
        <v>765000</v>
      </c>
      <c r="AJ163" s="19">
        <f t="shared" si="84"/>
        <v>765000</v>
      </c>
      <c r="AK163" s="19">
        <f t="shared" si="85"/>
        <v>765000</v>
      </c>
      <c r="AL163" s="19">
        <f t="shared" si="86"/>
        <v>765000</v>
      </c>
      <c r="AM163" s="19">
        <f t="shared" si="87"/>
        <v>147000</v>
      </c>
      <c r="AN163" s="19">
        <f t="shared" si="88"/>
        <v>147000</v>
      </c>
      <c r="AO163" s="19">
        <f t="shared" si="89"/>
        <v>147000</v>
      </c>
      <c r="AP163" s="19">
        <f t="shared" si="90"/>
        <v>147000</v>
      </c>
      <c r="AQ163" s="19">
        <f t="shared" si="91"/>
        <v>147000</v>
      </c>
    </row>
    <row r="164" spans="12:43" x14ac:dyDescent="0.15">
      <c r="L164" s="19">
        <v>160</v>
      </c>
      <c r="M164" s="19">
        <f t="shared" si="68"/>
        <v>3180</v>
      </c>
      <c r="N164" s="19">
        <f t="shared" si="69"/>
        <v>35460</v>
      </c>
      <c r="O164" s="19">
        <f t="shared" si="70"/>
        <v>765000</v>
      </c>
      <c r="P164" s="19">
        <f t="shared" si="71"/>
        <v>147000</v>
      </c>
      <c r="R164" s="19">
        <v>160</v>
      </c>
      <c r="S164" s="19">
        <f>求节点(其他调用!C$4:C$163,其他调用!$B$4:$B$163,其他调用!$C163)</f>
        <v>160</v>
      </c>
      <c r="T164" s="19">
        <f>求节点(其他调用!D$4:D$163,其他调用!$B$4:$B$163,其他调用!$C163)</f>
        <v>152.76298576424418</v>
      </c>
      <c r="U164" s="19">
        <f>求节点(其他调用!E$4:E$163,其他调用!$B$4:$B$163,其他调用!$C163)</f>
        <v>149.54046133117913</v>
      </c>
      <c r="V164" s="19">
        <f>求节点(其他调用!F$4:F$163,其他调用!$B$4:$B$163,其他调用!$C163)</f>
        <v>147.3089115755003</v>
      </c>
      <c r="W164" s="19">
        <f>求节点(其他调用!G$4:G$163,其他调用!$B$4:$B$163,其他调用!$C163)</f>
        <v>145.49530261592261</v>
      </c>
      <c r="X164" s="19">
        <f t="shared" si="72"/>
        <v>3180</v>
      </c>
      <c r="Y164" s="19">
        <f t="shared" si="73"/>
        <v>3180</v>
      </c>
      <c r="Z164" s="19">
        <f t="shared" si="74"/>
        <v>3180</v>
      </c>
      <c r="AA164" s="19">
        <f t="shared" si="75"/>
        <v>3180</v>
      </c>
      <c r="AB164" s="19">
        <f t="shared" si="76"/>
        <v>3180</v>
      </c>
      <c r="AC164" s="19">
        <f t="shared" si="77"/>
        <v>35460</v>
      </c>
      <c r="AD164" s="19">
        <f t="shared" si="78"/>
        <v>35460</v>
      </c>
      <c r="AE164" s="19">
        <f t="shared" si="79"/>
        <v>35460</v>
      </c>
      <c r="AF164" s="19">
        <f t="shared" si="80"/>
        <v>35460</v>
      </c>
      <c r="AG164" s="19">
        <f t="shared" si="81"/>
        <v>35460</v>
      </c>
      <c r="AH164" s="19">
        <f t="shared" si="82"/>
        <v>765000</v>
      </c>
      <c r="AI164" s="19">
        <f t="shared" si="83"/>
        <v>765000</v>
      </c>
      <c r="AJ164" s="19">
        <f t="shared" si="84"/>
        <v>765000</v>
      </c>
      <c r="AK164" s="19">
        <f t="shared" si="85"/>
        <v>765000</v>
      </c>
      <c r="AL164" s="19">
        <f t="shared" si="86"/>
        <v>765000</v>
      </c>
      <c r="AM164" s="19">
        <f t="shared" si="87"/>
        <v>147000</v>
      </c>
      <c r="AN164" s="19">
        <f t="shared" si="88"/>
        <v>147000</v>
      </c>
      <c r="AO164" s="19">
        <f t="shared" si="89"/>
        <v>147000</v>
      </c>
      <c r="AP164" s="19">
        <f t="shared" si="90"/>
        <v>147000</v>
      </c>
      <c r="AQ164" s="19">
        <f t="shared" si="91"/>
        <v>147000</v>
      </c>
    </row>
  </sheetData>
  <mergeCells count="19">
    <mergeCell ref="CD3:CE3"/>
    <mergeCell ref="CF3:CG3"/>
    <mergeCell ref="BU19:BX19"/>
    <mergeCell ref="AX5:AX18"/>
    <mergeCell ref="AX19:AX32"/>
    <mergeCell ref="BL3:BM3"/>
    <mergeCell ref="BN3:BO3"/>
    <mergeCell ref="BU12:BX12"/>
    <mergeCell ref="AX33:AX46"/>
    <mergeCell ref="BC3:BE3"/>
    <mergeCell ref="AZ3:BB3"/>
    <mergeCell ref="BJ5:BJ6"/>
    <mergeCell ref="BJ9:BJ10"/>
    <mergeCell ref="BJ7:BJ8"/>
    <mergeCell ref="X3:AB3"/>
    <mergeCell ref="AC3:AG3"/>
    <mergeCell ref="AH3:AL3"/>
    <mergeCell ref="AM3:AQ3"/>
    <mergeCell ref="S3:W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节奏总纲</vt:lpstr>
      <vt:lpstr>其他调用</vt:lpstr>
      <vt:lpstr>基本信息</vt:lpstr>
      <vt:lpstr>副本直接奖励</vt:lpstr>
      <vt:lpstr>活动副本-长平之战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2023-06-07T07:35:08Z</dcterms:modified>
</cp:coreProperties>
</file>