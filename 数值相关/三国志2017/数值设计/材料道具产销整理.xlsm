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D6B59D8A-5D5B-4C00-890D-F908187D0B7C}" xr6:coauthVersionLast="45" xr6:coauthVersionMax="45" xr10:uidLastSave="{00000000-0000-0000-0000-000000000000}"/>
  <bookViews>
    <workbookView xWindow="-120" yWindow="-120" windowWidth="29040" windowHeight="15840" tabRatio="822" firstSheet="1" activeTab="2" xr2:uid="{00000000-000D-0000-FFFF-FFFF00000000}"/>
  </bookViews>
  <sheets>
    <sheet name="属性计算" sheetId="35" state="hidden" r:id="rId1"/>
    <sheet name="资源货币产出分布（2020.6.23先锋测试版本）" sheetId="57" r:id="rId2"/>
    <sheet name="资源货币产出分布（2020.7.13）" sheetId="63" r:id="rId3"/>
    <sheet name="Sheet1" sheetId="62" r:id="rId4"/>
    <sheet name="大地图产出细化" sheetId="60" r:id="rId5"/>
    <sheet name="商店分类产出规划" sheetId="58" r:id="rId6"/>
    <sheet name="钻石产出各功能占比" sheetId="61" r:id="rId7"/>
  </sheets>
  <functionGroups builtInGroupCount="19"/>
  <externalReferences>
    <externalReference r:id="rId8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H6" i="61" l="1"/>
  <c r="H7" i="61"/>
  <c r="H5" i="61"/>
  <c r="D17" i="61"/>
  <c r="N8" i="60" l="1"/>
  <c r="N7" i="60"/>
  <c r="J6" i="35" l="1"/>
  <c r="K6" i="35"/>
  <c r="L6" i="35"/>
  <c r="M6" i="35"/>
  <c r="N6" i="35"/>
  <c r="J7" i="35"/>
  <c r="K7" i="35"/>
  <c r="L7" i="35"/>
  <c r="M7" i="35"/>
  <c r="N7" i="35"/>
  <c r="J8" i="35"/>
  <c r="K8" i="35"/>
  <c r="L8" i="35"/>
  <c r="M8" i="35"/>
  <c r="N8" i="35"/>
  <c r="J9" i="35"/>
  <c r="K9" i="35"/>
  <c r="L9" i="35"/>
  <c r="M9" i="35"/>
  <c r="N9" i="35"/>
  <c r="J10" i="35"/>
  <c r="K10" i="35"/>
  <c r="L10" i="35"/>
  <c r="M10" i="35"/>
  <c r="N10" i="35"/>
  <c r="J11" i="35"/>
  <c r="K11" i="35"/>
  <c r="L11" i="35"/>
  <c r="M11" i="35"/>
  <c r="N11" i="35"/>
  <c r="J12" i="35"/>
  <c r="K12" i="35"/>
  <c r="L12" i="35"/>
  <c r="M12" i="35"/>
  <c r="N12" i="35"/>
  <c r="J13" i="35"/>
  <c r="K13" i="35"/>
  <c r="L13" i="35"/>
  <c r="M13" i="35"/>
  <c r="N13" i="35"/>
  <c r="J14" i="35"/>
  <c r="K14" i="35"/>
  <c r="L14" i="35"/>
  <c r="M14" i="35"/>
  <c r="N14" i="35"/>
  <c r="J15" i="35"/>
  <c r="K15" i="35"/>
  <c r="L15" i="35"/>
  <c r="M15" i="35"/>
  <c r="N15" i="35"/>
  <c r="J16" i="35"/>
  <c r="K16" i="35"/>
  <c r="L16" i="35"/>
  <c r="M16" i="35"/>
  <c r="N16" i="35"/>
  <c r="J17" i="35"/>
  <c r="K17" i="35"/>
  <c r="L17" i="35"/>
  <c r="M17" i="35"/>
  <c r="N17" i="35"/>
  <c r="J18" i="35"/>
  <c r="K18" i="35"/>
  <c r="L18" i="35"/>
  <c r="M18" i="35"/>
  <c r="N18" i="35"/>
  <c r="J19" i="35"/>
  <c r="K19" i="35"/>
  <c r="L19" i="35"/>
  <c r="M19" i="35"/>
  <c r="N19" i="35"/>
  <c r="J20" i="35"/>
  <c r="K20" i="35"/>
  <c r="L20" i="35"/>
  <c r="M20" i="35"/>
  <c r="N20" i="35"/>
  <c r="J21" i="35"/>
  <c r="K21" i="35"/>
  <c r="L21" i="35"/>
  <c r="M21" i="35"/>
  <c r="N21" i="35"/>
  <c r="J22" i="35"/>
  <c r="K22" i="35"/>
  <c r="L22" i="35"/>
  <c r="M22" i="35"/>
  <c r="N22" i="35"/>
  <c r="J23" i="35"/>
  <c r="K23" i="35"/>
  <c r="L23" i="35"/>
  <c r="M23" i="35"/>
  <c r="N23" i="35"/>
  <c r="J24" i="35"/>
  <c r="Q5" i="35" s="1"/>
  <c r="K24" i="35"/>
  <c r="L24" i="35"/>
  <c r="M24" i="35"/>
  <c r="N24" i="35"/>
  <c r="J25" i="35"/>
  <c r="K25" i="35"/>
  <c r="L25" i="35"/>
  <c r="M25" i="35"/>
  <c r="N25" i="35"/>
  <c r="J26" i="35"/>
  <c r="K26" i="35"/>
  <c r="L26" i="35"/>
  <c r="M26" i="35"/>
  <c r="N26" i="35"/>
  <c r="J27" i="35"/>
  <c r="K27" i="35"/>
  <c r="L27" i="35"/>
  <c r="M27" i="35"/>
  <c r="N27" i="35"/>
  <c r="J28" i="35"/>
  <c r="K28" i="35"/>
  <c r="L28" i="35"/>
  <c r="M28" i="35"/>
  <c r="N28" i="35"/>
  <c r="J29" i="35"/>
  <c r="K29" i="35"/>
  <c r="L29" i="35"/>
  <c r="M29" i="35"/>
  <c r="N29" i="35"/>
  <c r="J30" i="35"/>
  <c r="K30" i="35"/>
  <c r="L30" i="35"/>
  <c r="M30" i="35"/>
  <c r="N30" i="35"/>
  <c r="J31" i="35"/>
  <c r="K31" i="35"/>
  <c r="L31" i="35"/>
  <c r="M31" i="35"/>
  <c r="N31" i="35"/>
  <c r="J32" i="35"/>
  <c r="K32" i="35"/>
  <c r="L32" i="35"/>
  <c r="M32" i="35"/>
  <c r="N32" i="35"/>
  <c r="J33" i="35"/>
  <c r="K33" i="35"/>
  <c r="L33" i="35"/>
  <c r="M33" i="35"/>
  <c r="N33" i="35"/>
  <c r="J34" i="35"/>
  <c r="K34" i="35"/>
  <c r="Q6" i="35" s="1"/>
  <c r="AE8" i="35" s="1"/>
  <c r="L34" i="35"/>
  <c r="M34" i="35"/>
  <c r="N34" i="35"/>
  <c r="J35" i="35"/>
  <c r="K35" i="35"/>
  <c r="L35" i="35"/>
  <c r="M35" i="35"/>
  <c r="N35" i="35"/>
  <c r="J36" i="35"/>
  <c r="K36" i="35"/>
  <c r="L36" i="35"/>
  <c r="M36" i="35"/>
  <c r="N36" i="35"/>
  <c r="J37" i="35"/>
  <c r="K37" i="35"/>
  <c r="L37" i="35"/>
  <c r="M37" i="35"/>
  <c r="N37" i="35"/>
  <c r="J38" i="35"/>
  <c r="K38" i="35"/>
  <c r="L38" i="35"/>
  <c r="M38" i="35"/>
  <c r="N38" i="35"/>
  <c r="J39" i="35"/>
  <c r="K39" i="35"/>
  <c r="L39" i="35"/>
  <c r="M39" i="35"/>
  <c r="N39" i="35"/>
  <c r="J40" i="35"/>
  <c r="K40" i="35"/>
  <c r="L40" i="35"/>
  <c r="M40" i="35"/>
  <c r="N40" i="35"/>
  <c r="J41" i="35"/>
  <c r="K41" i="35"/>
  <c r="L41" i="35"/>
  <c r="M41" i="35"/>
  <c r="N41" i="35"/>
  <c r="J42" i="35"/>
  <c r="K42" i="35"/>
  <c r="L42" i="35"/>
  <c r="M42" i="35"/>
  <c r="N42" i="35"/>
  <c r="J43" i="35"/>
  <c r="K43" i="35"/>
  <c r="L43" i="35"/>
  <c r="M43" i="35"/>
  <c r="N43" i="35"/>
  <c r="J44" i="35"/>
  <c r="K44" i="35"/>
  <c r="Q7" i="35" s="1"/>
  <c r="AE9" i="35" s="1"/>
  <c r="L44" i="35"/>
  <c r="Q8" i="35" s="1"/>
  <c r="M44" i="35"/>
  <c r="N44" i="35"/>
  <c r="J45" i="35"/>
  <c r="K45" i="35"/>
  <c r="L45" i="35"/>
  <c r="M45" i="35"/>
  <c r="N45" i="35"/>
  <c r="J46" i="35"/>
  <c r="K46" i="35"/>
  <c r="L46" i="35"/>
  <c r="M46" i="35"/>
  <c r="N46" i="35"/>
  <c r="J47" i="35"/>
  <c r="K47" i="35"/>
  <c r="L47" i="35"/>
  <c r="M47" i="35"/>
  <c r="N47" i="35"/>
  <c r="J48" i="35"/>
  <c r="K48" i="35"/>
  <c r="L48" i="35"/>
  <c r="M48" i="35"/>
  <c r="N48" i="35"/>
  <c r="J49" i="35"/>
  <c r="K49" i="35"/>
  <c r="L49" i="35"/>
  <c r="M49" i="35"/>
  <c r="N49" i="35"/>
  <c r="J50" i="35"/>
  <c r="K50" i="35"/>
  <c r="L50" i="35"/>
  <c r="M50" i="35"/>
  <c r="N50" i="35"/>
  <c r="J51" i="35"/>
  <c r="K51" i="35"/>
  <c r="L51" i="35"/>
  <c r="M51" i="35"/>
  <c r="N51" i="35"/>
  <c r="J52" i="35"/>
  <c r="K52" i="35"/>
  <c r="L52" i="35"/>
  <c r="M52" i="35"/>
  <c r="N52" i="35"/>
  <c r="J53" i="35"/>
  <c r="K53" i="35"/>
  <c r="L53" i="35"/>
  <c r="M53" i="35"/>
  <c r="N53" i="35"/>
  <c r="J54" i="35"/>
  <c r="K54" i="35"/>
  <c r="L54" i="35"/>
  <c r="Q9" i="35" s="1"/>
  <c r="M54" i="35"/>
  <c r="Q11" i="35" s="1"/>
  <c r="N54" i="35"/>
  <c r="J55" i="35"/>
  <c r="K55" i="35"/>
  <c r="L55" i="35"/>
  <c r="M55" i="35"/>
  <c r="N55" i="35"/>
  <c r="J56" i="35"/>
  <c r="K56" i="35"/>
  <c r="L56" i="35"/>
  <c r="M56" i="35"/>
  <c r="N56" i="35"/>
  <c r="J57" i="35"/>
  <c r="K57" i="35"/>
  <c r="L57" i="35"/>
  <c r="M57" i="35"/>
  <c r="N57" i="35"/>
  <c r="J58" i="35"/>
  <c r="K58" i="35"/>
  <c r="L58" i="35"/>
  <c r="M58" i="35"/>
  <c r="N58" i="35"/>
  <c r="J59" i="35"/>
  <c r="K59" i="35"/>
  <c r="L59" i="35"/>
  <c r="M59" i="35"/>
  <c r="N59" i="35"/>
  <c r="J60" i="35"/>
  <c r="K60" i="35"/>
  <c r="L60" i="35"/>
  <c r="M60" i="35"/>
  <c r="N60" i="35"/>
  <c r="J61" i="35"/>
  <c r="K61" i="35"/>
  <c r="L61" i="35"/>
  <c r="M61" i="35"/>
  <c r="N61" i="35"/>
  <c r="J62" i="35"/>
  <c r="K62" i="35"/>
  <c r="L62" i="35"/>
  <c r="M62" i="35"/>
  <c r="N62" i="35"/>
  <c r="J63" i="35"/>
  <c r="K63" i="35"/>
  <c r="L63" i="35"/>
  <c r="M63" i="35"/>
  <c r="N63" i="35"/>
  <c r="J64" i="35"/>
  <c r="K64" i="35"/>
  <c r="L64" i="35"/>
  <c r="Q10" i="35" s="1"/>
  <c r="M64" i="35"/>
  <c r="Q12" i="35" s="1"/>
  <c r="N64" i="35"/>
  <c r="Q15" i="35" s="1"/>
  <c r="AD19" i="35" s="1"/>
  <c r="J65" i="35"/>
  <c r="K65" i="35"/>
  <c r="L65" i="35"/>
  <c r="M65" i="35"/>
  <c r="N65" i="35"/>
  <c r="J66" i="35"/>
  <c r="K66" i="35"/>
  <c r="L66" i="35"/>
  <c r="M66" i="35"/>
  <c r="N66" i="35"/>
  <c r="J67" i="35"/>
  <c r="K67" i="35"/>
  <c r="L67" i="35"/>
  <c r="M67" i="35"/>
  <c r="N67" i="35"/>
  <c r="J68" i="35"/>
  <c r="K68" i="35"/>
  <c r="L68" i="35"/>
  <c r="M68" i="35"/>
  <c r="N68" i="35"/>
  <c r="J69" i="35"/>
  <c r="K69" i="35"/>
  <c r="L69" i="35"/>
  <c r="M69" i="35"/>
  <c r="N69" i="35"/>
  <c r="J70" i="35"/>
  <c r="K70" i="35"/>
  <c r="L70" i="35"/>
  <c r="M70" i="35"/>
  <c r="N70" i="35"/>
  <c r="J71" i="35"/>
  <c r="K71" i="35"/>
  <c r="L71" i="35"/>
  <c r="M71" i="35"/>
  <c r="N71" i="35"/>
  <c r="J72" i="35"/>
  <c r="K72" i="35"/>
  <c r="L72" i="35"/>
  <c r="M72" i="35"/>
  <c r="N72" i="35"/>
  <c r="J73" i="35"/>
  <c r="K73" i="35"/>
  <c r="L73" i="35"/>
  <c r="M73" i="35"/>
  <c r="N73" i="35"/>
  <c r="J74" i="35"/>
  <c r="K74" i="35"/>
  <c r="L74" i="35"/>
  <c r="M74" i="35"/>
  <c r="Q13" i="35" s="1"/>
  <c r="N74" i="35"/>
  <c r="Q16" i="35" s="1"/>
  <c r="J75" i="35"/>
  <c r="K75" i="35"/>
  <c r="L75" i="35"/>
  <c r="M75" i="35"/>
  <c r="N75" i="35"/>
  <c r="J76" i="35"/>
  <c r="K76" i="35"/>
  <c r="L76" i="35"/>
  <c r="M76" i="35"/>
  <c r="N76" i="35"/>
  <c r="J77" i="35"/>
  <c r="K77" i="35"/>
  <c r="L77" i="35"/>
  <c r="M77" i="35"/>
  <c r="N77" i="35"/>
  <c r="J78" i="35"/>
  <c r="K78" i="35"/>
  <c r="L78" i="35"/>
  <c r="M78" i="35"/>
  <c r="N78" i="35"/>
  <c r="J79" i="35"/>
  <c r="K79" i="35"/>
  <c r="L79" i="35"/>
  <c r="M79" i="35"/>
  <c r="N79" i="35"/>
  <c r="J80" i="35"/>
  <c r="K80" i="35"/>
  <c r="L80" i="35"/>
  <c r="M80" i="35"/>
  <c r="N80" i="35"/>
  <c r="J81" i="35"/>
  <c r="K81" i="35"/>
  <c r="L81" i="35"/>
  <c r="M81" i="35"/>
  <c r="N81" i="35"/>
  <c r="J82" i="35"/>
  <c r="K82" i="35"/>
  <c r="L82" i="35"/>
  <c r="M82" i="35"/>
  <c r="N82" i="35"/>
  <c r="J83" i="35"/>
  <c r="K83" i="35"/>
  <c r="L83" i="35"/>
  <c r="M83" i="35"/>
  <c r="N83" i="35"/>
  <c r="J84" i="35"/>
  <c r="K84" i="35"/>
  <c r="L84" i="35"/>
  <c r="M84" i="35"/>
  <c r="Q14" i="35" s="1"/>
  <c r="N84" i="35"/>
  <c r="Q17" i="35" s="1"/>
  <c r="J85" i="35"/>
  <c r="K85" i="35"/>
  <c r="L85" i="35"/>
  <c r="M85" i="35"/>
  <c r="N85" i="35"/>
  <c r="J86" i="35"/>
  <c r="K86" i="35"/>
  <c r="L86" i="35"/>
  <c r="M86" i="35"/>
  <c r="N86" i="35"/>
  <c r="J87" i="35"/>
  <c r="K87" i="35"/>
  <c r="L87" i="35"/>
  <c r="M87" i="35"/>
  <c r="N87" i="35"/>
  <c r="J88" i="35"/>
  <c r="K88" i="35"/>
  <c r="L88" i="35"/>
  <c r="M88" i="35"/>
  <c r="N88" i="35"/>
  <c r="J89" i="35"/>
  <c r="K89" i="35"/>
  <c r="L89" i="35"/>
  <c r="M89" i="35"/>
  <c r="N89" i="35"/>
  <c r="J90" i="35"/>
  <c r="K90" i="35"/>
  <c r="L90" i="35"/>
  <c r="M90" i="35"/>
  <c r="N90" i="35"/>
  <c r="J91" i="35"/>
  <c r="K91" i="35"/>
  <c r="L91" i="35"/>
  <c r="M91" i="35"/>
  <c r="N91" i="35"/>
  <c r="J92" i="35"/>
  <c r="K92" i="35"/>
  <c r="L92" i="35"/>
  <c r="M92" i="35"/>
  <c r="N92" i="35"/>
  <c r="J93" i="35"/>
  <c r="K93" i="35"/>
  <c r="L93" i="35"/>
  <c r="M93" i="35"/>
  <c r="N93" i="35"/>
  <c r="J94" i="35"/>
  <c r="K94" i="35"/>
  <c r="L94" i="35"/>
  <c r="M94" i="35"/>
  <c r="N94" i="35"/>
  <c r="Q18" i="35" s="1"/>
  <c r="AD21" i="35" s="1"/>
  <c r="J95" i="35"/>
  <c r="K95" i="35"/>
  <c r="L95" i="35"/>
  <c r="M95" i="35"/>
  <c r="N95" i="35"/>
  <c r="J96" i="35"/>
  <c r="K96" i="35"/>
  <c r="L96" i="35"/>
  <c r="M96" i="35"/>
  <c r="N96" i="35"/>
  <c r="J97" i="35"/>
  <c r="K97" i="35"/>
  <c r="L97" i="35"/>
  <c r="M97" i="35"/>
  <c r="N97" i="35"/>
  <c r="J98" i="35"/>
  <c r="K98" i="35"/>
  <c r="L98" i="35"/>
  <c r="M98" i="35"/>
  <c r="N98" i="35"/>
  <c r="J99" i="35"/>
  <c r="K99" i="35"/>
  <c r="L99" i="35"/>
  <c r="M99" i="35"/>
  <c r="N99" i="35"/>
  <c r="J100" i="35"/>
  <c r="K100" i="35"/>
  <c r="L100" i="35"/>
  <c r="M100" i="35"/>
  <c r="N100" i="35"/>
  <c r="J101" i="35"/>
  <c r="K101" i="35"/>
  <c r="L101" i="35"/>
  <c r="M101" i="35"/>
  <c r="N101" i="35"/>
  <c r="J102" i="35"/>
  <c r="K102" i="35"/>
  <c r="L102" i="35"/>
  <c r="M102" i="35"/>
  <c r="N102" i="35"/>
  <c r="J103" i="35"/>
  <c r="K103" i="35"/>
  <c r="L103" i="35"/>
  <c r="M103" i="35"/>
  <c r="N103" i="35"/>
  <c r="J104" i="35"/>
  <c r="K104" i="35"/>
  <c r="L104" i="35"/>
  <c r="M104" i="35"/>
  <c r="N104" i="35"/>
  <c r="Q19" i="35" s="1"/>
  <c r="AE17" i="35" s="1"/>
  <c r="J105" i="35"/>
  <c r="K105" i="35"/>
  <c r="L105" i="35"/>
  <c r="M105" i="35"/>
  <c r="N105" i="35"/>
  <c r="J106" i="35"/>
  <c r="K106" i="35"/>
  <c r="L106" i="35"/>
  <c r="M106" i="35"/>
  <c r="N106" i="35"/>
  <c r="J107" i="35"/>
  <c r="K107" i="35"/>
  <c r="L107" i="35"/>
  <c r="M107" i="35"/>
  <c r="N107" i="35"/>
  <c r="J108" i="35"/>
  <c r="K108" i="35"/>
  <c r="L108" i="35"/>
  <c r="M108" i="35"/>
  <c r="N108" i="35"/>
  <c r="J109" i="35"/>
  <c r="K109" i="35"/>
  <c r="L109" i="35"/>
  <c r="M109" i="35"/>
  <c r="N109" i="35"/>
  <c r="J110" i="35"/>
  <c r="K110" i="35"/>
  <c r="L110" i="35"/>
  <c r="M110" i="35"/>
  <c r="N110" i="35"/>
  <c r="J111" i="35"/>
  <c r="K111" i="35"/>
  <c r="L111" i="35"/>
  <c r="M111" i="35"/>
  <c r="N111" i="35"/>
  <c r="J112" i="35"/>
  <c r="K112" i="35"/>
  <c r="L112" i="35"/>
  <c r="M112" i="35"/>
  <c r="N112" i="35"/>
  <c r="J113" i="35"/>
  <c r="K113" i="35"/>
  <c r="L113" i="35"/>
  <c r="M113" i="35"/>
  <c r="N113" i="35"/>
  <c r="J114" i="35"/>
  <c r="K114" i="35"/>
  <c r="L114" i="35"/>
  <c r="M114" i="35"/>
  <c r="N114" i="35"/>
  <c r="Q20" i="35" s="1"/>
  <c r="AD22" i="35" s="1"/>
  <c r="AH88" i="35" s="1"/>
  <c r="K5" i="35"/>
  <c r="L5" i="35"/>
  <c r="M5" i="35"/>
  <c r="N5" i="35"/>
  <c r="J5" i="35"/>
  <c r="AD11" i="35" l="1"/>
  <c r="AE13" i="35"/>
  <c r="AD15" i="35"/>
  <c r="AD8" i="35"/>
  <c r="AD9" i="35"/>
  <c r="AE16" i="35"/>
  <c r="AD17" i="35"/>
  <c r="AD16" i="35"/>
  <c r="AE18" i="35"/>
  <c r="AI107" i="35" s="1"/>
  <c r="AD20" i="35"/>
  <c r="AE15" i="35"/>
  <c r="AD18" i="35"/>
  <c r="AE14" i="35"/>
  <c r="AD14" i="35"/>
  <c r="AD10" i="35"/>
  <c r="AE12" i="35"/>
  <c r="AD13" i="35"/>
  <c r="AE11" i="35"/>
  <c r="AD12" i="35"/>
  <c r="AE10" i="35"/>
  <c r="AH111" i="35"/>
  <c r="AH95" i="35"/>
  <c r="AH107" i="35"/>
  <c r="AH91" i="35"/>
  <c r="AH103" i="35"/>
  <c r="AH99" i="35"/>
  <c r="AH114" i="35"/>
  <c r="AH110" i="35"/>
  <c r="AH106" i="35"/>
  <c r="AH102" i="35"/>
  <c r="AH98" i="35"/>
  <c r="AH94" i="35"/>
  <c r="AH90" i="35"/>
  <c r="AH113" i="35"/>
  <c r="AH109" i="35"/>
  <c r="AH105" i="35"/>
  <c r="AH101" i="35"/>
  <c r="AH97" i="35"/>
  <c r="AH93" i="35"/>
  <c r="AH89" i="35"/>
  <c r="AH112" i="35"/>
  <c r="AH108" i="35"/>
  <c r="AH104" i="35"/>
  <c r="AH100" i="35"/>
  <c r="AH96" i="35"/>
  <c r="AH92" i="35"/>
  <c r="AI96" i="35" l="1"/>
  <c r="AI94" i="35"/>
  <c r="AI93" i="35"/>
  <c r="AI110" i="35"/>
  <c r="AI103" i="35"/>
  <c r="AI98" i="35"/>
  <c r="AI114" i="35"/>
  <c r="AI100" i="35"/>
  <c r="AI97" i="35"/>
  <c r="AI102" i="35"/>
  <c r="AI88" i="35"/>
  <c r="AI104" i="35"/>
  <c r="AI105" i="35"/>
  <c r="AI106" i="35"/>
  <c r="AI92" i="35"/>
  <c r="AI95" i="35"/>
  <c r="AI99" i="35"/>
  <c r="AI108" i="35"/>
  <c r="AI111" i="35"/>
  <c r="AI109" i="35"/>
  <c r="AI112" i="35"/>
  <c r="AI89" i="35"/>
  <c r="AI91" i="35"/>
  <c r="AE19" i="35"/>
  <c r="AE20" i="35" s="1"/>
  <c r="AI101" i="35"/>
  <c r="AI113" i="35"/>
  <c r="AI90" i="35"/>
  <c r="AH7" i="35"/>
  <c r="AH14" i="35"/>
  <c r="AI56" i="35"/>
  <c r="AI15" i="35"/>
  <c r="AH82" i="35"/>
  <c r="AH20" i="35"/>
  <c r="AH57" i="35"/>
  <c r="AH80" i="35"/>
  <c r="AH39" i="35"/>
  <c r="AI9" i="35"/>
  <c r="AH45" i="35"/>
  <c r="AI48" i="35"/>
  <c r="AI22" i="35"/>
  <c r="AH74" i="35"/>
  <c r="AH50" i="35"/>
  <c r="AI5" i="35"/>
  <c r="AI16" i="35"/>
  <c r="AH73" i="35"/>
  <c r="AI74" i="35"/>
  <c r="AI58" i="35"/>
  <c r="AI57" i="35"/>
  <c r="AI65" i="35"/>
  <c r="AH54" i="35"/>
  <c r="AI32" i="35"/>
  <c r="AI64" i="35"/>
  <c r="AH81" i="35"/>
  <c r="AI30" i="35"/>
  <c r="AI24" i="35"/>
  <c r="AI52" i="35"/>
  <c r="AH21" i="35"/>
  <c r="AH44" i="35"/>
  <c r="AH70" i="35"/>
  <c r="AH19" i="35"/>
  <c r="AH64" i="35"/>
  <c r="AH6" i="35"/>
  <c r="AI62" i="35"/>
  <c r="AI53" i="35"/>
  <c r="AH87" i="35"/>
  <c r="AH28" i="35"/>
  <c r="AI60" i="35"/>
  <c r="AI18" i="35"/>
  <c r="AH77" i="35"/>
  <c r="AH16" i="35"/>
  <c r="AI46" i="35"/>
  <c r="AH83" i="35"/>
  <c r="AH79" i="35"/>
  <c r="AH60" i="35"/>
  <c r="AI59" i="35"/>
  <c r="AI50" i="35"/>
  <c r="AI47" i="35"/>
  <c r="AI35" i="35"/>
  <c r="AH51" i="35"/>
  <c r="AH86" i="35"/>
  <c r="AH26" i="35"/>
  <c r="AH67" i="35"/>
  <c r="AH69" i="35"/>
  <c r="AH41" i="35"/>
  <c r="AI54" i="35"/>
  <c r="AH43" i="35"/>
  <c r="AI70" i="35"/>
  <c r="AH61" i="35"/>
  <c r="AH85" i="35"/>
  <c r="AH49" i="35"/>
  <c r="AI31" i="35"/>
  <c r="AI21" i="35"/>
  <c r="AH59" i="35"/>
  <c r="AH53" i="35"/>
  <c r="AH62" i="35"/>
  <c r="AI55" i="35"/>
  <c r="AH56" i="35"/>
  <c r="AI73" i="35"/>
  <c r="AI8" i="35"/>
  <c r="AH9" i="35"/>
  <c r="AI12" i="35"/>
  <c r="AH11" i="35"/>
  <c r="AI28" i="35"/>
  <c r="AI36" i="35"/>
  <c r="AI10" i="35"/>
  <c r="AH13" i="35"/>
  <c r="AH52" i="35"/>
  <c r="AH8" i="35"/>
  <c r="AH34" i="35"/>
  <c r="AI40" i="35"/>
  <c r="AH31" i="35"/>
  <c r="AI61" i="35"/>
  <c r="AH18" i="35"/>
  <c r="AH48" i="35"/>
  <c r="AH17" i="35"/>
  <c r="AH47" i="35"/>
  <c r="AH33" i="35"/>
  <c r="AH76" i="35"/>
  <c r="AI44" i="35"/>
  <c r="AI51" i="35"/>
  <c r="AH27" i="35"/>
  <c r="AI66" i="35"/>
  <c r="AI23" i="35"/>
  <c r="AI49" i="35"/>
  <c r="AI63" i="35"/>
  <c r="AI72" i="35"/>
  <c r="AI26" i="35"/>
  <c r="AI19" i="35"/>
  <c r="AH30" i="35"/>
  <c r="AI25" i="35"/>
  <c r="AH10" i="35"/>
  <c r="AH75" i="35"/>
  <c r="AI71" i="35"/>
  <c r="AH22" i="35"/>
  <c r="AH68" i="35"/>
  <c r="AI41" i="35"/>
  <c r="AI38" i="35"/>
  <c r="AH12" i="35"/>
  <c r="AH23" i="35"/>
  <c r="AI13" i="35"/>
  <c r="AH46" i="35"/>
  <c r="AI27" i="35"/>
  <c r="AH5" i="35"/>
  <c r="AI33" i="35"/>
  <c r="AH38" i="35"/>
  <c r="AH55" i="35"/>
  <c r="AI43" i="35"/>
  <c r="AI29" i="35"/>
  <c r="AH71" i="35"/>
  <c r="AI14" i="35"/>
  <c r="AH35" i="35"/>
  <c r="AH58" i="35"/>
  <c r="AH40" i="35"/>
  <c r="AH65" i="35"/>
  <c r="AH32" i="35"/>
  <c r="AI67" i="35"/>
  <c r="AH42" i="35"/>
  <c r="AH66" i="35"/>
  <c r="AH84" i="35"/>
  <c r="AH29" i="35"/>
  <c r="AI42" i="35"/>
  <c r="AH72" i="35"/>
  <c r="AI34" i="35"/>
  <c r="AI17" i="35"/>
  <c r="AI11" i="35"/>
  <c r="AI7" i="35"/>
  <c r="AI6" i="35"/>
  <c r="AI69" i="35"/>
  <c r="AI37" i="35"/>
  <c r="AI68" i="35"/>
  <c r="AH78" i="35"/>
  <c r="AH15" i="35"/>
  <c r="AI20" i="35"/>
  <c r="AH25" i="35"/>
  <c r="AI45" i="35"/>
  <c r="AI39" i="35"/>
  <c r="AH36" i="35"/>
  <c r="AH37" i="35"/>
  <c r="AH63" i="35"/>
  <c r="AH24" i="35"/>
  <c r="AE21" i="35" l="1"/>
  <c r="AI80" i="35"/>
  <c r="AI78" i="35"/>
  <c r="AI76" i="35"/>
  <c r="AI75" i="35"/>
  <c r="AI77" i="35"/>
  <c r="AI79" i="35"/>
  <c r="AI81" i="35"/>
  <c r="AE22" i="35" l="1"/>
  <c r="AI85" i="35"/>
  <c r="AI87" i="35"/>
  <c r="AI82" i="35"/>
  <c r="AI86" i="35"/>
  <c r="AI83" i="35"/>
  <c r="AI84" i="35"/>
  <c r="E15" i="61" l="1"/>
  <c r="E14" i="61"/>
  <c r="E13" i="61"/>
  <c r="E10" i="61"/>
  <c r="E8" i="61"/>
  <c r="E12" i="61"/>
  <c r="E11" i="61"/>
  <c r="E17" i="61"/>
  <c r="E6" i="61"/>
  <c r="E16" i="61"/>
  <c r="E7" i="61"/>
  <c r="E9" i="61"/>
  <c r="E5" i="61"/>
</calcChain>
</file>

<file path=xl/sharedStrings.xml><?xml version="1.0" encoding="utf-8"?>
<sst xmlns="http://schemas.openxmlformats.org/spreadsheetml/2006/main" count="1716" uniqueCount="818">
  <si>
    <t>紫</t>
    <phoneticPr fontId="1" type="noConversion"/>
  </si>
  <si>
    <t>属性设定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</si>
  <si>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</si>
  <si>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</si>
  <si>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</si>
  <si>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装备培养</t>
    <phoneticPr fontId="1" type="noConversion"/>
  </si>
  <si>
    <t>升级</t>
    <phoneticPr fontId="1" type="noConversion"/>
  </si>
  <si>
    <t>升星</t>
    <phoneticPr fontId="1" type="noConversion"/>
  </si>
  <si>
    <t>装备品质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</si>
  <si>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</si>
  <si>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</si>
  <si>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</si>
  <si>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</si>
  <si>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</si>
  <si>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</si>
  <si>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属性设定</t>
    <phoneticPr fontId="1" type="noConversion"/>
  </si>
  <si>
    <t>初始属性</t>
    <phoneticPr fontId="1" type="noConversion"/>
  </si>
  <si>
    <t>成长属性</t>
    <phoneticPr fontId="1" type="noConversion"/>
  </si>
  <si>
    <t>定阶段时间</t>
    <phoneticPr fontId="1" type="noConversion"/>
  </si>
  <si>
    <t>阶段获得的属性</t>
    <phoneticPr fontId="1" type="noConversion"/>
  </si>
  <si>
    <t>绿</t>
    <phoneticPr fontId="1" type="noConversion"/>
  </si>
  <si>
    <t>蓝</t>
    <phoneticPr fontId="1" type="noConversion"/>
  </si>
  <si>
    <t>橙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</si>
  <si>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</si>
  <si>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</si>
  <si>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</si>
  <si>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</si>
  <si>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</si>
  <si>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</si>
  <si>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红</t>
    <phoneticPr fontId="1" type="noConversion"/>
  </si>
  <si>
    <t>1星红</t>
    <phoneticPr fontId="1" type="noConversion"/>
  </si>
  <si>
    <t>2星红</t>
    <phoneticPr fontId="1" type="noConversion"/>
  </si>
  <si>
    <t>3星红</t>
    <phoneticPr fontId="1" type="noConversion"/>
  </si>
  <si>
    <t>4星红</t>
    <phoneticPr fontId="1" type="noConversion"/>
  </si>
  <si>
    <t>5星红</t>
    <phoneticPr fontId="1" type="noConversion"/>
  </si>
  <si>
    <t>3绿</t>
    <phoneticPr fontId="1" type="noConversion"/>
  </si>
  <si>
    <t>3蓝</t>
    <phoneticPr fontId="1" type="noConversion"/>
  </si>
  <si>
    <t>1蓝</t>
    <phoneticPr fontId="1" type="noConversion"/>
  </si>
  <si>
    <t>首套</t>
    <phoneticPr fontId="1" type="noConversion"/>
  </si>
  <si>
    <t>绿</t>
    <phoneticPr fontId="1" type="noConversion"/>
  </si>
  <si>
    <t>蓝</t>
    <phoneticPr fontId="1" type="noConversion"/>
  </si>
  <si>
    <t>5星红</t>
    <phoneticPr fontId="1" type="noConversion"/>
  </si>
  <si>
    <t>绿</t>
    <phoneticPr fontId="1" type="noConversion"/>
  </si>
  <si>
    <t>品质</t>
    <phoneticPr fontId="1" type="noConversion"/>
  </si>
  <si>
    <t>基础值</t>
    <phoneticPr fontId="1" type="noConversion"/>
  </si>
  <si>
    <t>成长值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</si>
  <si>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</si>
  <si>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</si>
  <si>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</si>
  <si>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</si>
  <si>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升星附加值</t>
    <phoneticPr fontId="1" type="noConversion"/>
  </si>
  <si>
    <t>升星次数</t>
    <phoneticPr fontId="1" type="noConversion"/>
  </si>
  <si>
    <t>等级上限</t>
    <phoneticPr fontId="1" type="noConversion"/>
  </si>
  <si>
    <t>初始等级</t>
    <phoneticPr fontId="1" type="noConversion"/>
  </si>
  <si>
    <t>装备属性=基础值+成长值*等级+固定值</t>
    <phoneticPr fontId="1" type="noConversion"/>
  </si>
  <si>
    <t>状态</t>
    <phoneticPr fontId="1" type="noConversion"/>
  </si>
  <si>
    <t>阶段属性值</t>
    <phoneticPr fontId="1" type="noConversion"/>
  </si>
  <si>
    <t>装备等级</t>
    <phoneticPr fontId="1" type="noConversion"/>
  </si>
  <si>
    <t>玩家等级</t>
    <phoneticPr fontId="1" type="noConversion"/>
  </si>
  <si>
    <t>1件紫</t>
    <phoneticPr fontId="1" type="noConversion"/>
  </si>
  <si>
    <t>1个人紫</t>
    <phoneticPr fontId="1" type="noConversion"/>
  </si>
  <si>
    <t>3个人紫</t>
    <phoneticPr fontId="1" type="noConversion"/>
  </si>
  <si>
    <t>1件橙</t>
    <phoneticPr fontId="1" type="noConversion"/>
  </si>
  <si>
    <t>1个人橙</t>
    <phoneticPr fontId="1" type="noConversion"/>
  </si>
  <si>
    <t>3个人橙</t>
    <phoneticPr fontId="1" type="noConversion"/>
  </si>
  <si>
    <t>3个人红</t>
    <phoneticPr fontId="1" type="noConversion"/>
  </si>
  <si>
    <t>1件红</t>
    <phoneticPr fontId="1" type="noConversion"/>
  </si>
  <si>
    <t>1个人红</t>
    <phoneticPr fontId="1" type="noConversion"/>
  </si>
  <si>
    <t>6个人红</t>
    <phoneticPr fontId="1" type="noConversion"/>
  </si>
  <si>
    <t>6个人红1</t>
    <phoneticPr fontId="1" type="noConversion"/>
  </si>
  <si>
    <t>6个人红3</t>
    <phoneticPr fontId="1" type="noConversion"/>
  </si>
  <si>
    <t>6个人红5</t>
    <phoneticPr fontId="1" type="noConversion"/>
  </si>
  <si>
    <t>1紫17蓝</t>
    <phoneticPr fontId="1" type="noConversion"/>
  </si>
  <si>
    <t>3紫15蓝</t>
    <phoneticPr fontId="1" type="noConversion"/>
  </si>
  <si>
    <t>9紫9蓝1</t>
    <phoneticPr fontId="1" type="noConversion"/>
  </si>
  <si>
    <t>1橙17紫</t>
    <phoneticPr fontId="1" type="noConversion"/>
  </si>
  <si>
    <t>3橙15紫1</t>
    <phoneticPr fontId="1" type="noConversion"/>
  </si>
  <si>
    <t>9橙9紫2</t>
    <phoneticPr fontId="1" type="noConversion"/>
  </si>
  <si>
    <t>3红15橙3</t>
    <phoneticPr fontId="1" type="noConversion"/>
  </si>
  <si>
    <t>1红17橙2</t>
    <phoneticPr fontId="1" type="noConversion"/>
  </si>
  <si>
    <t>9红9橙3</t>
    <phoneticPr fontId="1" type="noConversion"/>
  </si>
  <si>
    <t>18红</t>
    <phoneticPr fontId="1" type="noConversion"/>
  </si>
  <si>
    <t>18红1</t>
    <phoneticPr fontId="1" type="noConversion"/>
  </si>
  <si>
    <t>18红3</t>
    <phoneticPr fontId="1" type="noConversion"/>
  </si>
  <si>
    <t>18红5</t>
    <phoneticPr fontId="1" type="noConversion"/>
  </si>
  <si>
    <t>1星蓝</t>
    <phoneticPr fontId="1" type="noConversion"/>
  </si>
  <si>
    <t>1星紫</t>
    <phoneticPr fontId="1" type="noConversion"/>
  </si>
  <si>
    <t>2星紫</t>
    <phoneticPr fontId="1" type="noConversion"/>
  </si>
  <si>
    <t>2星橙</t>
    <phoneticPr fontId="1" type="noConversion"/>
  </si>
  <si>
    <t>3星橙</t>
    <phoneticPr fontId="1" type="noConversion"/>
  </si>
  <si>
    <t>1星红</t>
    <phoneticPr fontId="1" type="noConversion"/>
  </si>
  <si>
    <t>3星红</t>
    <phoneticPr fontId="1" type="noConversion"/>
  </si>
  <si>
    <t>5星红</t>
    <phoneticPr fontId="1" type="noConversion"/>
  </si>
  <si>
    <t>3蓝15绿</t>
    <phoneticPr fontId="1" type="noConversion"/>
  </si>
  <si>
    <t>1蓝17绿</t>
    <phoneticPr fontId="1" type="noConversion"/>
  </si>
  <si>
    <t>等级</t>
    <phoneticPr fontId="1" type="noConversion"/>
  </si>
  <si>
    <t>1绿</t>
    <phoneticPr fontId="1" type="noConversion"/>
  </si>
  <si>
    <t>3绿</t>
    <phoneticPr fontId="1" type="noConversion"/>
  </si>
  <si>
    <t>非r具体状态</t>
    <phoneticPr fontId="1" type="noConversion"/>
  </si>
  <si>
    <t>非r属性</t>
    <phoneticPr fontId="1" type="noConversion"/>
  </si>
  <si>
    <t>非r状态</t>
    <phoneticPr fontId="1" type="noConversion"/>
  </si>
  <si>
    <t>超r状态</t>
    <phoneticPr fontId="1" type="noConversion"/>
  </si>
  <si>
    <t>1星蓝</t>
    <phoneticPr fontId="1" type="noConversion"/>
  </si>
  <si>
    <t>紫</t>
    <phoneticPr fontId="1" type="noConversion"/>
  </si>
  <si>
    <t>1星紫</t>
    <phoneticPr fontId="1" type="noConversion"/>
  </si>
  <si>
    <t>2星紫</t>
    <phoneticPr fontId="1" type="noConversion"/>
  </si>
  <si>
    <t>橙</t>
    <phoneticPr fontId="1" type="noConversion"/>
  </si>
  <si>
    <t>1星橙</t>
    <phoneticPr fontId="1" type="noConversion"/>
  </si>
  <si>
    <t>2星橙</t>
    <phoneticPr fontId="1" type="noConversion"/>
  </si>
  <si>
    <t>3星橙</t>
    <phoneticPr fontId="1" type="noConversion"/>
  </si>
  <si>
    <t>3星橙</t>
    <phoneticPr fontId="1" type="noConversion"/>
  </si>
  <si>
    <t>1星红</t>
    <phoneticPr fontId="1" type="noConversion"/>
  </si>
  <si>
    <t>红</t>
    <phoneticPr fontId="1" type="noConversion"/>
  </si>
  <si>
    <t>4星红</t>
    <phoneticPr fontId="1" type="noConversion"/>
  </si>
  <si>
    <t>超r属性</t>
    <phoneticPr fontId="1" type="noConversion"/>
  </si>
  <si>
    <t>非r属性值</t>
    <phoneticPr fontId="1" type="noConversion"/>
  </si>
  <si>
    <t>超r属性值</t>
    <phoneticPr fontId="1" type="noConversion"/>
  </si>
  <si>
    <t>银币</t>
    <phoneticPr fontId="1" type="noConversion"/>
  </si>
  <si>
    <t>成就</t>
    <phoneticPr fontId="1" type="noConversion"/>
  </si>
  <si>
    <t>玩家经验</t>
    <phoneticPr fontId="1" type="noConversion"/>
  </si>
  <si>
    <t>武将经验</t>
    <phoneticPr fontId="1" type="noConversion"/>
  </si>
  <si>
    <t>日常任务</t>
    <phoneticPr fontId="1" type="noConversion"/>
  </si>
  <si>
    <t>国家币</t>
    <phoneticPr fontId="1" type="noConversion"/>
  </si>
  <si>
    <t>武将经验道具</t>
    <phoneticPr fontId="1" type="noConversion"/>
  </si>
  <si>
    <t>竞技币</t>
    <phoneticPr fontId="1" type="noConversion"/>
  </si>
  <si>
    <t>战法橙_24</t>
  </si>
  <si>
    <t>战法橙_23</t>
  </si>
  <si>
    <t>战法橙_22</t>
  </si>
  <si>
    <t>战法橙_21</t>
  </si>
  <si>
    <t>战法橙_20</t>
  </si>
  <si>
    <t>战法橙_19</t>
  </si>
  <si>
    <t>战法橙_18</t>
  </si>
  <si>
    <t>战法橙_17</t>
  </si>
  <si>
    <t>战法橙_16</t>
  </si>
  <si>
    <t>战法橙_15</t>
  </si>
  <si>
    <t>战法橙_14</t>
  </si>
  <si>
    <t>战法橙_13</t>
  </si>
  <si>
    <t>战法橙_12</t>
  </si>
  <si>
    <t>战法橙_11</t>
  </si>
  <si>
    <t>战法橙_10</t>
  </si>
  <si>
    <t>战法橙_09</t>
  </si>
  <si>
    <t>战法橙_08</t>
  </si>
  <si>
    <t>战法橙_07</t>
  </si>
  <si>
    <t>战法橙_06</t>
  </si>
  <si>
    <t>战法橙_05</t>
  </si>
  <si>
    <t>战法橙_04</t>
  </si>
  <si>
    <t>战法橙_03</t>
  </si>
  <si>
    <t>战法橙_02</t>
  </si>
  <si>
    <t>战法橙_01</t>
  </si>
  <si>
    <t>战法紫_32</t>
  </si>
  <si>
    <t>战法紫_31</t>
  </si>
  <si>
    <t>战法紫_30</t>
  </si>
  <si>
    <t>战法紫_29</t>
  </si>
  <si>
    <t>战法紫_28</t>
  </si>
  <si>
    <t>战法紫_27</t>
  </si>
  <si>
    <t>战法紫_26</t>
  </si>
  <si>
    <t>战法紫_25</t>
  </si>
  <si>
    <t>战法紫_24</t>
  </si>
  <si>
    <t>战法紫_23</t>
  </si>
  <si>
    <t>战法紫_22</t>
  </si>
  <si>
    <t>战法紫_21</t>
  </si>
  <si>
    <t>战法紫_20</t>
  </si>
  <si>
    <t>战法紫_19</t>
  </si>
  <si>
    <t>战法紫_18</t>
  </si>
  <si>
    <t>战法紫_17</t>
  </si>
  <si>
    <t>战法紫_16</t>
  </si>
  <si>
    <t>战法紫_15</t>
  </si>
  <si>
    <t>战法紫_14</t>
  </si>
  <si>
    <t>战法紫_13</t>
  </si>
  <si>
    <t>战法紫_12</t>
  </si>
  <si>
    <t>战法紫_11</t>
  </si>
  <si>
    <t>校武牌</t>
  </si>
  <si>
    <t>战法紫_10</t>
  </si>
  <si>
    <t>高级迁城令</t>
  </si>
  <si>
    <t>战法紫_09</t>
  </si>
  <si>
    <t>随机迁城令</t>
  </si>
  <si>
    <t>其他</t>
    <phoneticPr fontId="1" type="noConversion"/>
  </si>
  <si>
    <t>战法紫_08</t>
  </si>
  <si>
    <t>赋税增收令</t>
  </si>
  <si>
    <t>战法紫_07</t>
  </si>
  <si>
    <t>粮食增产令</t>
  </si>
  <si>
    <t>战法紫_06</t>
  </si>
  <si>
    <t>石料增产令</t>
  </si>
  <si>
    <t>战法紫_05</t>
  </si>
  <si>
    <t>铁矿增产令</t>
  </si>
  <si>
    <t>战法紫_04</t>
  </si>
  <si>
    <t>木材增产令</t>
  </si>
  <si>
    <t>增益</t>
    <phoneticPr fontId="1" type="noConversion"/>
  </si>
  <si>
    <t>战法紫_03</t>
  </si>
  <si>
    <t>免战牌</t>
  </si>
  <si>
    <t>战争</t>
    <phoneticPr fontId="1" type="noConversion"/>
  </si>
  <si>
    <t>战法紫_02</t>
  </si>
  <si>
    <t>一袋铜币</t>
  </si>
  <si>
    <t>战法紫_01</t>
  </si>
  <si>
    <t>一贯铜币</t>
  </si>
  <si>
    <t>一吊铜币</t>
  </si>
  <si>
    <t>战法蓝_16</t>
  </si>
  <si>
    <t>一车铁矿</t>
  </si>
  <si>
    <t>战法蓝_15</t>
  </si>
  <si>
    <t>一箱铁矿</t>
  </si>
  <si>
    <t>战法蓝_14</t>
  </si>
  <si>
    <t>一堆铁矿</t>
  </si>
  <si>
    <t>战法蓝_13</t>
  </si>
  <si>
    <t>一担铁矿</t>
  </si>
  <si>
    <t>战法蓝_12</t>
  </si>
  <si>
    <t>一车石料</t>
  </si>
  <si>
    <t>战法蓝_11</t>
  </si>
  <si>
    <t>一箱石料</t>
  </si>
  <si>
    <t>战法蓝_10</t>
  </si>
  <si>
    <t>一堆石料</t>
  </si>
  <si>
    <t>战法蓝_09</t>
  </si>
  <si>
    <t>一担石料</t>
  </si>
  <si>
    <t>战法蓝_08</t>
  </si>
  <si>
    <t>一车木材</t>
  </si>
  <si>
    <t>战法蓝_07</t>
  </si>
  <si>
    <t>一箱木材</t>
  </si>
  <si>
    <t>竞技场商店</t>
    <phoneticPr fontId="1" type="noConversion"/>
  </si>
  <si>
    <t>战法蓝_06</t>
  </si>
  <si>
    <t>一堆木材</t>
  </si>
  <si>
    <t>军团商店</t>
    <phoneticPr fontId="1" type="noConversion"/>
  </si>
  <si>
    <t>战法蓝_05</t>
  </si>
  <si>
    <t>一担木材</t>
  </si>
  <si>
    <t>战法蓝_04</t>
  </si>
  <si>
    <t>一车粮食</t>
  </si>
  <si>
    <t>其他</t>
    <phoneticPr fontId="1" type="noConversion"/>
  </si>
  <si>
    <t>战法蓝_03</t>
  </si>
  <si>
    <t>一箱粮食</t>
  </si>
  <si>
    <t>战法蓝_02</t>
  </si>
  <si>
    <t>一堆粮食</t>
  </si>
  <si>
    <t>战法蓝_01</t>
  </si>
  <si>
    <t>军团商店</t>
    <phoneticPr fontId="1" type="noConversion"/>
  </si>
  <si>
    <t>一担粮食</t>
  </si>
  <si>
    <t>资源</t>
    <phoneticPr fontId="1" type="noConversion"/>
  </si>
  <si>
    <t>商城</t>
    <phoneticPr fontId="1" type="noConversion"/>
  </si>
  <si>
    <t>商城</t>
    <phoneticPr fontId="1" type="noConversion"/>
  </si>
  <si>
    <t>名字</t>
    <phoneticPr fontId="1" type="noConversion"/>
  </si>
  <si>
    <t>ID</t>
    <phoneticPr fontId="1" type="noConversion"/>
  </si>
  <si>
    <t>子类型</t>
    <phoneticPr fontId="1" type="noConversion"/>
  </si>
  <si>
    <t>商店类型</t>
    <phoneticPr fontId="1" type="noConversion"/>
  </si>
  <si>
    <t>产出</t>
    <phoneticPr fontId="1" type="noConversion"/>
  </si>
  <si>
    <t>小捆行军令</t>
  </si>
  <si>
    <t>大捆行军令</t>
  </si>
  <si>
    <t>活动</t>
    <phoneticPr fontId="1" type="noConversion"/>
  </si>
  <si>
    <t>战法宝箱</t>
    <phoneticPr fontId="1" type="noConversion"/>
  </si>
  <si>
    <t>抽奖券、素材卡等，不直接投放武将</t>
    <phoneticPr fontId="1" type="noConversion"/>
  </si>
  <si>
    <t>怪物名字</t>
    <phoneticPr fontId="1" type="noConversion"/>
  </si>
  <si>
    <t>蛮族</t>
    <phoneticPr fontId="1" type="noConversion"/>
  </si>
  <si>
    <t>乱军</t>
    <phoneticPr fontId="1" type="noConversion"/>
  </si>
  <si>
    <t>等级</t>
    <phoneticPr fontId="1" type="noConversion"/>
  </si>
  <si>
    <t>盗贼</t>
    <phoneticPr fontId="1" type="noConversion"/>
  </si>
  <si>
    <t>装备部位</t>
    <phoneticPr fontId="1" type="noConversion"/>
  </si>
  <si>
    <t>武器</t>
    <phoneticPr fontId="1" type="noConversion"/>
  </si>
  <si>
    <t>衣服</t>
    <phoneticPr fontId="1" type="noConversion"/>
  </si>
  <si>
    <t>鞋子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</si>
  <si>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</si>
  <si>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</si>
  <si>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</si>
  <si>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</si>
  <si>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</si>
  <si>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</si>
  <si>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产出</t>
    <phoneticPr fontId="1" type="noConversion"/>
  </si>
  <si>
    <t>贡品</t>
    <phoneticPr fontId="1" type="noConversion"/>
  </si>
  <si>
    <t>刀币</t>
    <phoneticPr fontId="1" type="noConversion"/>
  </si>
  <si>
    <t>加速道具</t>
    <phoneticPr fontId="1" type="noConversion"/>
  </si>
  <si>
    <t>贡品50橙</t>
    <phoneticPr fontId="1" type="noConversion"/>
  </si>
  <si>
    <t>贡品60橙</t>
    <phoneticPr fontId="1" type="noConversion"/>
  </si>
  <si>
    <t>贡品30紫</t>
    <phoneticPr fontId="1" type="noConversion"/>
  </si>
  <si>
    <t>贡品40紫</t>
    <phoneticPr fontId="1" type="noConversion"/>
  </si>
  <si>
    <t>贡品70红</t>
    <phoneticPr fontId="1" type="noConversion"/>
  </si>
  <si>
    <t>贡品80红</t>
    <phoneticPr fontId="1" type="noConversion"/>
  </si>
  <si>
    <t>全体加速道具随机</t>
    <phoneticPr fontId="1" type="noConversion"/>
  </si>
  <si>
    <t>对应玩家等级</t>
    <phoneticPr fontId="1" type="noConversion"/>
  </si>
  <si>
    <t>等级</t>
    <phoneticPr fontId="1" type="noConversion"/>
  </si>
  <si>
    <t>绿宝箱</t>
  </si>
  <si>
    <t>蓝宝箱</t>
  </si>
  <si>
    <t>紫宝箱</t>
  </si>
  <si>
    <t>橙宝箱</t>
  </si>
  <si>
    <t>红宝箱</t>
  </si>
  <si>
    <t>宝箱产出装备品质概率</t>
  </si>
  <si>
    <t>绿装</t>
  </si>
  <si>
    <t>蓝装</t>
  </si>
  <si>
    <t>紫装</t>
  </si>
  <si>
    <t>橙装</t>
  </si>
  <si>
    <t>红装</t>
  </si>
  <si>
    <t>军团</t>
  </si>
  <si>
    <t>竞技场</t>
  </si>
  <si>
    <t>主线副本</t>
  </si>
  <si>
    <t>成就</t>
  </si>
  <si>
    <t>城池</t>
  </si>
  <si>
    <t>天下大势</t>
    <phoneticPr fontId="1" type="noConversion"/>
  </si>
  <si>
    <t>占比</t>
    <phoneticPr fontId="1" type="noConversion"/>
  </si>
  <si>
    <t>80级</t>
    <phoneticPr fontId="1" type="noConversion"/>
  </si>
  <si>
    <t>总值</t>
    <phoneticPr fontId="1" type="noConversion"/>
  </si>
  <si>
    <t>预留</t>
    <phoneticPr fontId="1" type="noConversion"/>
  </si>
  <si>
    <t>用户类型</t>
    <phoneticPr fontId="1" type="noConversion"/>
  </si>
  <si>
    <t>活跃</t>
    <phoneticPr fontId="1" type="noConversion"/>
  </si>
  <si>
    <t>登录</t>
    <phoneticPr fontId="1" type="noConversion"/>
  </si>
  <si>
    <t>登录</t>
    <phoneticPr fontId="1" type="noConversion"/>
  </si>
  <si>
    <t>登录</t>
    <phoneticPr fontId="1" type="noConversion"/>
  </si>
  <si>
    <t>活跃</t>
    <phoneticPr fontId="1" type="noConversion"/>
  </si>
  <si>
    <t>硬核</t>
    <phoneticPr fontId="1" type="noConversion"/>
  </si>
  <si>
    <t>用户类型</t>
    <phoneticPr fontId="1" type="noConversion"/>
  </si>
  <si>
    <t>占比</t>
    <phoneticPr fontId="1" type="noConversion"/>
  </si>
  <si>
    <t>活跃</t>
    <phoneticPr fontId="1" type="noConversion"/>
  </si>
  <si>
    <t>硬核</t>
    <phoneticPr fontId="1" type="noConversion"/>
  </si>
  <si>
    <t>日常任务</t>
    <phoneticPr fontId="1" type="noConversion"/>
  </si>
  <si>
    <t>节日活动</t>
    <phoneticPr fontId="1" type="noConversion"/>
  </si>
  <si>
    <t>累计登录</t>
    <phoneticPr fontId="1" type="noConversion"/>
  </si>
  <si>
    <t>连续签到</t>
    <phoneticPr fontId="1" type="noConversion"/>
  </si>
  <si>
    <t>积分类活动</t>
    <phoneticPr fontId="1" type="noConversion"/>
  </si>
  <si>
    <t>数量类活动</t>
    <phoneticPr fontId="1" type="noConversion"/>
  </si>
  <si>
    <t>硬核</t>
    <phoneticPr fontId="1" type="noConversion"/>
  </si>
  <si>
    <t>活跃</t>
    <phoneticPr fontId="1" type="noConversion"/>
  </si>
  <si>
    <t>爵位俸禄</t>
    <phoneticPr fontId="1" type="noConversion"/>
  </si>
  <si>
    <t>木石铜粮铁</t>
    <phoneticPr fontId="1" type="noConversion"/>
  </si>
  <si>
    <t>掠夺</t>
    <phoneticPr fontId="1" type="noConversion"/>
  </si>
  <si>
    <t>武将经验</t>
  </si>
  <si>
    <t>城建</t>
    <phoneticPr fontId="1" type="noConversion"/>
  </si>
  <si>
    <t>养成</t>
    <phoneticPr fontId="1" type="noConversion"/>
  </si>
  <si>
    <t>副本</t>
    <phoneticPr fontId="1" type="noConversion"/>
  </si>
  <si>
    <t>大地图</t>
    <phoneticPr fontId="1" type="noConversion"/>
  </si>
  <si>
    <t>城建升级奖励</t>
    <phoneticPr fontId="1" type="noConversion"/>
  </si>
  <si>
    <t>城建产出资源</t>
    <phoneticPr fontId="1" type="noConversion"/>
  </si>
  <si>
    <t>大类</t>
    <phoneticPr fontId="1" type="noConversion"/>
  </si>
  <si>
    <t>详细产出点</t>
    <phoneticPr fontId="1" type="noConversion"/>
  </si>
  <si>
    <t>普通打野</t>
    <phoneticPr fontId="1" type="noConversion"/>
  </si>
  <si>
    <t>活动打野</t>
    <phoneticPr fontId="1" type="noConversion"/>
  </si>
  <si>
    <t>普通打野首通</t>
    <phoneticPr fontId="1" type="noConversion"/>
  </si>
  <si>
    <t>采集</t>
    <phoneticPr fontId="1" type="noConversion"/>
  </si>
  <si>
    <t>玩家经验</t>
    <phoneticPr fontId="1" type="noConversion"/>
  </si>
  <si>
    <t>产出</t>
    <phoneticPr fontId="1" type="noConversion"/>
  </si>
  <si>
    <t>银币</t>
    <phoneticPr fontId="1" type="noConversion"/>
  </si>
  <si>
    <t>木石铜粮铁</t>
    <phoneticPr fontId="1" type="noConversion"/>
  </si>
  <si>
    <t>招募加速道具</t>
    <phoneticPr fontId="1" type="noConversion"/>
  </si>
  <si>
    <t>银币</t>
    <phoneticPr fontId="1" type="noConversion"/>
  </si>
  <si>
    <t>城建加速道具</t>
    <phoneticPr fontId="1" type="noConversion"/>
  </si>
  <si>
    <t>贡品</t>
  </si>
  <si>
    <t>军团经验</t>
  </si>
  <si>
    <t>装备经验</t>
    <phoneticPr fontId="1" type="noConversion"/>
  </si>
  <si>
    <t>军团经验</t>
    <phoneticPr fontId="1" type="noConversion"/>
  </si>
  <si>
    <t>功能</t>
    <phoneticPr fontId="1" type="noConversion"/>
  </si>
  <si>
    <t>竞技场奖励</t>
    <phoneticPr fontId="1" type="noConversion"/>
  </si>
  <si>
    <t>武将经验</t>
    <phoneticPr fontId="1" type="noConversion"/>
  </si>
  <si>
    <t>攻打玩家、NPC城池</t>
    <phoneticPr fontId="1" type="noConversion"/>
  </si>
  <si>
    <t>武将经验（道具）</t>
    <phoneticPr fontId="1" type="noConversion"/>
  </si>
  <si>
    <t>军团币</t>
  </si>
  <si>
    <t>军团币</t>
    <phoneticPr fontId="1" type="noConversion"/>
  </si>
  <si>
    <t>军团</t>
    <phoneticPr fontId="1" type="noConversion"/>
  </si>
  <si>
    <t>银币</t>
    <phoneticPr fontId="1" type="noConversion"/>
  </si>
  <si>
    <t>银币</t>
    <phoneticPr fontId="1" type="noConversion"/>
  </si>
  <si>
    <t>国家</t>
    <phoneticPr fontId="1" type="noConversion"/>
  </si>
  <si>
    <t>不限</t>
    <phoneticPr fontId="1" type="noConversion"/>
  </si>
  <si>
    <t>国家币</t>
  </si>
  <si>
    <t>装备经验</t>
    <phoneticPr fontId="1" type="noConversion"/>
  </si>
  <si>
    <t>主线通关奖励</t>
    <phoneticPr fontId="1" type="noConversion"/>
  </si>
  <si>
    <t>装备</t>
    <phoneticPr fontId="1" type="noConversion"/>
  </si>
  <si>
    <t>装备</t>
    <phoneticPr fontId="1" type="noConversion"/>
  </si>
  <si>
    <t>行军令/贡品/装备经验/武将经验/战法宝箱（付费版考虑把战法宝箱放入付费活动中）</t>
    <phoneticPr fontId="1" type="noConversion"/>
  </si>
  <si>
    <t>武将经验</t>
    <phoneticPr fontId="1" type="noConversion"/>
  </si>
  <si>
    <t>国家币</t>
    <phoneticPr fontId="1" type="noConversion"/>
  </si>
  <si>
    <t>装备经验</t>
    <phoneticPr fontId="1" type="noConversion"/>
  </si>
  <si>
    <t>钻石</t>
    <phoneticPr fontId="1" type="noConversion"/>
  </si>
  <si>
    <t>钻石等价物（战法为主）</t>
    <phoneticPr fontId="1" type="noConversion"/>
  </si>
  <si>
    <t>钻石等价物（抽奖券为主）</t>
    <phoneticPr fontId="1" type="noConversion"/>
  </si>
  <si>
    <t>钻石等价物（钻石为主）</t>
    <phoneticPr fontId="1" type="noConversion"/>
  </si>
  <si>
    <t>主线宝箱奖励</t>
    <phoneticPr fontId="1" type="noConversion"/>
  </si>
  <si>
    <t>大地图挂机奖励</t>
    <phoneticPr fontId="1" type="noConversion"/>
  </si>
  <si>
    <t>大地图城池达标奖励</t>
  </si>
  <si>
    <t>天下大势</t>
    <phoneticPr fontId="1" type="noConversion"/>
  </si>
  <si>
    <t>国家任务</t>
    <phoneticPr fontId="1" type="noConversion"/>
  </si>
  <si>
    <t>武将</t>
    <phoneticPr fontId="1" type="noConversion"/>
  </si>
  <si>
    <t/>
  </si>
  <si>
    <t>亲卫</t>
  </si>
  <si>
    <t>庖丁</t>
  </si>
  <si>
    <t>盗贼</t>
  </si>
  <si>
    <t>间谍</t>
  </si>
  <si>
    <t>刺客</t>
  </si>
  <si>
    <t>闲人</t>
  </si>
  <si>
    <t>红色装备宝箱</t>
  </si>
  <si>
    <t>军团商店</t>
    <phoneticPr fontId="1" type="noConversion"/>
  </si>
  <si>
    <t>橙色装备宝箱</t>
  </si>
  <si>
    <t>紫色装备宝箱</t>
  </si>
  <si>
    <t>蓝色装备宝箱</t>
  </si>
  <si>
    <t>绿色装备宝箱</t>
  </si>
  <si>
    <t>高级资源宝箱</t>
  </si>
  <si>
    <t>中级资源宝箱</t>
  </si>
  <si>
    <t>初级资源宝箱</t>
  </si>
  <si>
    <t>军团商店</t>
    <phoneticPr fontId="1" type="noConversion"/>
  </si>
  <si>
    <t>普通资源宝箱</t>
  </si>
  <si>
    <t>行军测试皮肤</t>
  </si>
  <si>
    <t>护盾测试皮肤</t>
  </si>
  <si>
    <t>铭牌测试皮肤</t>
  </si>
  <si>
    <t>聊天测试皮肤</t>
  </si>
  <si>
    <t>C皮肤</t>
  </si>
  <si>
    <t>B皮肤（30天）</t>
  </si>
  <si>
    <t>B皮肤（7天）</t>
  </si>
  <si>
    <t>B皮肤</t>
  </si>
  <si>
    <t>A皮肤</t>
  </si>
  <si>
    <t>红色鞋子</t>
  </si>
  <si>
    <t>橙色鞋子</t>
  </si>
  <si>
    <t>紫色鞋子</t>
  </si>
  <si>
    <t>蓝色鞋子</t>
  </si>
  <si>
    <t>绿色鞋子</t>
  </si>
  <si>
    <t>红色衣服</t>
  </si>
  <si>
    <t>橙色衣服</t>
  </si>
  <si>
    <t>紫色衣服</t>
  </si>
  <si>
    <t>蓝色衣服</t>
  </si>
  <si>
    <t>绿色衣服</t>
  </si>
  <si>
    <t>红色武器</t>
  </si>
  <si>
    <t>橙色武器</t>
  </si>
  <si>
    <t>紫色武器</t>
  </si>
  <si>
    <t>蓝色武器</t>
  </si>
  <si>
    <t>绿色武器</t>
  </si>
  <si>
    <t>6级贡品宝箱</t>
  </si>
  <si>
    <t>5级贡品宝箱</t>
  </si>
  <si>
    <t>4级贡品宝箱</t>
  </si>
  <si>
    <t>竞技场商店</t>
    <phoneticPr fontId="1" type="noConversion"/>
  </si>
  <si>
    <t>3级贡品宝箱</t>
  </si>
  <si>
    <t>2级贡品宝箱</t>
  </si>
  <si>
    <t>1级贡品宝箱</t>
  </si>
  <si>
    <t>虎符宝箱</t>
  </si>
  <si>
    <t>紫色贡品宝箱</t>
  </si>
  <si>
    <t>红色兵法宝箱</t>
  </si>
  <si>
    <t>橙色兵法宝箱</t>
  </si>
  <si>
    <t>紫色兵法宝箱</t>
  </si>
  <si>
    <t>蓝色兵法宝箱</t>
  </si>
  <si>
    <t>商店</t>
    <phoneticPr fontId="1" type="noConversion"/>
  </si>
  <si>
    <t>兵法宝箱</t>
  </si>
  <si>
    <t>国库</t>
    <phoneticPr fontId="1" type="noConversion"/>
  </si>
  <si>
    <t>器械兵符</t>
  </si>
  <si>
    <t>弓箭兵符</t>
  </si>
  <si>
    <t>骑兵兵符</t>
  </si>
  <si>
    <t>步兵兵符</t>
  </si>
  <si>
    <t>日常任务</t>
    <phoneticPr fontId="1" type="noConversion"/>
  </si>
  <si>
    <t>红08</t>
  </si>
  <si>
    <t>红07</t>
  </si>
  <si>
    <t>红06</t>
  </si>
  <si>
    <t>红05</t>
  </si>
  <si>
    <t>红04</t>
  </si>
  <si>
    <t>反客为主</t>
  </si>
  <si>
    <t>红02</t>
  </si>
  <si>
    <t>兵贵神速</t>
  </si>
  <si>
    <t>橙24</t>
  </si>
  <si>
    <t>橙23</t>
  </si>
  <si>
    <t>橙22</t>
  </si>
  <si>
    <t>橙21</t>
  </si>
  <si>
    <t>橙20</t>
  </si>
  <si>
    <t>橙19</t>
  </si>
  <si>
    <t>橙18</t>
  </si>
  <si>
    <t>橙17</t>
  </si>
  <si>
    <t>橙16</t>
  </si>
  <si>
    <t>橙15</t>
  </si>
  <si>
    <t>橙14</t>
  </si>
  <si>
    <t>橙13</t>
  </si>
  <si>
    <t>日常任务</t>
    <phoneticPr fontId="1" type="noConversion"/>
  </si>
  <si>
    <t>釜底抽薪</t>
  </si>
  <si>
    <t>妙手回春</t>
  </si>
  <si>
    <t>奇佐鬼谋</t>
  </si>
  <si>
    <t>退敌千里</t>
  </si>
  <si>
    <t>橙08</t>
  </si>
  <si>
    <t>养精蓄锐</t>
  </si>
  <si>
    <t>援军秘策</t>
  </si>
  <si>
    <t>橙05</t>
  </si>
  <si>
    <t>橙04</t>
  </si>
  <si>
    <t>橙03</t>
  </si>
  <si>
    <t>橙02</t>
  </si>
  <si>
    <t>橙01</t>
  </si>
  <si>
    <t>紫32</t>
  </si>
  <si>
    <t>紫31</t>
  </si>
  <si>
    <t>紫30</t>
  </si>
  <si>
    <t>紫29</t>
  </si>
  <si>
    <t>紫28</t>
  </si>
  <si>
    <t>紫27</t>
  </si>
  <si>
    <t>紫26</t>
  </si>
  <si>
    <t>紫25</t>
  </si>
  <si>
    <t>紫24</t>
  </si>
  <si>
    <t>紫23</t>
  </si>
  <si>
    <t>紫22</t>
  </si>
  <si>
    <t>紫21</t>
  </si>
  <si>
    <t>紫20</t>
  </si>
  <si>
    <t>紫19</t>
  </si>
  <si>
    <t>紫18</t>
  </si>
  <si>
    <t>紫17</t>
  </si>
  <si>
    <t>紫16</t>
  </si>
  <si>
    <t>紫15</t>
  </si>
  <si>
    <t>紫14</t>
  </si>
  <si>
    <t>紫13</t>
  </si>
  <si>
    <t>紫12</t>
  </si>
  <si>
    <t>紫11</t>
  </si>
  <si>
    <t>势如破竹</t>
  </si>
  <si>
    <t>整军御敌</t>
  </si>
  <si>
    <t>紫08</t>
  </si>
  <si>
    <t>紫07</t>
  </si>
  <si>
    <t>破军夺志</t>
  </si>
  <si>
    <t>紫05</t>
  </si>
  <si>
    <t>出奇制胜</t>
  </si>
  <si>
    <t>紫03</t>
  </si>
  <si>
    <t>攻其不备</t>
  </si>
  <si>
    <t>紫01</t>
  </si>
  <si>
    <t>蓝16</t>
  </si>
  <si>
    <t>蓝15</t>
  </si>
  <si>
    <t>蓝14</t>
  </si>
  <si>
    <t>蓝13</t>
  </si>
  <si>
    <t>蓝12</t>
  </si>
  <si>
    <t>蓝11</t>
  </si>
  <si>
    <t>蓝10</t>
  </si>
  <si>
    <t>蓝09</t>
  </si>
  <si>
    <t>蓝08</t>
  </si>
  <si>
    <t>蓝07</t>
  </si>
  <si>
    <t>蓝06</t>
  </si>
  <si>
    <t>雄兵破敌</t>
  </si>
  <si>
    <t>蓝04</t>
  </si>
  <si>
    <t>蓝03</t>
  </si>
  <si>
    <t>厉兵秣马</t>
  </si>
  <si>
    <t>步步为营</t>
  </si>
  <si>
    <t>装备打造手册</t>
  </si>
  <si>
    <t>盗贼</t>
    <phoneticPr fontId="1" type="noConversion"/>
  </si>
  <si>
    <t>红色鞋子宝箱</t>
  </si>
  <si>
    <t>橙色鞋子宝箱</t>
  </si>
  <si>
    <t>盗贼</t>
    <phoneticPr fontId="1" type="noConversion"/>
  </si>
  <si>
    <t>紫色鞋子宝箱</t>
  </si>
  <si>
    <t>蓝色鞋子宝箱</t>
  </si>
  <si>
    <t>绿色鞋子宝箱</t>
  </si>
  <si>
    <t>乱军</t>
    <phoneticPr fontId="1" type="noConversion"/>
  </si>
  <si>
    <t>红色衣服宝箱</t>
  </si>
  <si>
    <t>橙色衣服宝箱</t>
  </si>
  <si>
    <t>乱军</t>
    <phoneticPr fontId="1" type="noConversion"/>
  </si>
  <si>
    <t>紫色衣服宝箱</t>
  </si>
  <si>
    <t>蓝色衣服宝箱</t>
  </si>
  <si>
    <t>绿色衣服宝箱</t>
  </si>
  <si>
    <t>蛮族</t>
    <phoneticPr fontId="1" type="noConversion"/>
  </si>
  <si>
    <t>红色武器宝箱</t>
  </si>
  <si>
    <t>橙色武器宝箱</t>
  </si>
  <si>
    <t>蛮族</t>
    <phoneticPr fontId="1" type="noConversion"/>
  </si>
  <si>
    <t>紫色武器宝箱</t>
  </si>
  <si>
    <t>蓝色武器宝箱</t>
  </si>
  <si>
    <t>绿色武器宝箱</t>
  </si>
  <si>
    <t>超级装备淬炼</t>
  </si>
  <si>
    <t>特级装备淬炼</t>
  </si>
  <si>
    <t>高级装备淬炼</t>
  </si>
  <si>
    <t>中级装备淬炼</t>
  </si>
  <si>
    <t>初级装备淬炼</t>
  </si>
  <si>
    <t>速战速决训练令</t>
  </si>
  <si>
    <t>特级训练加速令</t>
  </si>
  <si>
    <t>高级训练加速令</t>
  </si>
  <si>
    <t>中级训练加速令</t>
  </si>
  <si>
    <t>初级训练加速令</t>
  </si>
  <si>
    <t>速战速决通用令</t>
  </si>
  <si>
    <t>特级通用加速令</t>
  </si>
  <si>
    <t>高级通用加速令</t>
  </si>
  <si>
    <t>中级通用加速令</t>
  </si>
  <si>
    <t>初级通用加速令</t>
  </si>
  <si>
    <t>速战速决治疗令</t>
  </si>
  <si>
    <t>特级治疗加速令</t>
  </si>
  <si>
    <t>高级治疗加速令</t>
  </si>
  <si>
    <t>中级治疗加速令</t>
  </si>
  <si>
    <t>初级治疗加速令</t>
  </si>
  <si>
    <t>主线通关</t>
    <phoneticPr fontId="1" type="noConversion"/>
  </si>
  <si>
    <t>速战速决招募令</t>
  </si>
  <si>
    <t>主线通关</t>
    <phoneticPr fontId="1" type="noConversion"/>
  </si>
  <si>
    <t>特级招募加速令</t>
  </si>
  <si>
    <t>高级招募加速令</t>
  </si>
  <si>
    <t>中级招募加速令</t>
  </si>
  <si>
    <t>初级招募加速令</t>
  </si>
  <si>
    <t>速战速决城建令</t>
  </si>
  <si>
    <t>特级城建加速令</t>
  </si>
  <si>
    <t>高级城建加速令</t>
  </si>
  <si>
    <t>中级城建加速令</t>
  </si>
  <si>
    <t>初级城建加速令</t>
  </si>
  <si>
    <t>撤军令</t>
  </si>
  <si>
    <t>黄金点将令</t>
  </si>
  <si>
    <t>主线宝箱</t>
    <phoneticPr fontId="1" type="noConversion"/>
  </si>
  <si>
    <t>青铜点将令</t>
  </si>
  <si>
    <t>国库</t>
    <phoneticPr fontId="1" type="noConversion"/>
  </si>
  <si>
    <t>铜矿增产令</t>
  </si>
  <si>
    <t>1个行军令</t>
  </si>
  <si>
    <t>竞技场奖励</t>
    <phoneticPr fontId="1" type="noConversion"/>
  </si>
  <si>
    <t>大地图挂机奖励</t>
    <phoneticPr fontId="1" type="noConversion"/>
  </si>
  <si>
    <t>精英盗贼</t>
    <phoneticPr fontId="1" type="noConversion"/>
  </si>
  <si>
    <t>精英乱军</t>
    <phoneticPr fontId="1" type="noConversion"/>
  </si>
  <si>
    <t>精英蛮族</t>
    <phoneticPr fontId="1" type="noConversion"/>
  </si>
  <si>
    <t>蛮族</t>
    <phoneticPr fontId="1" type="noConversion"/>
  </si>
  <si>
    <t>超级经验书</t>
  </si>
  <si>
    <t>精英蛮族</t>
    <phoneticPr fontId="1" type="noConversion"/>
  </si>
  <si>
    <t>特级经验书</t>
  </si>
  <si>
    <t>高级经验书</t>
  </si>
  <si>
    <t>中级经验书</t>
  </si>
  <si>
    <t>初级经验书</t>
  </si>
  <si>
    <t>高级资源自选宝箱</t>
  </si>
  <si>
    <t>中级资源自选宝箱</t>
  </si>
  <si>
    <t>初级资源自选宝箱</t>
  </si>
  <si>
    <t>普通资源自选宝箱</t>
  </si>
  <si>
    <t>一袋刀币</t>
  </si>
  <si>
    <t>一贯刀币</t>
  </si>
  <si>
    <t>一吊刀币</t>
  </si>
  <si>
    <t>一车铜矿</t>
  </si>
  <si>
    <t>一箱铜矿</t>
  </si>
  <si>
    <t>一堆铜矿</t>
  </si>
  <si>
    <t>一担铜矿</t>
  </si>
  <si>
    <t>竞技场商店</t>
    <phoneticPr fontId="1" type="noConversion"/>
  </si>
  <si>
    <t>商店</t>
    <phoneticPr fontId="1" type="noConversion"/>
  </si>
  <si>
    <t>主线任务</t>
    <phoneticPr fontId="1" type="noConversion"/>
  </si>
  <si>
    <t>贡品红+1_08</t>
  </si>
  <si>
    <t>贡品红+1_07</t>
  </si>
  <si>
    <t>贡品红+1_06</t>
  </si>
  <si>
    <t>贡品红+1_05</t>
  </si>
  <si>
    <t>玄璜</t>
  </si>
  <si>
    <t>白琥</t>
  </si>
  <si>
    <t>赤璋</t>
  </si>
  <si>
    <t>精英盗贼</t>
    <phoneticPr fontId="1" type="noConversion"/>
  </si>
  <si>
    <t>青圭</t>
  </si>
  <si>
    <t>贡品红_07</t>
  </si>
  <si>
    <t>贡品红_06</t>
  </si>
  <si>
    <t>贡品红_05</t>
  </si>
  <si>
    <t>瑶琴</t>
  </si>
  <si>
    <t>石磬</t>
  </si>
  <si>
    <t>编钟</t>
  </si>
  <si>
    <t>锦瑟</t>
  </si>
  <si>
    <t>贡品橙+1_06</t>
  </si>
  <si>
    <t>贡品橙+1_05</t>
  </si>
  <si>
    <t>鎏金缶</t>
  </si>
  <si>
    <t>三足爵</t>
  </si>
  <si>
    <t>螭首盉</t>
  </si>
  <si>
    <t>冰鉴</t>
  </si>
  <si>
    <t>贡品橙_05</t>
  </si>
  <si>
    <t>象形尊</t>
  </si>
  <si>
    <t>兽头觥</t>
  </si>
  <si>
    <t>方陶皿</t>
  </si>
  <si>
    <t>长颈壶</t>
  </si>
  <si>
    <t>贡品紫+1_04</t>
  </si>
  <si>
    <t>铜壶</t>
  </si>
  <si>
    <t>香鼎</t>
  </si>
  <si>
    <t>水晶杯</t>
  </si>
  <si>
    <t>贡品紫_03</t>
  </si>
  <si>
    <t>陶罐</t>
  </si>
  <si>
    <t>铜镜</t>
  </si>
  <si>
    <t>贡品蓝_02</t>
  </si>
  <si>
    <t>贡品蓝_01</t>
  </si>
  <si>
    <t>vip</t>
    <phoneticPr fontId="1" type="noConversion"/>
  </si>
  <si>
    <t>贵族15礼包</t>
  </si>
  <si>
    <t>vip</t>
    <phoneticPr fontId="1" type="noConversion"/>
  </si>
  <si>
    <t>贵族14礼包</t>
  </si>
  <si>
    <t>贵族13礼包</t>
  </si>
  <si>
    <t>贵族12礼包</t>
  </si>
  <si>
    <t>贵族11礼包</t>
  </si>
  <si>
    <t>贵族10礼包</t>
  </si>
  <si>
    <t>贵族9礼包</t>
  </si>
  <si>
    <t>贵族8礼包</t>
  </si>
  <si>
    <t>贵族7礼包</t>
  </si>
  <si>
    <t>贵族6礼包</t>
  </si>
  <si>
    <t>贵族5礼包</t>
  </si>
  <si>
    <t>贵族4礼包</t>
  </si>
  <si>
    <t>贵族3礼包</t>
  </si>
  <si>
    <t>贵族2礼包</t>
  </si>
  <si>
    <t>贵族1礼包</t>
  </si>
  <si>
    <t>兵法币</t>
  </si>
  <si>
    <t>爵位俸禄</t>
    <phoneticPr fontId="1" type="noConversion"/>
  </si>
  <si>
    <t>国家物资兑换</t>
    <phoneticPr fontId="1" type="noConversion"/>
  </si>
  <si>
    <t>国建支援</t>
    <phoneticPr fontId="1" type="noConversion"/>
  </si>
  <si>
    <t>活动</t>
  </si>
  <si>
    <t>主线任务</t>
  </si>
  <si>
    <t>日常任务</t>
  </si>
  <si>
    <t>行军令折算</t>
  </si>
  <si>
    <t>城建升级</t>
    <phoneticPr fontId="1" type="noConversion"/>
  </si>
  <si>
    <t>主线副本</t>
    <phoneticPr fontId="1" type="noConversion"/>
  </si>
  <si>
    <t>主公经验</t>
  </si>
  <si>
    <t>NPC城池产出</t>
    <phoneticPr fontId="1" type="noConversion"/>
  </si>
  <si>
    <t>国家物资</t>
  </si>
  <si>
    <t>竞技场</t>
    <phoneticPr fontId="1" type="noConversion"/>
  </si>
  <si>
    <t>校场币</t>
  </si>
  <si>
    <t>军团福利</t>
    <phoneticPr fontId="1" type="noConversion"/>
  </si>
  <si>
    <t>军团捐献</t>
    <phoneticPr fontId="1" type="noConversion"/>
  </si>
  <si>
    <t>军团贡献</t>
  </si>
  <si>
    <t>大地图打野</t>
    <phoneticPr fontId="1" type="noConversion"/>
  </si>
  <si>
    <t>个人功勋</t>
  </si>
  <si>
    <t>充值</t>
    <phoneticPr fontId="1" type="noConversion"/>
  </si>
  <si>
    <t>黄金</t>
  </si>
  <si>
    <t>铜矿（安全）</t>
  </si>
  <si>
    <t>铜矿增产令</t>
    <phoneticPr fontId="1" type="noConversion"/>
  </si>
  <si>
    <t>大地图铜矿资源点</t>
  </si>
  <si>
    <t>铜矿生产</t>
    <phoneticPr fontId="1" type="noConversion"/>
  </si>
  <si>
    <t>铜矿</t>
  </si>
  <si>
    <t>商城</t>
    <phoneticPr fontId="1" type="noConversion"/>
  </si>
  <si>
    <t>行军令</t>
  </si>
  <si>
    <t>粮食（安全）</t>
  </si>
  <si>
    <t>石料（安全）</t>
  </si>
  <si>
    <t>铁矿（安全）</t>
  </si>
  <si>
    <t>木材（安全）</t>
  </si>
  <si>
    <t>刀币增产令</t>
  </si>
  <si>
    <t>大地图刀币资源点</t>
  </si>
  <si>
    <t>民居生产</t>
    <phoneticPr fontId="1" type="noConversion"/>
  </si>
  <si>
    <t>刀币</t>
  </si>
  <si>
    <t>大地图粮食资源点</t>
  </si>
  <si>
    <t>农田生产</t>
    <phoneticPr fontId="1" type="noConversion"/>
  </si>
  <si>
    <t>粮食</t>
  </si>
  <si>
    <t>大地图石料资源点</t>
  </si>
  <si>
    <t>采石场生产</t>
    <phoneticPr fontId="1" type="noConversion"/>
  </si>
  <si>
    <t>石料</t>
  </si>
  <si>
    <t>大地图铁矿资源点</t>
    <phoneticPr fontId="1" type="noConversion"/>
  </si>
  <si>
    <t>冶炼厂生产</t>
    <phoneticPr fontId="1" type="noConversion"/>
  </si>
  <si>
    <t>铁矿</t>
  </si>
  <si>
    <t>木材增产令</t>
    <phoneticPr fontId="1" type="noConversion"/>
  </si>
  <si>
    <t>大地图木材资源点</t>
    <phoneticPr fontId="1" type="noConversion"/>
  </si>
  <si>
    <t>伐木场生产</t>
    <phoneticPr fontId="1" type="noConversion"/>
  </si>
  <si>
    <t>木材</t>
  </si>
  <si>
    <t>获取途径</t>
    <phoneticPr fontId="1" type="noConversion"/>
  </si>
  <si>
    <t>名字</t>
    <phoneticPr fontId="1" type="noConversion"/>
  </si>
  <si>
    <t>ID</t>
    <phoneticPr fontId="1" type="noConversion"/>
  </si>
  <si>
    <t>圣人</t>
    <phoneticPr fontId="1" type="noConversion"/>
  </si>
  <si>
    <t>登录活动</t>
    <phoneticPr fontId="1" type="noConversion"/>
  </si>
  <si>
    <t>贡品</t>
    <phoneticPr fontId="1" type="noConversion"/>
  </si>
  <si>
    <t>获取途径</t>
  </si>
  <si>
    <t>充值</t>
  </si>
  <si>
    <t>军团捐献</t>
  </si>
  <si>
    <t>军团福利</t>
  </si>
  <si>
    <t>NPC城池产出</t>
  </si>
  <si>
    <t>国建支援</t>
  </si>
  <si>
    <t>爵位俸禄</t>
  </si>
  <si>
    <t>商店</t>
  </si>
  <si>
    <t>军团商店</t>
  </si>
  <si>
    <t>国库</t>
  </si>
  <si>
    <t>主线宝箱</t>
  </si>
  <si>
    <t>主线通关</t>
  </si>
  <si>
    <t>大地图</t>
    <phoneticPr fontId="1" type="noConversion"/>
  </si>
  <si>
    <t>校场商店</t>
  </si>
  <si>
    <t>大地图</t>
    <phoneticPr fontId="1" type="noConversion"/>
  </si>
  <si>
    <t>九鼎之争</t>
    <phoneticPr fontId="1" type="noConversion"/>
  </si>
  <si>
    <t>钻石等价物（抽奖券）</t>
  </si>
  <si>
    <t>钻石等价物（抽奖券）</t>
    <phoneticPr fontId="1" type="noConversion"/>
  </si>
  <si>
    <t>钻石等价物（钻石）</t>
  </si>
  <si>
    <t>钻石等价物（钻石）</t>
    <phoneticPr fontId="1" type="noConversion"/>
  </si>
  <si>
    <t>钻石等价物（抽奖券）</t>
    <phoneticPr fontId="1" type="noConversion"/>
  </si>
  <si>
    <t>钻石等价物（战法）</t>
  </si>
  <si>
    <t>钻石等价物（战法）</t>
    <phoneticPr fontId="1" type="noConversion"/>
  </si>
  <si>
    <t>国家币</t>
    <phoneticPr fontId="1" type="noConversion"/>
  </si>
  <si>
    <t>高级迁城令</t>
    <phoneticPr fontId="1" type="noConversion"/>
  </si>
  <si>
    <t>玩家经验</t>
    <phoneticPr fontId="1" type="noConversion"/>
  </si>
  <si>
    <t>武将经验</t>
    <phoneticPr fontId="1" type="noConversion"/>
  </si>
  <si>
    <t>装备经验</t>
    <phoneticPr fontId="1" type="noConversion"/>
  </si>
  <si>
    <t>银币</t>
    <phoneticPr fontId="1" type="noConversion"/>
  </si>
  <si>
    <t>武将</t>
    <phoneticPr fontId="1" type="noConversion"/>
  </si>
  <si>
    <t>装备</t>
    <phoneticPr fontId="1" type="noConversion"/>
  </si>
  <si>
    <t>钻石等价物（其它）</t>
    <phoneticPr fontId="1" type="noConversion"/>
  </si>
  <si>
    <t>1.招募加速和治疗加速属于自销自产，没有外在联系
    地图    --》城建    --》养成    --》副本    --》地图
    城建加速--》功能解锁--》成长验证--》招募加速--》地图
  先做一版干净的，如果体验不合适，考虑复合型产出，但一定有主有次
2.治疗加速可以不作为产出
3.大地图野怪需要区分为日常野和活动野
4.武将经验的投放设计参考数值表
5.钻石等价物：钻石的量，高级抽奖卷的量，战法的量253开
6.关于城建资源（非粮食），前期以大地图非挂机行为产出为主，副本中增设资源产出，一部分对冲损耗（资源+粮食），一部分与前述大地图非挂机行为增设的资源形成比例关系</t>
    <phoneticPr fontId="1" type="noConversion"/>
  </si>
  <si>
    <t>银币</t>
    <phoneticPr fontId="1" type="noConversion"/>
  </si>
  <si>
    <t>银币</t>
    <phoneticPr fontId="1" type="noConversion"/>
  </si>
  <si>
    <t>木石铜粮</t>
    <phoneticPr fontId="1" type="noConversion"/>
  </si>
  <si>
    <t>钻石等价物（抽奖券）</t>
    <phoneticPr fontId="1" type="noConversion"/>
  </si>
  <si>
    <t>军团boss</t>
    <phoneticPr fontId="1" type="noConversion"/>
  </si>
  <si>
    <t>主线事件奖励</t>
    <phoneticPr fontId="1" type="noConversion"/>
  </si>
  <si>
    <t>新兵</t>
    <phoneticPr fontId="1" type="noConversion"/>
  </si>
  <si>
    <t>训练加速道具</t>
    <phoneticPr fontId="1" type="noConversion"/>
  </si>
  <si>
    <t>城防战</t>
    <phoneticPr fontId="1" type="noConversion"/>
  </si>
  <si>
    <t>副本</t>
  </si>
  <si>
    <t>推荐任务</t>
  </si>
  <si>
    <t>推荐任务</t>
    <phoneticPr fontId="1" type="noConversion"/>
  </si>
  <si>
    <t>常规任务</t>
  </si>
  <si>
    <t>常规任务</t>
    <phoneticPr fontId="1" type="noConversion"/>
  </si>
  <si>
    <t>阶段任务奖励</t>
  </si>
  <si>
    <t>阶段任务奖励</t>
    <phoneticPr fontId="1" type="noConversion"/>
  </si>
  <si>
    <t>剿普通匪</t>
  </si>
  <si>
    <t>剿普通匪</t>
    <phoneticPr fontId="1" type="noConversion"/>
  </si>
  <si>
    <t>剿精英匪</t>
  </si>
  <si>
    <t>剿精英匪</t>
    <phoneticPr fontId="1" type="noConversion"/>
  </si>
  <si>
    <t>食邑</t>
  </si>
  <si>
    <t>食邑</t>
    <phoneticPr fontId="1" type="noConversion"/>
  </si>
  <si>
    <t>坚守城池</t>
  </si>
  <si>
    <t>坚守城池</t>
    <phoneticPr fontId="1" type="noConversion"/>
  </si>
  <si>
    <t>钻石</t>
  </si>
  <si>
    <t>高级抽奖券</t>
  </si>
  <si>
    <t>高级抽奖券</t>
    <phoneticPr fontId="1" type="noConversion"/>
  </si>
  <si>
    <t>资源</t>
  </si>
  <si>
    <t>玩家经验</t>
  </si>
  <si>
    <t>低级抽奖券</t>
  </si>
  <si>
    <t>低级抽奖券</t>
    <phoneticPr fontId="1" type="noConversion"/>
  </si>
  <si>
    <t>声望</t>
  </si>
  <si>
    <t>声望</t>
    <phoneticPr fontId="1" type="noConversion"/>
  </si>
  <si>
    <t>装备</t>
  </si>
  <si>
    <t>银币</t>
  </si>
  <si>
    <t>战法</t>
  </si>
  <si>
    <t>战法</t>
    <phoneticPr fontId="1" type="noConversion"/>
  </si>
  <si>
    <t>武将</t>
  </si>
  <si>
    <t>城建升级</t>
  </si>
  <si>
    <t>城建产出</t>
  </si>
  <si>
    <t>城建产出</t>
    <phoneticPr fontId="1" type="noConversion"/>
  </si>
  <si>
    <t>辅助道具</t>
  </si>
  <si>
    <t>辅助道具</t>
    <phoneticPr fontId="1" type="noConversion"/>
  </si>
  <si>
    <t>辅助道具：迁城令、免战令、增产令等</t>
    <phoneticPr fontId="1" type="noConversion"/>
  </si>
  <si>
    <t>国家</t>
  </si>
  <si>
    <t>天下大势</t>
  </si>
  <si>
    <t>圣人</t>
  </si>
  <si>
    <t>攻城战</t>
  </si>
  <si>
    <t>攻城战</t>
    <phoneticPr fontId="1" type="noConversion"/>
  </si>
  <si>
    <t>竞技币</t>
  </si>
  <si>
    <t>远征币</t>
  </si>
  <si>
    <t>远征币</t>
    <phoneticPr fontId="1" type="noConversion"/>
  </si>
  <si>
    <t>前期产出功能</t>
    <phoneticPr fontId="1" type="noConversion"/>
  </si>
  <si>
    <t>中期产出功能</t>
    <phoneticPr fontId="1" type="noConversion"/>
  </si>
  <si>
    <t>后期产出功能</t>
    <phoneticPr fontId="1" type="noConversion"/>
  </si>
  <si>
    <t>登录奖励</t>
  </si>
  <si>
    <t>定向加速令</t>
  </si>
  <si>
    <t>通用加速令</t>
    <phoneticPr fontId="1" type="noConversion"/>
  </si>
  <si>
    <t>资源宝箱</t>
    <phoneticPr fontId="1" type="noConversion"/>
  </si>
  <si>
    <t>贡品（增设首通贡品）</t>
    <phoneticPr fontId="1" type="noConversion"/>
  </si>
  <si>
    <t>日常任务活跃</t>
    <phoneticPr fontId="1" type="noConversion"/>
  </si>
  <si>
    <t>随机加速令宝箱</t>
    <phoneticPr fontId="1" type="noConversion"/>
  </si>
  <si>
    <t>功勋宝箱</t>
    <phoneticPr fontId="1" type="noConversion"/>
  </si>
  <si>
    <t>装备经验</t>
  </si>
  <si>
    <t>资源宝箱</t>
  </si>
  <si>
    <t>招募加速令</t>
    <phoneticPr fontId="1" type="noConversion"/>
  </si>
  <si>
    <t>同品质装备or装备经验</t>
    <phoneticPr fontId="1" type="noConversion"/>
  </si>
  <si>
    <t>？？</t>
    <phoneticPr fontId="1" type="noConversion"/>
  </si>
  <si>
    <t>定向加速令</t>
    <phoneticPr fontId="1" type="noConversion"/>
  </si>
  <si>
    <t>新手穿插保送将</t>
  </si>
  <si>
    <t>门客</t>
    <phoneticPr fontId="1" type="noConversion"/>
  </si>
  <si>
    <t>精英宝箱</t>
    <phoneticPr fontId="1" type="noConversion"/>
  </si>
  <si>
    <t>村镇首通</t>
    <phoneticPr fontId="1" type="noConversion"/>
  </si>
  <si>
    <t>食邑挂机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</si>
</sst>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theme="1"/>
      <name val="宋体"/>
      <family val="2"/>
      <scheme val="minor"/>
    </font>
    <font>
      <sz val="9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5" fillId="0" borderId="1" xfId="0" applyFont="1" applyBorder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0" fontId="6" fillId="0" borderId="0" xfId="1" applyNumberFormat="1" applyFont="1" applyAlignment="1"/>
    <xf numFmtId="176" fontId="6" fillId="0" borderId="0" xfId="0" applyNumberFormat="1" applyFont="1"/>
    <xf numFmtId="0" fontId="4" fillId="0" borderId="0" xfId="0" applyFont="1" applyAlignment="1">
      <alignment horizontal="center" vertical="center"/>
    </xf>
    <xf numFmtId="0" fontId="10" fillId="0" borderId="0" xfId="0" applyFont="1"/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6" fillId="0" borderId="1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功能-日常任务"/>
      <sheetName val="资源-武将经验"/>
      <sheetName val="功能-付费相关"/>
      <sheetName val="付费汇总"/>
      <sheetName val="功能-城建"/>
      <sheetName val="资源-银币"/>
      <sheetName val="资源-铁"/>
      <sheetName val="资源-木石铜粮"/>
      <sheetName val="功能-采集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九鼎之争"/>
      <sheetName val="调研"/>
      <sheetName val="资源-贡品"/>
      <sheetName val="资源-圣人好感度（废弃）"/>
      <sheetName val="资源-装备"/>
      <sheetName val="功能-行军令"/>
      <sheetName val="资源-装备经验"/>
      <sheetName val="把控"/>
      <sheetName val="资源-时间分配"/>
      <sheetName val="功能-VIP"/>
      <sheetName val="功能-实力"/>
      <sheetName val="草稿"/>
      <sheetName val="Sheet1"/>
      <sheetName val="Sheet4"/>
      <sheetName val="Sheet5"/>
    </sheetNames>
    <sheetDataSet>
      <sheetData sheetId="0"/>
      <sheetData sheetId="1">
        <row r="3">
          <cell r="N3" t="str">
            <v>对应玩家等级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H6">
            <v>15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83">
          <cell r="L83">
            <v>2237934.1277831029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6">
          <cell r="CN6">
            <v>21.428571428571431</v>
          </cell>
        </row>
      </sheetData>
      <sheetData sheetId="33"/>
      <sheetData sheetId="34">
        <row r="3">
          <cell r="D3">
            <v>2</v>
          </cell>
        </row>
      </sheetData>
      <sheetData sheetId="35"/>
      <sheetData sheetId="36"/>
      <sheetData sheetId="37">
        <row r="5">
          <cell r="AO5">
            <v>3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2:AI114"/>
  <sheetViews>
    <sheetView workbookViewId="0">
      <selection activeCell="U18" sqref="U18"/>
    </sheetView>
  </sheetViews>
  <sheetFormatPr defaultRowHeight="12" x14ac:dyDescent="0.15"/>
  <cols>
    <col min="1" max="7" width="9" style="1"/>
    <col min="8" max="11" width="9" style="3"/>
    <col min="12" max="12" width="9" style="1"/>
    <col min="13" max="13" width="9" style="3"/>
    <col min="14" max="16" width="9" style="1"/>
    <col min="17" max="21" width="9" style="3"/>
    <col min="22" max="25" width="9" style="3" customWidth="1"/>
    <col min="26" max="30" width="9" style="3"/>
    <col min="31" max="31" width="9" style="1"/>
    <col min="32" max="32" width="9" style="3"/>
    <col min="33" max="16384" width="9" style="1"/>
  </cols>
  <sheetData>
    <row r="2" spans="2:35" x14ac:dyDescent="0.15">
      <c r="B2" s="1" t="s">
        <v>18</v>
      </c>
      <c r="D2" s="1" t="s">
        <v>19</v>
      </c>
      <c r="E2" s="3"/>
      <c r="F2" s="3"/>
      <c r="G2" s="3"/>
      <c r="L2" s="3"/>
      <c r="N2" s="3"/>
      <c r="Q2" s="1"/>
      <c r="R2" s="1"/>
      <c r="AE2" s="3"/>
      <c r="AG2" s="3"/>
    </row>
    <row r="3" spans="2:35" x14ac:dyDescent="0.15">
      <c r="E3" s="3"/>
      <c r="F3" s="3"/>
      <c r="G3" s="3"/>
      <c r="J3" s="35" t="s">
        <v>54</v>
      </c>
      <c r="K3" s="35"/>
      <c r="L3" s="35"/>
      <c r="M3" s="35"/>
      <c r="N3" s="35"/>
      <c r="Q3" s="1"/>
      <c r="R3" s="1"/>
      <c r="S3" s="1"/>
      <c r="AE3" s="3"/>
      <c r="AG3" s="3"/>
    </row>
    <row r="4" spans="2:35" x14ac:dyDescent="0.15">
      <c r="E4" s="3"/>
      <c r="F4" s="3"/>
      <c r="G4" s="3"/>
      <c r="I4" s="3" t="s">
        <v>57</v>
      </c>
      <c r="J4" s="3" t="s">
        <v>42</v>
      </c>
      <c r="K4" s="3" t="s">
        <v>46</v>
      </c>
      <c r="L4" s="3" t="s">
        <v>47</v>
      </c>
      <c r="M4" s="3" t="s">
        <v>48</v>
      </c>
      <c r="N4" s="3" t="s">
        <v>49</v>
      </c>
      <c r="P4" s="1" t="s">
        <v>55</v>
      </c>
      <c r="Q4" s="1" t="s">
        <v>56</v>
      </c>
      <c r="R4" s="1"/>
      <c r="S4" s="1" t="s">
        <v>38</v>
      </c>
      <c r="T4" s="3" t="s">
        <v>100</v>
      </c>
      <c r="U4" s="3" t="s">
        <v>95</v>
      </c>
      <c r="V4" s="35" t="s">
        <v>98</v>
      </c>
      <c r="W4" s="35"/>
      <c r="X4" s="35"/>
      <c r="Y4" s="35"/>
      <c r="Z4" s="35" t="s">
        <v>101</v>
      </c>
      <c r="AA4" s="35"/>
      <c r="AB4" s="35"/>
      <c r="AC4" s="35"/>
      <c r="AD4" s="3" t="s">
        <v>99</v>
      </c>
      <c r="AE4" s="3" t="s">
        <v>114</v>
      </c>
      <c r="AG4" s="3" t="s">
        <v>58</v>
      </c>
      <c r="AH4" s="1" t="s">
        <v>115</v>
      </c>
      <c r="AI4" s="1" t="s">
        <v>116</v>
      </c>
    </row>
    <row r="5" spans="2:35" x14ac:dyDescent="0.15">
      <c r="B5" s="1" t="s">
        <v>1</v>
      </c>
      <c r="C5" s="1" t="s">
        <v>2</v>
      </c>
      <c r="E5" s="3"/>
      <c r="F5" s="3"/>
      <c r="G5" s="3"/>
      <c r="I5" s="3">
        <v>1</v>
      </c>
      <c r="J5" s="3">
        <f t="shared" ref="J5:J36" si="0">IF($I5&lt;=C$27,C$28+C$29*$I5,"")</f>
        <v>15</v>
      </c>
      <c r="K5" s="3">
        <f t="shared" ref="K5:K36" si="1">IF($I5&lt;=D$27,D$28+D$29*$I5,"")</f>
        <v>30</v>
      </c>
      <c r="L5" s="3">
        <f t="shared" ref="L5:L36" si="2">IF($I5&lt;=E$27,E$28+E$29*$I5,"")</f>
        <v>45</v>
      </c>
      <c r="M5" s="3">
        <f t="shared" ref="M5:M36" si="3">IF($I5&lt;=F$27,F$28+F$29*$I5,"")</f>
        <v>60</v>
      </c>
      <c r="N5" s="3">
        <f t="shared" ref="N5:N36" si="4">IF($I5&lt;=G$27,G$28+G$29*$I5,"")</f>
        <v>75</v>
      </c>
      <c r="P5" s="1" t="s">
        <v>20</v>
      </c>
      <c r="Q5" s="1">
        <f>J24</f>
        <v>110</v>
      </c>
      <c r="R5" s="1"/>
      <c r="S5" s="3">
        <v>0</v>
      </c>
      <c r="T5" s="3">
        <v>0</v>
      </c>
      <c r="U5" s="3">
        <v>0</v>
      </c>
      <c r="AD5" s="3">
        <v>0</v>
      </c>
      <c r="AE5" s="3">
        <v>0</v>
      </c>
      <c r="AG5" s="3">
        <v>1</v>
      </c>
      <c r="AH5" s="1">
        <f>IF(AG5&lt;=$U$22,求节点($U$5:$U$22,$AD$5:$AD$22,AG5),$AD$22)</f>
        <v>36.666666666666664</v>
      </c>
      <c r="AI5" s="1">
        <f>IF(AG5&lt;=$U$22,求节点($U$5:$U$22,$AE$5:$AE$22,AG5),$AE$18)</f>
        <v>183.33333333333334</v>
      </c>
    </row>
    <row r="6" spans="2:35" x14ac:dyDescent="0.15">
      <c r="C6" s="1" t="s">
        <v>3</v>
      </c>
      <c r="E6" s="3"/>
      <c r="F6" s="3"/>
      <c r="G6" s="3"/>
      <c r="I6" s="3">
        <v>2</v>
      </c>
      <c r="J6" s="3">
        <f t="shared" si="0"/>
        <v>20</v>
      </c>
      <c r="K6" s="3">
        <f t="shared" si="1"/>
        <v>40</v>
      </c>
      <c r="L6" s="3">
        <f t="shared" si="2"/>
        <v>60</v>
      </c>
      <c r="M6" s="3">
        <f t="shared" si="3"/>
        <v>80</v>
      </c>
      <c r="N6" s="3">
        <f t="shared" si="4"/>
        <v>100</v>
      </c>
      <c r="P6" s="1" t="s">
        <v>21</v>
      </c>
      <c r="Q6" s="1">
        <f>K34</f>
        <v>320</v>
      </c>
      <c r="R6" s="1"/>
      <c r="S6" s="1" t="s">
        <v>20</v>
      </c>
      <c r="T6" s="3" t="s">
        <v>96</v>
      </c>
      <c r="U6" s="3">
        <v>3</v>
      </c>
      <c r="V6" s="3" t="s">
        <v>39</v>
      </c>
      <c r="W6" s="3">
        <v>1</v>
      </c>
      <c r="Z6" s="3" t="s">
        <v>39</v>
      </c>
      <c r="AA6" s="3">
        <v>5</v>
      </c>
      <c r="AD6" s="3">
        <v>110</v>
      </c>
      <c r="AE6" s="3">
        <v>550</v>
      </c>
      <c r="AG6" s="3">
        <v>2</v>
      </c>
      <c r="AH6" s="3">
        <f t="shared" ref="AH6:AH69" si="5">IF(AG6&lt;=$U$22,求节点($U$5:$U$22,$AD$5:$AD$22,AG6),$AD$22)</f>
        <v>73.333333333333329</v>
      </c>
      <c r="AI6" s="3">
        <f t="shared" ref="AI6:AI69" si="6">IF(AG6&lt;=$U$22,求节点($U$5:$U$22,$AE$5:$AE$22,AG6),$AE$18)</f>
        <v>366.66666666666669</v>
      </c>
    </row>
    <row r="7" spans="2:35" x14ac:dyDescent="0.15">
      <c r="C7" s="1" t="s">
        <v>4</v>
      </c>
      <c r="E7" s="3"/>
      <c r="F7" s="3"/>
      <c r="G7" s="3"/>
      <c r="I7" s="3">
        <v>3</v>
      </c>
      <c r="J7" s="3">
        <f t="shared" si="0"/>
        <v>25</v>
      </c>
      <c r="K7" s="3">
        <f t="shared" si="1"/>
        <v>50</v>
      </c>
      <c r="L7" s="3">
        <f t="shared" si="2"/>
        <v>75</v>
      </c>
      <c r="M7" s="3">
        <f t="shared" si="3"/>
        <v>100</v>
      </c>
      <c r="N7" s="3">
        <f t="shared" si="4"/>
        <v>125</v>
      </c>
      <c r="P7" s="1" t="s">
        <v>23</v>
      </c>
      <c r="Q7" s="1">
        <f>K44</f>
        <v>420</v>
      </c>
      <c r="R7" s="1"/>
      <c r="S7" s="1" t="s">
        <v>35</v>
      </c>
      <c r="T7" s="3" t="s">
        <v>97</v>
      </c>
      <c r="U7" s="3">
        <v>4</v>
      </c>
      <c r="V7" s="3" t="s">
        <v>39</v>
      </c>
      <c r="W7" s="3">
        <v>3</v>
      </c>
      <c r="Z7" s="3" t="s">
        <v>39</v>
      </c>
      <c r="AA7" s="3">
        <v>11</v>
      </c>
      <c r="AD7" s="3">
        <v>330</v>
      </c>
      <c r="AE7" s="3">
        <v>1210</v>
      </c>
      <c r="AG7" s="3">
        <v>3</v>
      </c>
      <c r="AH7" s="3">
        <f t="shared" si="5"/>
        <v>110</v>
      </c>
      <c r="AI7" s="3">
        <f t="shared" si="6"/>
        <v>550</v>
      </c>
    </row>
    <row r="8" spans="2:35" x14ac:dyDescent="0.15">
      <c r="E8" s="3"/>
      <c r="F8" s="3"/>
      <c r="G8" s="3"/>
      <c r="I8" s="3">
        <v>4</v>
      </c>
      <c r="J8" s="3">
        <f t="shared" si="0"/>
        <v>30</v>
      </c>
      <c r="K8" s="3">
        <f t="shared" si="1"/>
        <v>60</v>
      </c>
      <c r="L8" s="3">
        <f t="shared" si="2"/>
        <v>90</v>
      </c>
      <c r="M8" s="3">
        <f t="shared" si="3"/>
        <v>120</v>
      </c>
      <c r="N8" s="3">
        <f t="shared" si="4"/>
        <v>150</v>
      </c>
      <c r="P8" s="1" t="s">
        <v>0</v>
      </c>
      <c r="Q8" s="1">
        <f>L44</f>
        <v>630</v>
      </c>
      <c r="R8" s="1"/>
      <c r="S8" s="1" t="s">
        <v>37</v>
      </c>
      <c r="T8" s="3" t="s">
        <v>94</v>
      </c>
      <c r="U8" s="3">
        <v>8</v>
      </c>
      <c r="V8" s="3" t="s">
        <v>46</v>
      </c>
      <c r="W8" s="3">
        <v>1</v>
      </c>
      <c r="X8" s="3" t="s">
        <v>42</v>
      </c>
      <c r="Y8" s="3">
        <v>17</v>
      </c>
      <c r="Z8" s="3" t="s">
        <v>40</v>
      </c>
      <c r="AA8" s="3">
        <v>4</v>
      </c>
      <c r="AB8" s="3" t="s">
        <v>39</v>
      </c>
      <c r="AC8" s="3">
        <v>14</v>
      </c>
      <c r="AD8" s="3">
        <f t="shared" ref="AD8:AD22" si="7">IFERROR(INDEX($Q$5:$Q$20,MATCH(V8,$P$5:$P$20,0))*W8+INDEX($Q$5:$Q$20,MATCH(X8,$P$5:$P$20,0))*Y8,INDEX($Q$5:$Q$20,MATCH(V8,$P$5:$P$20,0))*W8)</f>
        <v>2190</v>
      </c>
      <c r="AE8" s="3">
        <f>IFERROR(INDEX($Q$5:$Q$20,MATCH(Z8,$P$5:$P$20,0))*AA8+INDEX($Q$5:$Q$20,MATCH(AB8,$P$5:$P$20,0))*AC8,INDEX($Q$5:$Q$20,MATCH(Z8,$P$5:$P$20,0))*AA8)</f>
        <v>2820</v>
      </c>
      <c r="AG8" s="3">
        <v>4</v>
      </c>
      <c r="AH8" s="3">
        <f t="shared" si="5"/>
        <v>330</v>
      </c>
      <c r="AI8" s="3">
        <f t="shared" si="6"/>
        <v>1210</v>
      </c>
    </row>
    <row r="9" spans="2:35" x14ac:dyDescent="0.15">
      <c r="B9" s="1" t="s">
        <v>5</v>
      </c>
      <c r="C9" s="1" t="s">
        <v>6</v>
      </c>
      <c r="E9" s="3"/>
      <c r="F9" s="3"/>
      <c r="G9" s="3"/>
      <c r="I9" s="3">
        <v>5</v>
      </c>
      <c r="J9" s="3">
        <f t="shared" si="0"/>
        <v>35</v>
      </c>
      <c r="K9" s="3">
        <f t="shared" si="1"/>
        <v>70</v>
      </c>
      <c r="L9" s="3">
        <f t="shared" si="2"/>
        <v>105</v>
      </c>
      <c r="M9" s="3">
        <f t="shared" si="3"/>
        <v>140</v>
      </c>
      <c r="N9" s="3">
        <f t="shared" si="4"/>
        <v>175</v>
      </c>
      <c r="P9" s="1" t="s">
        <v>24</v>
      </c>
      <c r="Q9" s="1">
        <f>L54</f>
        <v>780</v>
      </c>
      <c r="R9" s="1"/>
      <c r="S9" s="3" t="s">
        <v>36</v>
      </c>
      <c r="T9" s="3" t="s">
        <v>93</v>
      </c>
      <c r="U9" s="3">
        <v>14</v>
      </c>
      <c r="V9" s="3" t="s">
        <v>46</v>
      </c>
      <c r="W9" s="3">
        <v>3</v>
      </c>
      <c r="X9" s="3" t="s">
        <v>42</v>
      </c>
      <c r="Y9" s="3">
        <v>15</v>
      </c>
      <c r="Z9" s="3" t="s">
        <v>102</v>
      </c>
      <c r="AA9" s="3">
        <v>18</v>
      </c>
      <c r="AD9" s="3">
        <f t="shared" si="7"/>
        <v>2610</v>
      </c>
      <c r="AE9" s="3">
        <f t="shared" ref="AE9:AE18" si="8">IFERROR(INDEX($Q$5:$Q$20,MATCH(Z9,$P$5:$P$20,0))*AA9+INDEX($Q$5:$Q$20,MATCH(AB9,$P$5:$P$20,0))*AC9,INDEX($Q$5:$Q$20,MATCH(Z9,$P$5:$P$20,0))*AA9)</f>
        <v>7560</v>
      </c>
      <c r="AG9" s="3">
        <v>5</v>
      </c>
      <c r="AH9" s="3">
        <f t="shared" si="5"/>
        <v>795</v>
      </c>
      <c r="AI9" s="3">
        <f t="shared" si="6"/>
        <v>1612.5</v>
      </c>
    </row>
    <row r="10" spans="2:35" x14ac:dyDescent="0.15">
      <c r="C10" s="1" t="s">
        <v>7</v>
      </c>
      <c r="E10" s="3"/>
      <c r="F10" s="3"/>
      <c r="G10" s="3"/>
      <c r="I10" s="3">
        <v>6</v>
      </c>
      <c r="J10" s="3">
        <f t="shared" si="0"/>
        <v>40</v>
      </c>
      <c r="K10" s="3">
        <f t="shared" si="1"/>
        <v>80</v>
      </c>
      <c r="L10" s="3">
        <f t="shared" si="2"/>
        <v>120</v>
      </c>
      <c r="M10" s="3">
        <f t="shared" si="3"/>
        <v>160</v>
      </c>
      <c r="N10" s="3">
        <f t="shared" si="4"/>
        <v>200</v>
      </c>
      <c r="P10" s="1" t="s">
        <v>25</v>
      </c>
      <c r="Q10" s="1">
        <f>L64</f>
        <v>930</v>
      </c>
      <c r="R10" s="1"/>
      <c r="S10" s="3" t="s">
        <v>59</v>
      </c>
      <c r="T10" s="3" t="s">
        <v>72</v>
      </c>
      <c r="U10" s="3">
        <v>18</v>
      </c>
      <c r="V10" s="3" t="s">
        <v>47</v>
      </c>
      <c r="W10" s="3">
        <v>1</v>
      </c>
      <c r="X10" s="3" t="s">
        <v>46</v>
      </c>
      <c r="Y10" s="3">
        <v>17</v>
      </c>
      <c r="Z10" s="3" t="s">
        <v>103</v>
      </c>
      <c r="AA10" s="3">
        <v>14</v>
      </c>
      <c r="AB10" s="3" t="s">
        <v>102</v>
      </c>
      <c r="AC10" s="3">
        <v>4</v>
      </c>
      <c r="AD10" s="3">
        <f t="shared" si="7"/>
        <v>6070</v>
      </c>
      <c r="AE10" s="3">
        <f t="shared" si="8"/>
        <v>10500</v>
      </c>
      <c r="AG10" s="3">
        <v>6</v>
      </c>
      <c r="AH10" s="3">
        <f t="shared" si="5"/>
        <v>1260</v>
      </c>
      <c r="AI10" s="3">
        <f t="shared" si="6"/>
        <v>2015</v>
      </c>
    </row>
    <row r="11" spans="2:35" x14ac:dyDescent="0.15">
      <c r="E11" s="3"/>
      <c r="F11" s="3"/>
      <c r="G11" s="3"/>
      <c r="I11" s="3">
        <v>7</v>
      </c>
      <c r="J11" s="3">
        <f t="shared" si="0"/>
        <v>45</v>
      </c>
      <c r="K11" s="3">
        <f t="shared" si="1"/>
        <v>90</v>
      </c>
      <c r="L11" s="3">
        <f t="shared" si="2"/>
        <v>135</v>
      </c>
      <c r="M11" s="3">
        <f t="shared" si="3"/>
        <v>180</v>
      </c>
      <c r="N11" s="3">
        <f t="shared" si="4"/>
        <v>225</v>
      </c>
      <c r="P11" s="1" t="s">
        <v>22</v>
      </c>
      <c r="Q11" s="1">
        <f>M54</f>
        <v>1040</v>
      </c>
      <c r="R11" s="1"/>
      <c r="S11" s="3" t="s">
        <v>60</v>
      </c>
      <c r="T11" s="3" t="s">
        <v>73</v>
      </c>
      <c r="U11" s="3">
        <v>20</v>
      </c>
      <c r="V11" s="3" t="s">
        <v>47</v>
      </c>
      <c r="W11" s="3">
        <v>3</v>
      </c>
      <c r="X11" s="3" t="s">
        <v>46</v>
      </c>
      <c r="Y11" s="3">
        <v>15</v>
      </c>
      <c r="Z11" s="3" t="s">
        <v>105</v>
      </c>
      <c r="AA11" s="3">
        <v>5</v>
      </c>
      <c r="AB11" s="3" t="s">
        <v>104</v>
      </c>
      <c r="AC11" s="3">
        <v>13</v>
      </c>
      <c r="AD11" s="3">
        <f t="shared" si="7"/>
        <v>6690</v>
      </c>
      <c r="AE11" s="3">
        <f t="shared" si="8"/>
        <v>14790</v>
      </c>
      <c r="AG11" s="3">
        <v>7</v>
      </c>
      <c r="AH11" s="3">
        <f t="shared" si="5"/>
        <v>1725</v>
      </c>
      <c r="AI11" s="3">
        <f t="shared" si="6"/>
        <v>2417.5</v>
      </c>
    </row>
    <row r="12" spans="2:35" x14ac:dyDescent="0.15">
      <c r="B12" s="1" t="s">
        <v>8</v>
      </c>
      <c r="C12" s="1" t="s">
        <v>14</v>
      </c>
      <c r="E12" s="3"/>
      <c r="F12" s="3"/>
      <c r="G12" s="3"/>
      <c r="I12" s="3">
        <v>8</v>
      </c>
      <c r="J12" s="3">
        <f t="shared" si="0"/>
        <v>50</v>
      </c>
      <c r="K12" s="3">
        <f t="shared" si="1"/>
        <v>100</v>
      </c>
      <c r="L12" s="3">
        <f t="shared" si="2"/>
        <v>150</v>
      </c>
      <c r="M12" s="3">
        <f t="shared" si="3"/>
        <v>200</v>
      </c>
      <c r="N12" s="3">
        <f t="shared" si="4"/>
        <v>250</v>
      </c>
      <c r="P12" s="1" t="s">
        <v>26</v>
      </c>
      <c r="Q12" s="1">
        <f>M64</f>
        <v>1240</v>
      </c>
      <c r="R12" s="1"/>
      <c r="S12" s="3" t="s">
        <v>61</v>
      </c>
      <c r="T12" s="3" t="s">
        <v>74</v>
      </c>
      <c r="U12" s="3">
        <v>25</v>
      </c>
      <c r="V12" s="3" t="s">
        <v>47</v>
      </c>
      <c r="W12" s="3">
        <v>9</v>
      </c>
      <c r="X12" s="3" t="s">
        <v>85</v>
      </c>
      <c r="Y12" s="3">
        <v>9</v>
      </c>
      <c r="Z12" s="3" t="s">
        <v>105</v>
      </c>
      <c r="AA12" s="3">
        <v>18</v>
      </c>
      <c r="AD12" s="3">
        <f t="shared" si="7"/>
        <v>9450</v>
      </c>
      <c r="AE12" s="3">
        <f t="shared" si="8"/>
        <v>16740</v>
      </c>
      <c r="AG12" s="3">
        <v>8</v>
      </c>
      <c r="AH12" s="3">
        <f t="shared" si="5"/>
        <v>2190</v>
      </c>
      <c r="AI12" s="3">
        <f t="shared" si="6"/>
        <v>2820</v>
      </c>
    </row>
    <row r="13" spans="2:35" x14ac:dyDescent="0.15">
      <c r="C13" s="1" t="s">
        <v>9</v>
      </c>
      <c r="E13" s="3"/>
      <c r="F13" s="3"/>
      <c r="G13" s="3"/>
      <c r="I13" s="3">
        <v>9</v>
      </c>
      <c r="J13" s="3">
        <f t="shared" si="0"/>
        <v>55</v>
      </c>
      <c r="K13" s="3">
        <f t="shared" si="1"/>
        <v>110</v>
      </c>
      <c r="L13" s="3">
        <f t="shared" si="2"/>
        <v>165</v>
      </c>
      <c r="M13" s="3">
        <f t="shared" si="3"/>
        <v>220</v>
      </c>
      <c r="N13" s="3">
        <f t="shared" si="4"/>
        <v>275</v>
      </c>
      <c r="P13" s="1" t="s">
        <v>27</v>
      </c>
      <c r="Q13" s="1">
        <f>M74</f>
        <v>1440</v>
      </c>
      <c r="R13" s="1"/>
      <c r="S13" s="3" t="s">
        <v>62</v>
      </c>
      <c r="T13" s="3" t="s">
        <v>75</v>
      </c>
      <c r="U13" s="3">
        <v>30</v>
      </c>
      <c r="V13" s="3" t="s">
        <v>48</v>
      </c>
      <c r="W13" s="3">
        <v>1</v>
      </c>
      <c r="X13" s="3" t="s">
        <v>47</v>
      </c>
      <c r="Y13" s="3">
        <v>17</v>
      </c>
      <c r="Z13" s="3" t="s">
        <v>107</v>
      </c>
      <c r="AA13" s="3">
        <v>6</v>
      </c>
      <c r="AB13" s="3" t="s">
        <v>106</v>
      </c>
      <c r="AC13" s="3">
        <v>12</v>
      </c>
      <c r="AD13" s="3">
        <f t="shared" si="7"/>
        <v>11750</v>
      </c>
      <c r="AE13" s="3">
        <f t="shared" si="8"/>
        <v>19920</v>
      </c>
      <c r="AG13" s="3">
        <v>9</v>
      </c>
      <c r="AH13" s="3">
        <f t="shared" si="5"/>
        <v>2260</v>
      </c>
      <c r="AI13" s="3">
        <f t="shared" si="6"/>
        <v>3610</v>
      </c>
    </row>
    <row r="14" spans="2:35" x14ac:dyDescent="0.15">
      <c r="C14" s="1" t="s">
        <v>10</v>
      </c>
      <c r="E14" s="3"/>
      <c r="F14" s="3"/>
      <c r="G14" s="3"/>
      <c r="I14" s="3">
        <v>10</v>
      </c>
      <c r="J14" s="3">
        <f t="shared" si="0"/>
        <v>60</v>
      </c>
      <c r="K14" s="3">
        <f t="shared" si="1"/>
        <v>120</v>
      </c>
      <c r="L14" s="3">
        <f t="shared" si="2"/>
        <v>180</v>
      </c>
      <c r="M14" s="3">
        <f t="shared" si="3"/>
        <v>240</v>
      </c>
      <c r="N14" s="3">
        <f t="shared" si="4"/>
        <v>300</v>
      </c>
      <c r="P14" s="1" t="s">
        <v>28</v>
      </c>
      <c r="Q14" s="1">
        <f>M84</f>
        <v>1640</v>
      </c>
      <c r="R14" s="1"/>
      <c r="S14" s="3" t="s">
        <v>63</v>
      </c>
      <c r="T14" s="3" t="s">
        <v>76</v>
      </c>
      <c r="U14" s="3">
        <v>33</v>
      </c>
      <c r="V14" s="3" t="s">
        <v>48</v>
      </c>
      <c r="W14" s="3">
        <v>3</v>
      </c>
      <c r="X14" s="3" t="s">
        <v>86</v>
      </c>
      <c r="Y14" s="3">
        <v>15</v>
      </c>
      <c r="Z14" s="3" t="s">
        <v>109</v>
      </c>
      <c r="AA14" s="3">
        <v>5</v>
      </c>
      <c r="AB14" s="3" t="s">
        <v>108</v>
      </c>
      <c r="AC14" s="3">
        <v>13</v>
      </c>
      <c r="AD14" s="3">
        <f t="shared" si="7"/>
        <v>14820</v>
      </c>
      <c r="AE14" s="3">
        <f t="shared" si="8"/>
        <v>26920</v>
      </c>
      <c r="AG14" s="3">
        <v>10</v>
      </c>
      <c r="AH14" s="3">
        <f t="shared" si="5"/>
        <v>2330</v>
      </c>
      <c r="AI14" s="3">
        <f t="shared" si="6"/>
        <v>4400</v>
      </c>
    </row>
    <row r="15" spans="2:35" x14ac:dyDescent="0.15">
      <c r="C15" s="1" t="s">
        <v>11</v>
      </c>
      <c r="E15" s="3"/>
      <c r="F15" s="3"/>
      <c r="G15" s="3"/>
      <c r="I15" s="3">
        <v>11</v>
      </c>
      <c r="J15" s="3">
        <f t="shared" si="0"/>
        <v>65</v>
      </c>
      <c r="K15" s="3">
        <f t="shared" si="1"/>
        <v>130</v>
      </c>
      <c r="L15" s="3">
        <f t="shared" si="2"/>
        <v>195</v>
      </c>
      <c r="M15" s="3">
        <f t="shared" si="3"/>
        <v>260</v>
      </c>
      <c r="N15" s="3">
        <f t="shared" si="4"/>
        <v>325</v>
      </c>
      <c r="P15" s="1" t="s">
        <v>29</v>
      </c>
      <c r="Q15" s="1">
        <f>N64</f>
        <v>1550</v>
      </c>
      <c r="R15" s="1"/>
      <c r="S15" s="3" t="s">
        <v>64</v>
      </c>
      <c r="T15" s="3" t="s">
        <v>77</v>
      </c>
      <c r="U15" s="3">
        <v>40</v>
      </c>
      <c r="V15" s="3" t="s">
        <v>48</v>
      </c>
      <c r="W15" s="3">
        <v>9</v>
      </c>
      <c r="X15" s="3" t="s">
        <v>87</v>
      </c>
      <c r="Y15" s="3">
        <v>9</v>
      </c>
      <c r="Z15" s="3" t="s">
        <v>110</v>
      </c>
      <c r="AA15" s="3">
        <v>18</v>
      </c>
      <c r="AD15" s="3">
        <f t="shared" si="7"/>
        <v>17730</v>
      </c>
      <c r="AE15" s="3">
        <f t="shared" si="8"/>
        <v>29520</v>
      </c>
      <c r="AG15" s="3">
        <v>11</v>
      </c>
      <c r="AH15" s="3">
        <f t="shared" si="5"/>
        <v>2400</v>
      </c>
      <c r="AI15" s="3">
        <f t="shared" si="6"/>
        <v>5190</v>
      </c>
    </row>
    <row r="16" spans="2:35" x14ac:dyDescent="0.15">
      <c r="C16" s="1" t="s">
        <v>12</v>
      </c>
      <c r="E16" s="3"/>
      <c r="F16" s="3"/>
      <c r="G16" s="3"/>
      <c r="I16" s="3">
        <v>12</v>
      </c>
      <c r="J16" s="3">
        <f t="shared" si="0"/>
        <v>70</v>
      </c>
      <c r="K16" s="3">
        <f t="shared" si="1"/>
        <v>140</v>
      </c>
      <c r="L16" s="3">
        <f t="shared" si="2"/>
        <v>210</v>
      </c>
      <c r="M16" s="3">
        <f t="shared" si="3"/>
        <v>280</v>
      </c>
      <c r="N16" s="3">
        <f t="shared" si="4"/>
        <v>350</v>
      </c>
      <c r="P16" s="1" t="s">
        <v>30</v>
      </c>
      <c r="Q16" s="1">
        <f>N74</f>
        <v>1800</v>
      </c>
      <c r="R16" s="1"/>
      <c r="S16" s="3" t="s">
        <v>66</v>
      </c>
      <c r="T16" s="3" t="s">
        <v>79</v>
      </c>
      <c r="U16" s="3">
        <v>50</v>
      </c>
      <c r="V16" s="3" t="s">
        <v>49</v>
      </c>
      <c r="W16" s="3">
        <v>1</v>
      </c>
      <c r="X16" s="3" t="s">
        <v>88</v>
      </c>
      <c r="Y16" s="3">
        <v>17</v>
      </c>
      <c r="Z16" s="3" t="s">
        <v>111</v>
      </c>
      <c r="AA16" s="3">
        <v>11</v>
      </c>
      <c r="AB16" s="3" t="s">
        <v>112</v>
      </c>
      <c r="AC16" s="3">
        <v>7</v>
      </c>
      <c r="AD16" s="3">
        <f t="shared" si="7"/>
        <v>26030</v>
      </c>
      <c r="AE16" s="3">
        <f t="shared" si="8"/>
        <v>30650</v>
      </c>
      <c r="AG16" s="3">
        <v>12</v>
      </c>
      <c r="AH16" s="3">
        <f t="shared" si="5"/>
        <v>2470</v>
      </c>
      <c r="AI16" s="3">
        <f t="shared" si="6"/>
        <v>5980</v>
      </c>
    </row>
    <row r="17" spans="2:35" x14ac:dyDescent="0.15">
      <c r="C17" s="1" t="s">
        <v>13</v>
      </c>
      <c r="E17" s="3"/>
      <c r="F17" s="3"/>
      <c r="G17" s="3"/>
      <c r="I17" s="3">
        <v>13</v>
      </c>
      <c r="J17" s="3">
        <f t="shared" si="0"/>
        <v>75</v>
      </c>
      <c r="K17" s="3">
        <f t="shared" si="1"/>
        <v>150</v>
      </c>
      <c r="L17" s="3">
        <f t="shared" si="2"/>
        <v>225</v>
      </c>
      <c r="M17" s="3">
        <f t="shared" si="3"/>
        <v>300</v>
      </c>
      <c r="N17" s="3">
        <f t="shared" si="4"/>
        <v>375</v>
      </c>
      <c r="P17" s="1" t="s">
        <v>31</v>
      </c>
      <c r="Q17" s="1">
        <f>N84</f>
        <v>2050</v>
      </c>
      <c r="R17" s="1"/>
      <c r="S17" s="3" t="s">
        <v>67</v>
      </c>
      <c r="T17" s="3" t="s">
        <v>78</v>
      </c>
      <c r="U17" s="3">
        <v>53</v>
      </c>
      <c r="V17" s="3" t="s">
        <v>49</v>
      </c>
      <c r="W17" s="3">
        <v>3</v>
      </c>
      <c r="X17" s="3" t="s">
        <v>89</v>
      </c>
      <c r="Y17" s="3">
        <v>15</v>
      </c>
      <c r="Z17" s="3" t="s">
        <v>113</v>
      </c>
      <c r="AA17" s="3">
        <v>18</v>
      </c>
      <c r="AD17" s="3">
        <f t="shared" si="7"/>
        <v>29250</v>
      </c>
      <c r="AE17" s="3">
        <f t="shared" si="8"/>
        <v>45900</v>
      </c>
      <c r="AG17" s="3">
        <v>13</v>
      </c>
      <c r="AH17" s="3">
        <f t="shared" si="5"/>
        <v>2540</v>
      </c>
      <c r="AI17" s="3">
        <f t="shared" si="6"/>
        <v>6770</v>
      </c>
    </row>
    <row r="18" spans="2:35" x14ac:dyDescent="0.15">
      <c r="E18" s="3"/>
      <c r="F18" s="3"/>
      <c r="G18" s="3"/>
      <c r="I18" s="3">
        <v>14</v>
      </c>
      <c r="J18" s="3">
        <f t="shared" si="0"/>
        <v>80</v>
      </c>
      <c r="K18" s="3">
        <f t="shared" si="1"/>
        <v>160</v>
      </c>
      <c r="L18" s="3">
        <f t="shared" si="2"/>
        <v>240</v>
      </c>
      <c r="M18" s="3">
        <f t="shared" si="3"/>
        <v>320</v>
      </c>
      <c r="N18" s="3">
        <f t="shared" si="4"/>
        <v>400</v>
      </c>
      <c r="P18" s="1" t="s">
        <v>32</v>
      </c>
      <c r="Q18" s="1">
        <f>N94</f>
        <v>2300</v>
      </c>
      <c r="R18" s="1"/>
      <c r="S18" s="3" t="s">
        <v>65</v>
      </c>
      <c r="T18" s="3" t="s">
        <v>80</v>
      </c>
      <c r="U18" s="3">
        <v>59</v>
      </c>
      <c r="V18" s="3" t="s">
        <v>49</v>
      </c>
      <c r="W18" s="3">
        <v>9</v>
      </c>
      <c r="X18" s="3" t="s">
        <v>89</v>
      </c>
      <c r="Y18" s="3">
        <v>9</v>
      </c>
      <c r="Z18" s="3" t="s">
        <v>41</v>
      </c>
      <c r="AA18" s="3">
        <v>18</v>
      </c>
      <c r="AD18" s="3">
        <f t="shared" si="7"/>
        <v>28710</v>
      </c>
      <c r="AE18" s="3">
        <f t="shared" si="8"/>
        <v>50400</v>
      </c>
      <c r="AG18" s="3">
        <v>14</v>
      </c>
      <c r="AH18" s="3">
        <f t="shared" si="5"/>
        <v>2610</v>
      </c>
      <c r="AI18" s="3">
        <f t="shared" si="6"/>
        <v>7560</v>
      </c>
    </row>
    <row r="19" spans="2:35" x14ac:dyDescent="0.15">
      <c r="B19" s="1" t="s">
        <v>15</v>
      </c>
      <c r="C19" s="1" t="s">
        <v>16</v>
      </c>
      <c r="E19" s="3"/>
      <c r="F19" s="3"/>
      <c r="G19" s="3"/>
      <c r="I19" s="3">
        <v>15</v>
      </c>
      <c r="J19" s="3">
        <f t="shared" si="0"/>
        <v>85</v>
      </c>
      <c r="K19" s="3">
        <f t="shared" si="1"/>
        <v>170</v>
      </c>
      <c r="L19" s="3">
        <f t="shared" si="2"/>
        <v>255</v>
      </c>
      <c r="M19" s="3">
        <f t="shared" si="3"/>
        <v>340</v>
      </c>
      <c r="N19" s="3">
        <f t="shared" si="4"/>
        <v>425</v>
      </c>
      <c r="P19" s="1" t="s">
        <v>33</v>
      </c>
      <c r="Q19" s="1">
        <f>N104</f>
        <v>2550</v>
      </c>
      <c r="R19" s="1"/>
      <c r="S19" s="3" t="s">
        <v>68</v>
      </c>
      <c r="T19" s="3" t="s">
        <v>81</v>
      </c>
      <c r="U19" s="3">
        <v>65</v>
      </c>
      <c r="V19" s="3" t="s">
        <v>49</v>
      </c>
      <c r="W19" s="3">
        <v>18</v>
      </c>
      <c r="AD19" s="3">
        <f t="shared" si="7"/>
        <v>27900</v>
      </c>
      <c r="AE19" s="3">
        <f>AE18</f>
        <v>50400</v>
      </c>
      <c r="AG19" s="3">
        <v>15</v>
      </c>
      <c r="AH19" s="3">
        <f t="shared" si="5"/>
        <v>3475</v>
      </c>
      <c r="AI19" s="3">
        <f t="shared" si="6"/>
        <v>8295</v>
      </c>
    </row>
    <row r="20" spans="2:35" x14ac:dyDescent="0.15">
      <c r="C20" s="1" t="s">
        <v>17</v>
      </c>
      <c r="E20" s="3"/>
      <c r="F20" s="3"/>
      <c r="G20" s="3"/>
      <c r="I20" s="3">
        <v>16</v>
      </c>
      <c r="J20" s="3">
        <f t="shared" si="0"/>
        <v>90</v>
      </c>
      <c r="K20" s="3">
        <f t="shared" si="1"/>
        <v>180</v>
      </c>
      <c r="L20" s="3">
        <f t="shared" si="2"/>
        <v>270</v>
      </c>
      <c r="M20" s="3">
        <f t="shared" si="3"/>
        <v>360</v>
      </c>
      <c r="N20" s="3">
        <f t="shared" si="4"/>
        <v>450</v>
      </c>
      <c r="P20" s="1" t="s">
        <v>34</v>
      </c>
      <c r="Q20" s="1">
        <f>N114</f>
        <v>2800</v>
      </c>
      <c r="R20" s="1"/>
      <c r="S20" s="3" t="s">
        <v>69</v>
      </c>
      <c r="T20" s="3" t="s">
        <v>82</v>
      </c>
      <c r="U20" s="3">
        <v>71</v>
      </c>
      <c r="V20" s="3" t="s">
        <v>90</v>
      </c>
      <c r="W20" s="3">
        <v>18</v>
      </c>
      <c r="AD20" s="3">
        <f t="shared" si="7"/>
        <v>32400</v>
      </c>
      <c r="AE20" s="3">
        <f>AE19</f>
        <v>50400</v>
      </c>
      <c r="AG20" s="3">
        <v>16</v>
      </c>
      <c r="AH20" s="3">
        <f t="shared" si="5"/>
        <v>4340</v>
      </c>
      <c r="AI20" s="3">
        <f t="shared" si="6"/>
        <v>9030</v>
      </c>
    </row>
    <row r="21" spans="2:35" x14ac:dyDescent="0.15">
      <c r="E21" s="3"/>
      <c r="F21" s="3"/>
      <c r="G21" s="3"/>
      <c r="I21" s="3">
        <v>17</v>
      </c>
      <c r="J21" s="3">
        <f t="shared" si="0"/>
        <v>95</v>
      </c>
      <c r="K21" s="3">
        <f t="shared" si="1"/>
        <v>190</v>
      </c>
      <c r="L21" s="3">
        <f t="shared" si="2"/>
        <v>285</v>
      </c>
      <c r="M21" s="3">
        <f t="shared" si="3"/>
        <v>380</v>
      </c>
      <c r="N21" s="3">
        <f t="shared" si="4"/>
        <v>475</v>
      </c>
      <c r="Q21" s="1"/>
      <c r="R21" s="1"/>
      <c r="S21" s="3" t="s">
        <v>70</v>
      </c>
      <c r="T21" s="3" t="s">
        <v>83</v>
      </c>
      <c r="U21" s="3">
        <v>78</v>
      </c>
      <c r="V21" s="3" t="s">
        <v>91</v>
      </c>
      <c r="W21" s="3">
        <v>18</v>
      </c>
      <c r="AD21" s="3">
        <f t="shared" si="7"/>
        <v>41400</v>
      </c>
      <c r="AE21" s="3">
        <f>AE20</f>
        <v>50400</v>
      </c>
      <c r="AG21" s="3">
        <v>17</v>
      </c>
      <c r="AH21" s="3">
        <f t="shared" si="5"/>
        <v>5205</v>
      </c>
      <c r="AI21" s="3">
        <f t="shared" si="6"/>
        <v>9765</v>
      </c>
    </row>
    <row r="22" spans="2:35" x14ac:dyDescent="0.15">
      <c r="I22" s="3">
        <v>18</v>
      </c>
      <c r="J22" s="3">
        <f t="shared" si="0"/>
        <v>100</v>
      </c>
      <c r="K22" s="3">
        <f t="shared" si="1"/>
        <v>200</v>
      </c>
      <c r="L22" s="3">
        <f t="shared" si="2"/>
        <v>300</v>
      </c>
      <c r="M22" s="3">
        <f t="shared" si="3"/>
        <v>400</v>
      </c>
      <c r="N22" s="3">
        <f t="shared" si="4"/>
        <v>500</v>
      </c>
      <c r="S22" s="3" t="s">
        <v>71</v>
      </c>
      <c r="T22" s="3" t="s">
        <v>84</v>
      </c>
      <c r="U22" s="3">
        <v>83</v>
      </c>
      <c r="V22" s="3" t="s">
        <v>92</v>
      </c>
      <c r="W22" s="3">
        <v>18</v>
      </c>
      <c r="AD22" s="3">
        <f t="shared" si="7"/>
        <v>50400</v>
      </c>
      <c r="AE22" s="3">
        <f>AE21</f>
        <v>50400</v>
      </c>
      <c r="AG22" s="3">
        <v>18</v>
      </c>
      <c r="AH22" s="3">
        <f t="shared" si="5"/>
        <v>6070</v>
      </c>
      <c r="AI22" s="3">
        <f t="shared" si="6"/>
        <v>10500</v>
      </c>
    </row>
    <row r="23" spans="2:35" x14ac:dyDescent="0.15">
      <c r="I23" s="3">
        <v>19</v>
      </c>
      <c r="J23" s="3">
        <f t="shared" si="0"/>
        <v>105</v>
      </c>
      <c r="K23" s="3">
        <f t="shared" si="1"/>
        <v>210</v>
      </c>
      <c r="L23" s="3">
        <f t="shared" si="2"/>
        <v>315</v>
      </c>
      <c r="M23" s="3">
        <f t="shared" si="3"/>
        <v>420</v>
      </c>
      <c r="N23" s="3">
        <f t="shared" si="4"/>
        <v>525</v>
      </c>
      <c r="P23" s="3"/>
      <c r="AE23" s="3"/>
      <c r="AG23" s="3">
        <v>19</v>
      </c>
      <c r="AH23" s="3">
        <f t="shared" si="5"/>
        <v>6380</v>
      </c>
      <c r="AI23" s="3">
        <f t="shared" si="6"/>
        <v>12645</v>
      </c>
    </row>
    <row r="24" spans="2:35" x14ac:dyDescent="0.15">
      <c r="B24" s="2"/>
      <c r="C24" s="2"/>
      <c r="I24" s="3">
        <v>20</v>
      </c>
      <c r="J24" s="3">
        <f t="shared" si="0"/>
        <v>110</v>
      </c>
      <c r="K24" s="3">
        <f t="shared" si="1"/>
        <v>220</v>
      </c>
      <c r="L24" s="3">
        <f t="shared" si="2"/>
        <v>330</v>
      </c>
      <c r="M24" s="3">
        <f t="shared" si="3"/>
        <v>440</v>
      </c>
      <c r="N24" s="3">
        <f t="shared" si="4"/>
        <v>550</v>
      </c>
      <c r="P24" s="3"/>
      <c r="AE24" s="3"/>
      <c r="AG24" s="3">
        <v>20</v>
      </c>
      <c r="AH24" s="3">
        <f t="shared" si="5"/>
        <v>6690</v>
      </c>
      <c r="AI24" s="3">
        <f t="shared" si="6"/>
        <v>14790</v>
      </c>
    </row>
    <row r="25" spans="2:35" x14ac:dyDescent="0.15">
      <c r="B25" s="3" t="s">
        <v>43</v>
      </c>
      <c r="C25" s="3" t="s">
        <v>42</v>
      </c>
      <c r="D25" s="3" t="s">
        <v>46</v>
      </c>
      <c r="E25" s="3" t="s">
        <v>47</v>
      </c>
      <c r="F25" s="3" t="s">
        <v>48</v>
      </c>
      <c r="G25" s="3" t="s">
        <v>49</v>
      </c>
      <c r="I25" s="3">
        <v>21</v>
      </c>
      <c r="J25" s="3" t="str">
        <f t="shared" si="0"/>
        <v/>
      </c>
      <c r="K25" s="3">
        <f t="shared" si="1"/>
        <v>230</v>
      </c>
      <c r="L25" s="3">
        <f t="shared" si="2"/>
        <v>345</v>
      </c>
      <c r="M25" s="3">
        <f t="shared" si="3"/>
        <v>460</v>
      </c>
      <c r="N25" s="3">
        <f t="shared" si="4"/>
        <v>575</v>
      </c>
      <c r="P25" s="3"/>
      <c r="AE25" s="3"/>
      <c r="AG25" s="3">
        <v>21</v>
      </c>
      <c r="AH25" s="3">
        <f t="shared" si="5"/>
        <v>7242</v>
      </c>
      <c r="AI25" s="3">
        <f t="shared" si="6"/>
        <v>15180</v>
      </c>
    </row>
    <row r="26" spans="2:35" x14ac:dyDescent="0.15">
      <c r="B26" s="3" t="s">
        <v>53</v>
      </c>
      <c r="C26" s="3">
        <v>20</v>
      </c>
      <c r="D26" s="3">
        <v>30</v>
      </c>
      <c r="E26" s="3">
        <v>40</v>
      </c>
      <c r="F26" s="3">
        <v>50</v>
      </c>
      <c r="G26" s="3">
        <v>60</v>
      </c>
      <c r="I26" s="3">
        <v>22</v>
      </c>
      <c r="J26" s="3" t="str">
        <f t="shared" si="0"/>
        <v/>
      </c>
      <c r="K26" s="3">
        <f t="shared" si="1"/>
        <v>240</v>
      </c>
      <c r="L26" s="3">
        <f t="shared" si="2"/>
        <v>360</v>
      </c>
      <c r="M26" s="3">
        <f t="shared" si="3"/>
        <v>480</v>
      </c>
      <c r="N26" s="3">
        <f t="shared" si="4"/>
        <v>600</v>
      </c>
      <c r="P26" s="3"/>
      <c r="AE26" s="3"/>
      <c r="AG26" s="3">
        <v>22</v>
      </c>
      <c r="AH26" s="3">
        <f t="shared" si="5"/>
        <v>7794</v>
      </c>
      <c r="AI26" s="3">
        <f t="shared" si="6"/>
        <v>15570</v>
      </c>
    </row>
    <row r="27" spans="2:35" x14ac:dyDescent="0.15">
      <c r="B27" s="3" t="s">
        <v>52</v>
      </c>
      <c r="C27" s="3">
        <v>20</v>
      </c>
      <c r="D27" s="3">
        <v>40</v>
      </c>
      <c r="E27" s="3">
        <v>60</v>
      </c>
      <c r="F27" s="3">
        <v>80</v>
      </c>
      <c r="G27" s="3">
        <v>110</v>
      </c>
      <c r="I27" s="3">
        <v>23</v>
      </c>
      <c r="J27" s="3" t="str">
        <f t="shared" si="0"/>
        <v/>
      </c>
      <c r="K27" s="3">
        <f t="shared" si="1"/>
        <v>250</v>
      </c>
      <c r="L27" s="3">
        <f t="shared" si="2"/>
        <v>375</v>
      </c>
      <c r="M27" s="3">
        <f t="shared" si="3"/>
        <v>500</v>
      </c>
      <c r="N27" s="3">
        <f t="shared" si="4"/>
        <v>625</v>
      </c>
      <c r="P27" s="3"/>
      <c r="AE27" s="3"/>
      <c r="AG27" s="3">
        <v>23</v>
      </c>
      <c r="AH27" s="3">
        <f t="shared" si="5"/>
        <v>8346</v>
      </c>
      <c r="AI27" s="3">
        <f t="shared" si="6"/>
        <v>15960</v>
      </c>
    </row>
    <row r="28" spans="2:35" x14ac:dyDescent="0.15">
      <c r="B28" s="3" t="s">
        <v>44</v>
      </c>
      <c r="C28" s="3">
        <v>10</v>
      </c>
      <c r="D28" s="3">
        <v>20</v>
      </c>
      <c r="E28" s="3">
        <v>30</v>
      </c>
      <c r="F28" s="3">
        <v>40</v>
      </c>
      <c r="G28" s="3">
        <v>50</v>
      </c>
      <c r="I28" s="3">
        <v>24</v>
      </c>
      <c r="J28" s="3" t="str">
        <f t="shared" si="0"/>
        <v/>
      </c>
      <c r="K28" s="3">
        <f t="shared" si="1"/>
        <v>260</v>
      </c>
      <c r="L28" s="3">
        <f t="shared" si="2"/>
        <v>390</v>
      </c>
      <c r="M28" s="3">
        <f t="shared" si="3"/>
        <v>520</v>
      </c>
      <c r="N28" s="3">
        <f t="shared" si="4"/>
        <v>650</v>
      </c>
      <c r="AE28" s="3"/>
      <c r="AG28" s="3">
        <v>24</v>
      </c>
      <c r="AH28" s="3">
        <f t="shared" si="5"/>
        <v>8898</v>
      </c>
      <c r="AI28" s="3">
        <f t="shared" si="6"/>
        <v>16350</v>
      </c>
    </row>
    <row r="29" spans="2:35" x14ac:dyDescent="0.15">
      <c r="B29" s="3" t="s">
        <v>45</v>
      </c>
      <c r="C29" s="3">
        <v>5</v>
      </c>
      <c r="D29" s="3">
        <v>10</v>
      </c>
      <c r="E29" s="3">
        <v>15</v>
      </c>
      <c r="F29" s="3">
        <v>20</v>
      </c>
      <c r="G29" s="3">
        <v>25</v>
      </c>
      <c r="I29" s="3">
        <v>25</v>
      </c>
      <c r="J29" s="3" t="str">
        <f t="shared" si="0"/>
        <v/>
      </c>
      <c r="K29" s="3">
        <f t="shared" si="1"/>
        <v>270</v>
      </c>
      <c r="L29" s="3">
        <f t="shared" si="2"/>
        <v>405</v>
      </c>
      <c r="M29" s="3">
        <f t="shared" si="3"/>
        <v>540</v>
      </c>
      <c r="N29" s="3">
        <f t="shared" si="4"/>
        <v>675</v>
      </c>
      <c r="AG29" s="3">
        <v>25</v>
      </c>
      <c r="AH29" s="3">
        <f t="shared" si="5"/>
        <v>9450</v>
      </c>
      <c r="AI29" s="3">
        <f t="shared" si="6"/>
        <v>16740</v>
      </c>
    </row>
    <row r="30" spans="2:35" x14ac:dyDescent="0.15">
      <c r="B30" s="3" t="s">
        <v>51</v>
      </c>
      <c r="C30" s="3">
        <v>0</v>
      </c>
      <c r="D30" s="3">
        <v>1</v>
      </c>
      <c r="E30" s="3">
        <v>2</v>
      </c>
      <c r="F30" s="3">
        <v>3</v>
      </c>
      <c r="G30" s="3">
        <v>5</v>
      </c>
      <c r="I30" s="3">
        <v>26</v>
      </c>
      <c r="J30" s="3" t="str">
        <f t="shared" si="0"/>
        <v/>
      </c>
      <c r="K30" s="3">
        <f t="shared" si="1"/>
        <v>280</v>
      </c>
      <c r="L30" s="3">
        <f t="shared" si="2"/>
        <v>420</v>
      </c>
      <c r="M30" s="3">
        <f t="shared" si="3"/>
        <v>560</v>
      </c>
      <c r="N30" s="3">
        <f t="shared" si="4"/>
        <v>700</v>
      </c>
      <c r="AG30" s="3">
        <v>26</v>
      </c>
      <c r="AH30" s="3">
        <f t="shared" si="5"/>
        <v>9910</v>
      </c>
      <c r="AI30" s="3">
        <f t="shared" si="6"/>
        <v>17376</v>
      </c>
    </row>
    <row r="31" spans="2:35" x14ac:dyDescent="0.15">
      <c r="B31" s="3" t="s">
        <v>50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I31" s="3">
        <v>27</v>
      </c>
      <c r="J31" s="3" t="str">
        <f t="shared" si="0"/>
        <v/>
      </c>
      <c r="K31" s="3">
        <f t="shared" si="1"/>
        <v>290</v>
      </c>
      <c r="L31" s="3">
        <f t="shared" si="2"/>
        <v>435</v>
      </c>
      <c r="M31" s="3">
        <f t="shared" si="3"/>
        <v>580</v>
      </c>
      <c r="N31" s="3">
        <f t="shared" si="4"/>
        <v>725</v>
      </c>
      <c r="AG31" s="3">
        <v>27</v>
      </c>
      <c r="AH31" s="3">
        <f t="shared" si="5"/>
        <v>10370</v>
      </c>
      <c r="AI31" s="3">
        <f t="shared" si="6"/>
        <v>18012</v>
      </c>
    </row>
    <row r="32" spans="2:35" x14ac:dyDescent="0.15">
      <c r="B32" s="2"/>
      <c r="C32" s="2"/>
      <c r="D32" s="2"/>
      <c r="E32" s="2"/>
      <c r="F32" s="2"/>
      <c r="I32" s="3">
        <v>28</v>
      </c>
      <c r="J32" s="3" t="str">
        <f t="shared" si="0"/>
        <v/>
      </c>
      <c r="K32" s="3">
        <f t="shared" si="1"/>
        <v>300</v>
      </c>
      <c r="L32" s="3">
        <f t="shared" si="2"/>
        <v>450</v>
      </c>
      <c r="M32" s="3">
        <f t="shared" si="3"/>
        <v>600</v>
      </c>
      <c r="N32" s="3">
        <f t="shared" si="4"/>
        <v>750</v>
      </c>
      <c r="O32" s="4"/>
      <c r="AG32" s="3">
        <v>28</v>
      </c>
      <c r="AH32" s="3">
        <f t="shared" si="5"/>
        <v>10830</v>
      </c>
      <c r="AI32" s="3">
        <f t="shared" si="6"/>
        <v>18648</v>
      </c>
    </row>
    <row r="33" spans="2:35" x14ac:dyDescent="0.15">
      <c r="B33" s="2"/>
      <c r="C33" s="2"/>
      <c r="D33" s="2"/>
      <c r="E33" s="2"/>
      <c r="F33" s="2"/>
      <c r="I33" s="3">
        <v>29</v>
      </c>
      <c r="J33" s="3" t="str">
        <f t="shared" si="0"/>
        <v/>
      </c>
      <c r="K33" s="3">
        <f t="shared" si="1"/>
        <v>310</v>
      </c>
      <c r="L33" s="3">
        <f t="shared" si="2"/>
        <v>465</v>
      </c>
      <c r="M33" s="3">
        <f t="shared" si="3"/>
        <v>620</v>
      </c>
      <c r="N33" s="3">
        <f t="shared" si="4"/>
        <v>775</v>
      </c>
      <c r="O33" s="4"/>
      <c r="P33" s="3"/>
      <c r="AG33" s="3">
        <v>29</v>
      </c>
      <c r="AH33" s="3">
        <f t="shared" si="5"/>
        <v>11290</v>
      </c>
      <c r="AI33" s="3">
        <f t="shared" si="6"/>
        <v>19284</v>
      </c>
    </row>
    <row r="34" spans="2:35" x14ac:dyDescent="0.15">
      <c r="B34" s="2"/>
      <c r="C34" s="2"/>
      <c r="D34" s="2"/>
      <c r="E34" s="2"/>
      <c r="F34" s="2"/>
      <c r="I34" s="3">
        <v>30</v>
      </c>
      <c r="J34" s="3" t="str">
        <f t="shared" si="0"/>
        <v/>
      </c>
      <c r="K34" s="3">
        <f t="shared" si="1"/>
        <v>320</v>
      </c>
      <c r="L34" s="3">
        <f t="shared" si="2"/>
        <v>480</v>
      </c>
      <c r="M34" s="3">
        <f t="shared" si="3"/>
        <v>640</v>
      </c>
      <c r="N34" s="3">
        <f t="shared" si="4"/>
        <v>800</v>
      </c>
      <c r="O34" s="4"/>
      <c r="P34" s="3"/>
      <c r="AG34" s="3">
        <v>30</v>
      </c>
      <c r="AH34" s="3">
        <f t="shared" si="5"/>
        <v>11750</v>
      </c>
      <c r="AI34" s="3">
        <f t="shared" si="6"/>
        <v>19920</v>
      </c>
    </row>
    <row r="35" spans="2:35" x14ac:dyDescent="0.15">
      <c r="B35" s="2"/>
      <c r="C35" s="2"/>
      <c r="D35" s="2"/>
      <c r="E35" s="2"/>
      <c r="F35" s="2"/>
      <c r="I35" s="3">
        <v>31</v>
      </c>
      <c r="J35" s="3" t="str">
        <f t="shared" si="0"/>
        <v/>
      </c>
      <c r="K35" s="3">
        <f t="shared" si="1"/>
        <v>330</v>
      </c>
      <c r="L35" s="3">
        <f t="shared" si="2"/>
        <v>495</v>
      </c>
      <c r="M35" s="3">
        <f t="shared" si="3"/>
        <v>660</v>
      </c>
      <c r="N35" s="3">
        <f t="shared" si="4"/>
        <v>825</v>
      </c>
      <c r="O35" s="4"/>
      <c r="P35" s="3"/>
      <c r="AG35" s="3">
        <v>31</v>
      </c>
      <c r="AH35" s="3">
        <f t="shared" si="5"/>
        <v>12773.333333333334</v>
      </c>
      <c r="AI35" s="3">
        <f t="shared" si="6"/>
        <v>22253.333333333332</v>
      </c>
    </row>
    <row r="36" spans="2:35" x14ac:dyDescent="0.15">
      <c r="B36" s="2"/>
      <c r="C36" s="2"/>
      <c r="D36" s="2"/>
      <c r="E36" s="2"/>
      <c r="F36" s="2"/>
      <c r="I36" s="3">
        <v>32</v>
      </c>
      <c r="J36" s="3" t="str">
        <f t="shared" si="0"/>
        <v/>
      </c>
      <c r="K36" s="3">
        <f t="shared" si="1"/>
        <v>340</v>
      </c>
      <c r="L36" s="3">
        <f t="shared" si="2"/>
        <v>510</v>
      </c>
      <c r="M36" s="3">
        <f t="shared" si="3"/>
        <v>680</v>
      </c>
      <c r="N36" s="3">
        <f t="shared" si="4"/>
        <v>850</v>
      </c>
      <c r="O36" s="4"/>
      <c r="P36" s="3"/>
      <c r="AG36" s="3">
        <v>32</v>
      </c>
      <c r="AH36" s="3">
        <f t="shared" si="5"/>
        <v>13796.666666666666</v>
      </c>
      <c r="AI36" s="3">
        <f t="shared" si="6"/>
        <v>24586.666666666668</v>
      </c>
    </row>
    <row r="37" spans="2:35" x14ac:dyDescent="0.15">
      <c r="B37" s="2"/>
      <c r="C37" s="2"/>
      <c r="D37" s="2"/>
      <c r="E37" s="2"/>
      <c r="F37" s="2"/>
      <c r="I37" s="3">
        <v>33</v>
      </c>
      <c r="J37" s="3" t="str">
        <f t="shared" ref="J37:J68" si="9">IF($I37&lt;=C$27,C$28+C$29*$I37,"")</f>
        <v/>
      </c>
      <c r="K37" s="3">
        <f t="shared" ref="K37:K68" si="10">IF($I37&lt;=D$27,D$28+D$29*$I37,"")</f>
        <v>350</v>
      </c>
      <c r="L37" s="3">
        <f t="shared" ref="L37:L68" si="11">IF($I37&lt;=E$27,E$28+E$29*$I37,"")</f>
        <v>525</v>
      </c>
      <c r="M37" s="3">
        <f t="shared" ref="M37:M68" si="12">IF($I37&lt;=F$27,F$28+F$29*$I37,"")</f>
        <v>700</v>
      </c>
      <c r="N37" s="3">
        <f t="shared" ref="N37:N68" si="13">IF($I37&lt;=G$27,G$28+G$29*$I37,"")</f>
        <v>875</v>
      </c>
      <c r="O37" s="4"/>
      <c r="P37" s="3"/>
      <c r="AG37" s="3">
        <v>33</v>
      </c>
      <c r="AH37" s="3">
        <f t="shared" si="5"/>
        <v>14820</v>
      </c>
      <c r="AI37" s="3">
        <f t="shared" si="6"/>
        <v>26920</v>
      </c>
    </row>
    <row r="38" spans="2:35" x14ac:dyDescent="0.15">
      <c r="B38" s="2"/>
      <c r="C38" s="2"/>
      <c r="D38" s="2"/>
      <c r="E38" s="2"/>
      <c r="F38" s="2"/>
      <c r="I38" s="3">
        <v>34</v>
      </c>
      <c r="J38" s="3" t="str">
        <f t="shared" si="9"/>
        <v/>
      </c>
      <c r="K38" s="3">
        <f t="shared" si="10"/>
        <v>360</v>
      </c>
      <c r="L38" s="3">
        <f t="shared" si="11"/>
        <v>540</v>
      </c>
      <c r="M38" s="3">
        <f t="shared" si="12"/>
        <v>720</v>
      </c>
      <c r="N38" s="3">
        <f t="shared" si="13"/>
        <v>900</v>
      </c>
      <c r="O38" s="4"/>
      <c r="P38" s="3"/>
      <c r="AG38" s="3">
        <v>34</v>
      </c>
      <c r="AH38" s="3">
        <f t="shared" si="5"/>
        <v>15235.714285714286</v>
      </c>
      <c r="AI38" s="3">
        <f t="shared" si="6"/>
        <v>27291.428571428572</v>
      </c>
    </row>
    <row r="39" spans="2:35" x14ac:dyDescent="0.15">
      <c r="B39" s="2"/>
      <c r="C39" s="2"/>
      <c r="D39" s="2"/>
      <c r="E39" s="2"/>
      <c r="F39" s="2"/>
      <c r="I39" s="3">
        <v>35</v>
      </c>
      <c r="J39" s="3" t="str">
        <f t="shared" si="9"/>
        <v/>
      </c>
      <c r="K39" s="3">
        <f t="shared" si="10"/>
        <v>370</v>
      </c>
      <c r="L39" s="3">
        <f t="shared" si="11"/>
        <v>555</v>
      </c>
      <c r="M39" s="3">
        <f t="shared" si="12"/>
        <v>740</v>
      </c>
      <c r="N39" s="3">
        <f t="shared" si="13"/>
        <v>925</v>
      </c>
      <c r="O39" s="4"/>
      <c r="P39" s="3"/>
      <c r="AG39" s="3">
        <v>35</v>
      </c>
      <c r="AH39" s="3">
        <f t="shared" si="5"/>
        <v>15651.428571428571</v>
      </c>
      <c r="AI39" s="3">
        <f t="shared" si="6"/>
        <v>27662.857142857141</v>
      </c>
    </row>
    <row r="40" spans="2:35" x14ac:dyDescent="0.15">
      <c r="B40" s="2"/>
      <c r="C40" s="2"/>
      <c r="D40" s="2"/>
      <c r="E40" s="2"/>
      <c r="F40" s="2"/>
      <c r="I40" s="3">
        <v>36</v>
      </c>
      <c r="J40" s="3" t="str">
        <f t="shared" si="9"/>
        <v/>
      </c>
      <c r="K40" s="3">
        <f t="shared" si="10"/>
        <v>380</v>
      </c>
      <c r="L40" s="3">
        <f t="shared" si="11"/>
        <v>570</v>
      </c>
      <c r="M40" s="3">
        <f t="shared" si="12"/>
        <v>760</v>
      </c>
      <c r="N40" s="3">
        <f t="shared" si="13"/>
        <v>950</v>
      </c>
      <c r="O40" s="4"/>
      <c r="P40" s="3"/>
      <c r="AG40" s="3">
        <v>36</v>
      </c>
      <c r="AH40" s="3">
        <f t="shared" si="5"/>
        <v>16067.142857142857</v>
      </c>
      <c r="AI40" s="3">
        <f t="shared" si="6"/>
        <v>28034.285714285714</v>
      </c>
    </row>
    <row r="41" spans="2:35" x14ac:dyDescent="0.15">
      <c r="B41" s="2"/>
      <c r="C41" s="2"/>
      <c r="D41" s="2"/>
      <c r="E41" s="2"/>
      <c r="F41" s="2"/>
      <c r="I41" s="3">
        <v>37</v>
      </c>
      <c r="J41" s="3" t="str">
        <f t="shared" si="9"/>
        <v/>
      </c>
      <c r="K41" s="3">
        <f t="shared" si="10"/>
        <v>390</v>
      </c>
      <c r="L41" s="3">
        <f t="shared" si="11"/>
        <v>585</v>
      </c>
      <c r="M41" s="3">
        <f t="shared" si="12"/>
        <v>780</v>
      </c>
      <c r="N41" s="3">
        <f t="shared" si="13"/>
        <v>975</v>
      </c>
      <c r="O41" s="4"/>
      <c r="P41" s="3"/>
      <c r="AG41" s="3">
        <v>37</v>
      </c>
      <c r="AH41" s="3">
        <f t="shared" si="5"/>
        <v>16482.857142857141</v>
      </c>
      <c r="AI41" s="3">
        <f t="shared" si="6"/>
        <v>28405.714285714286</v>
      </c>
    </row>
    <row r="42" spans="2:35" x14ac:dyDescent="0.15">
      <c r="B42" s="2"/>
      <c r="C42" s="2"/>
      <c r="D42" s="2"/>
      <c r="E42" s="2"/>
      <c r="F42" s="2"/>
      <c r="I42" s="3">
        <v>38</v>
      </c>
      <c r="J42" s="3" t="str">
        <f t="shared" si="9"/>
        <v/>
      </c>
      <c r="K42" s="3">
        <f t="shared" si="10"/>
        <v>400</v>
      </c>
      <c r="L42" s="3">
        <f t="shared" si="11"/>
        <v>600</v>
      </c>
      <c r="M42" s="3">
        <f t="shared" si="12"/>
        <v>800</v>
      </c>
      <c r="N42" s="3">
        <f t="shared" si="13"/>
        <v>1000</v>
      </c>
      <c r="O42" s="4"/>
      <c r="P42" s="3"/>
      <c r="AG42" s="3">
        <v>38</v>
      </c>
      <c r="AH42" s="3">
        <f t="shared" si="5"/>
        <v>16898.571428571428</v>
      </c>
      <c r="AI42" s="3">
        <f t="shared" si="6"/>
        <v>28777.142857142859</v>
      </c>
    </row>
    <row r="43" spans="2:35" x14ac:dyDescent="0.15">
      <c r="I43" s="3">
        <v>39</v>
      </c>
      <c r="J43" s="3" t="str">
        <f t="shared" si="9"/>
        <v/>
      </c>
      <c r="K43" s="3">
        <f t="shared" si="10"/>
        <v>410</v>
      </c>
      <c r="L43" s="3">
        <f t="shared" si="11"/>
        <v>615</v>
      </c>
      <c r="M43" s="3">
        <f t="shared" si="12"/>
        <v>820</v>
      </c>
      <c r="N43" s="3">
        <f t="shared" si="13"/>
        <v>1025</v>
      </c>
      <c r="O43" s="4"/>
      <c r="P43" s="3"/>
      <c r="AG43" s="3">
        <v>39</v>
      </c>
      <c r="AH43" s="3">
        <f t="shared" si="5"/>
        <v>17314.285714285714</v>
      </c>
      <c r="AI43" s="3">
        <f t="shared" si="6"/>
        <v>29148.571428571428</v>
      </c>
    </row>
    <row r="44" spans="2:35" x14ac:dyDescent="0.15">
      <c r="I44" s="3">
        <v>40</v>
      </c>
      <c r="J44" s="3" t="str">
        <f t="shared" si="9"/>
        <v/>
      </c>
      <c r="K44" s="3">
        <f t="shared" si="10"/>
        <v>420</v>
      </c>
      <c r="L44" s="3">
        <f t="shared" si="11"/>
        <v>630</v>
      </c>
      <c r="M44" s="3">
        <f t="shared" si="12"/>
        <v>840</v>
      </c>
      <c r="N44" s="3">
        <f t="shared" si="13"/>
        <v>1050</v>
      </c>
      <c r="O44" s="4"/>
      <c r="P44" s="3"/>
      <c r="AG44" s="3">
        <v>40</v>
      </c>
      <c r="AH44" s="3">
        <f t="shared" si="5"/>
        <v>17730</v>
      </c>
      <c r="AI44" s="3">
        <f t="shared" si="6"/>
        <v>29520</v>
      </c>
    </row>
    <row r="45" spans="2:35" x14ac:dyDescent="0.15">
      <c r="I45" s="3">
        <v>41</v>
      </c>
      <c r="J45" s="3" t="str">
        <f t="shared" si="9"/>
        <v/>
      </c>
      <c r="K45" s="3" t="str">
        <f t="shared" si="10"/>
        <v/>
      </c>
      <c r="L45" s="3">
        <f t="shared" si="11"/>
        <v>645</v>
      </c>
      <c r="M45" s="3">
        <f t="shared" si="12"/>
        <v>860</v>
      </c>
      <c r="N45" s="3">
        <f t="shared" si="13"/>
        <v>1075</v>
      </c>
      <c r="O45" s="4"/>
      <c r="P45" s="3"/>
      <c r="AG45" s="3">
        <v>41</v>
      </c>
      <c r="AH45" s="3">
        <f t="shared" si="5"/>
        <v>18560</v>
      </c>
      <c r="AI45" s="3">
        <f t="shared" si="6"/>
        <v>29633</v>
      </c>
    </row>
    <row r="46" spans="2:35" x14ac:dyDescent="0.15">
      <c r="I46" s="3">
        <v>42</v>
      </c>
      <c r="J46" s="3" t="str">
        <f t="shared" si="9"/>
        <v/>
      </c>
      <c r="K46" s="3" t="str">
        <f t="shared" si="10"/>
        <v/>
      </c>
      <c r="L46" s="3">
        <f t="shared" si="11"/>
        <v>660</v>
      </c>
      <c r="M46" s="3">
        <f t="shared" si="12"/>
        <v>880</v>
      </c>
      <c r="N46" s="3">
        <f t="shared" si="13"/>
        <v>1100</v>
      </c>
      <c r="O46" s="4"/>
      <c r="P46" s="3"/>
      <c r="AG46" s="3">
        <v>42</v>
      </c>
      <c r="AH46" s="3">
        <f t="shared" si="5"/>
        <v>19390</v>
      </c>
      <c r="AI46" s="3">
        <f t="shared" si="6"/>
        <v>29746</v>
      </c>
    </row>
    <row r="47" spans="2:35" x14ac:dyDescent="0.15">
      <c r="I47" s="3">
        <v>43</v>
      </c>
      <c r="J47" s="3" t="str">
        <f t="shared" si="9"/>
        <v/>
      </c>
      <c r="K47" s="3" t="str">
        <f t="shared" si="10"/>
        <v/>
      </c>
      <c r="L47" s="3">
        <f t="shared" si="11"/>
        <v>675</v>
      </c>
      <c r="M47" s="3">
        <f t="shared" si="12"/>
        <v>900</v>
      </c>
      <c r="N47" s="3">
        <f t="shared" si="13"/>
        <v>1125</v>
      </c>
      <c r="P47" s="3"/>
      <c r="AG47" s="3">
        <v>43</v>
      </c>
      <c r="AH47" s="3">
        <f t="shared" si="5"/>
        <v>20220</v>
      </c>
      <c r="AI47" s="3">
        <f t="shared" si="6"/>
        <v>29859</v>
      </c>
    </row>
    <row r="48" spans="2:35" x14ac:dyDescent="0.15">
      <c r="I48" s="3">
        <v>44</v>
      </c>
      <c r="J48" s="3" t="str">
        <f t="shared" si="9"/>
        <v/>
      </c>
      <c r="K48" s="3" t="str">
        <f t="shared" si="10"/>
        <v/>
      </c>
      <c r="L48" s="3">
        <f t="shared" si="11"/>
        <v>690</v>
      </c>
      <c r="M48" s="3">
        <f t="shared" si="12"/>
        <v>920</v>
      </c>
      <c r="N48" s="3">
        <f t="shared" si="13"/>
        <v>1150</v>
      </c>
      <c r="P48" s="3"/>
      <c r="AG48" s="3">
        <v>44</v>
      </c>
      <c r="AH48" s="3">
        <f t="shared" si="5"/>
        <v>21050</v>
      </c>
      <c r="AI48" s="3">
        <f t="shared" si="6"/>
        <v>29972</v>
      </c>
    </row>
    <row r="49" spans="9:35" x14ac:dyDescent="0.15">
      <c r="I49" s="3">
        <v>45</v>
      </c>
      <c r="J49" s="3" t="str">
        <f t="shared" si="9"/>
        <v/>
      </c>
      <c r="K49" s="3" t="str">
        <f t="shared" si="10"/>
        <v/>
      </c>
      <c r="L49" s="3">
        <f t="shared" si="11"/>
        <v>705</v>
      </c>
      <c r="M49" s="3">
        <f t="shared" si="12"/>
        <v>940</v>
      </c>
      <c r="N49" s="3">
        <f t="shared" si="13"/>
        <v>1175</v>
      </c>
      <c r="P49" s="3"/>
      <c r="AG49" s="3">
        <v>45</v>
      </c>
      <c r="AH49" s="3">
        <f t="shared" si="5"/>
        <v>21880</v>
      </c>
      <c r="AI49" s="3">
        <f t="shared" si="6"/>
        <v>30085</v>
      </c>
    </row>
    <row r="50" spans="9:35" x14ac:dyDescent="0.15">
      <c r="I50" s="3">
        <v>46</v>
      </c>
      <c r="J50" s="3" t="str">
        <f t="shared" si="9"/>
        <v/>
      </c>
      <c r="K50" s="3" t="str">
        <f t="shared" si="10"/>
        <v/>
      </c>
      <c r="L50" s="3">
        <f t="shared" si="11"/>
        <v>720</v>
      </c>
      <c r="M50" s="3">
        <f t="shared" si="12"/>
        <v>960</v>
      </c>
      <c r="N50" s="3">
        <f t="shared" si="13"/>
        <v>1200</v>
      </c>
      <c r="P50" s="3"/>
      <c r="AG50" s="3">
        <v>46</v>
      </c>
      <c r="AH50" s="3">
        <f t="shared" si="5"/>
        <v>22710</v>
      </c>
      <c r="AI50" s="3">
        <f t="shared" si="6"/>
        <v>30198</v>
      </c>
    </row>
    <row r="51" spans="9:35" x14ac:dyDescent="0.15">
      <c r="I51" s="3">
        <v>47</v>
      </c>
      <c r="J51" s="3" t="str">
        <f t="shared" si="9"/>
        <v/>
      </c>
      <c r="K51" s="3" t="str">
        <f t="shared" si="10"/>
        <v/>
      </c>
      <c r="L51" s="3">
        <f t="shared" si="11"/>
        <v>735</v>
      </c>
      <c r="M51" s="3">
        <f t="shared" si="12"/>
        <v>980</v>
      </c>
      <c r="N51" s="3">
        <f t="shared" si="13"/>
        <v>1225</v>
      </c>
      <c r="P51" s="3"/>
      <c r="AG51" s="3">
        <v>47</v>
      </c>
      <c r="AH51" s="3">
        <f t="shared" si="5"/>
        <v>23540</v>
      </c>
      <c r="AI51" s="3">
        <f t="shared" si="6"/>
        <v>30311</v>
      </c>
    </row>
    <row r="52" spans="9:35" x14ac:dyDescent="0.15">
      <c r="I52" s="3">
        <v>48</v>
      </c>
      <c r="J52" s="3" t="str">
        <f t="shared" si="9"/>
        <v/>
      </c>
      <c r="K52" s="3" t="str">
        <f t="shared" si="10"/>
        <v/>
      </c>
      <c r="L52" s="3">
        <f t="shared" si="11"/>
        <v>750</v>
      </c>
      <c r="M52" s="3">
        <f t="shared" si="12"/>
        <v>1000</v>
      </c>
      <c r="N52" s="3">
        <f t="shared" si="13"/>
        <v>1250</v>
      </c>
      <c r="P52" s="3"/>
      <c r="AG52" s="3">
        <v>48</v>
      </c>
      <c r="AH52" s="3">
        <f t="shared" si="5"/>
        <v>24370</v>
      </c>
      <c r="AI52" s="3">
        <f t="shared" si="6"/>
        <v>30424</v>
      </c>
    </row>
    <row r="53" spans="9:35" x14ac:dyDescent="0.15">
      <c r="I53" s="3">
        <v>49</v>
      </c>
      <c r="J53" s="3" t="str">
        <f t="shared" si="9"/>
        <v/>
      </c>
      <c r="K53" s="3" t="str">
        <f t="shared" si="10"/>
        <v/>
      </c>
      <c r="L53" s="3">
        <f t="shared" si="11"/>
        <v>765</v>
      </c>
      <c r="M53" s="3">
        <f t="shared" si="12"/>
        <v>1020</v>
      </c>
      <c r="N53" s="3">
        <f t="shared" si="13"/>
        <v>1275</v>
      </c>
      <c r="P53" s="3"/>
      <c r="AG53" s="3">
        <v>49</v>
      </c>
      <c r="AH53" s="3">
        <f t="shared" si="5"/>
        <v>25200</v>
      </c>
      <c r="AI53" s="3">
        <f t="shared" si="6"/>
        <v>30537</v>
      </c>
    </row>
    <row r="54" spans="9:35" x14ac:dyDescent="0.15">
      <c r="I54" s="3">
        <v>50</v>
      </c>
      <c r="J54" s="3" t="str">
        <f t="shared" si="9"/>
        <v/>
      </c>
      <c r="K54" s="3" t="str">
        <f t="shared" si="10"/>
        <v/>
      </c>
      <c r="L54" s="3">
        <f t="shared" si="11"/>
        <v>780</v>
      </c>
      <c r="M54" s="3">
        <f t="shared" si="12"/>
        <v>1040</v>
      </c>
      <c r="N54" s="3">
        <f t="shared" si="13"/>
        <v>1300</v>
      </c>
      <c r="P54" s="3"/>
      <c r="AG54" s="3">
        <v>50</v>
      </c>
      <c r="AH54" s="3">
        <f t="shared" si="5"/>
        <v>26030</v>
      </c>
      <c r="AI54" s="3">
        <f t="shared" si="6"/>
        <v>30650</v>
      </c>
    </row>
    <row r="55" spans="9:35" x14ac:dyDescent="0.15">
      <c r="I55" s="3">
        <v>51</v>
      </c>
      <c r="J55" s="3" t="str">
        <f t="shared" si="9"/>
        <v/>
      </c>
      <c r="K55" s="3" t="str">
        <f t="shared" si="10"/>
        <v/>
      </c>
      <c r="L55" s="3">
        <f t="shared" si="11"/>
        <v>795</v>
      </c>
      <c r="M55" s="3">
        <f t="shared" si="12"/>
        <v>1060</v>
      </c>
      <c r="N55" s="3">
        <f t="shared" si="13"/>
        <v>1325</v>
      </c>
      <c r="P55" s="3"/>
      <c r="AG55" s="3">
        <v>51</v>
      </c>
      <c r="AH55" s="3">
        <f t="shared" si="5"/>
        <v>27103.333333333332</v>
      </c>
      <c r="AI55" s="3">
        <f t="shared" si="6"/>
        <v>35733.333333333336</v>
      </c>
    </row>
    <row r="56" spans="9:35" x14ac:dyDescent="0.15">
      <c r="I56" s="3">
        <v>52</v>
      </c>
      <c r="J56" s="3" t="str">
        <f t="shared" si="9"/>
        <v/>
      </c>
      <c r="K56" s="3" t="str">
        <f t="shared" si="10"/>
        <v/>
      </c>
      <c r="L56" s="3">
        <f t="shared" si="11"/>
        <v>810</v>
      </c>
      <c r="M56" s="3">
        <f t="shared" si="12"/>
        <v>1080</v>
      </c>
      <c r="N56" s="3">
        <f t="shared" si="13"/>
        <v>1350</v>
      </c>
      <c r="P56" s="3"/>
      <c r="AG56" s="3">
        <v>52</v>
      </c>
      <c r="AH56" s="3">
        <f t="shared" si="5"/>
        <v>28176.666666666668</v>
      </c>
      <c r="AI56" s="3">
        <f t="shared" si="6"/>
        <v>40816.666666666664</v>
      </c>
    </row>
    <row r="57" spans="9:35" x14ac:dyDescent="0.15">
      <c r="I57" s="3">
        <v>53</v>
      </c>
      <c r="J57" s="3" t="str">
        <f t="shared" si="9"/>
        <v/>
      </c>
      <c r="K57" s="3" t="str">
        <f t="shared" si="10"/>
        <v/>
      </c>
      <c r="L57" s="3">
        <f t="shared" si="11"/>
        <v>825</v>
      </c>
      <c r="M57" s="3">
        <f t="shared" si="12"/>
        <v>1100</v>
      </c>
      <c r="N57" s="3">
        <f t="shared" si="13"/>
        <v>1375</v>
      </c>
      <c r="AG57" s="3">
        <v>53</v>
      </c>
      <c r="AH57" s="3">
        <f t="shared" si="5"/>
        <v>29250</v>
      </c>
      <c r="AI57" s="3">
        <f t="shared" si="6"/>
        <v>45900</v>
      </c>
    </row>
    <row r="58" spans="9:35" x14ac:dyDescent="0.15">
      <c r="I58" s="3">
        <v>54</v>
      </c>
      <c r="J58" s="3" t="str">
        <f t="shared" si="9"/>
        <v/>
      </c>
      <c r="K58" s="3" t="str">
        <f t="shared" si="10"/>
        <v/>
      </c>
      <c r="L58" s="3">
        <f t="shared" si="11"/>
        <v>840</v>
      </c>
      <c r="M58" s="3">
        <f t="shared" si="12"/>
        <v>1120</v>
      </c>
      <c r="N58" s="3">
        <f t="shared" si="13"/>
        <v>1400</v>
      </c>
      <c r="AG58" s="3">
        <v>54</v>
      </c>
      <c r="AH58" s="3">
        <f t="shared" si="5"/>
        <v>29160</v>
      </c>
      <c r="AI58" s="3">
        <f t="shared" si="6"/>
        <v>46650</v>
      </c>
    </row>
    <row r="59" spans="9:35" x14ac:dyDescent="0.15">
      <c r="I59" s="3">
        <v>55</v>
      </c>
      <c r="J59" s="3" t="str">
        <f t="shared" si="9"/>
        <v/>
      </c>
      <c r="K59" s="3" t="str">
        <f t="shared" si="10"/>
        <v/>
      </c>
      <c r="L59" s="3">
        <f t="shared" si="11"/>
        <v>855</v>
      </c>
      <c r="M59" s="3">
        <f t="shared" si="12"/>
        <v>1140</v>
      </c>
      <c r="N59" s="3">
        <f t="shared" si="13"/>
        <v>1425</v>
      </c>
      <c r="AG59" s="3">
        <v>55</v>
      </c>
      <c r="AH59" s="3">
        <f t="shared" si="5"/>
        <v>29070</v>
      </c>
      <c r="AI59" s="3">
        <f t="shared" si="6"/>
        <v>47400</v>
      </c>
    </row>
    <row r="60" spans="9:35" x14ac:dyDescent="0.15">
      <c r="I60" s="3">
        <v>56</v>
      </c>
      <c r="J60" s="3" t="str">
        <f t="shared" si="9"/>
        <v/>
      </c>
      <c r="K60" s="3" t="str">
        <f t="shared" si="10"/>
        <v/>
      </c>
      <c r="L60" s="3">
        <f t="shared" si="11"/>
        <v>870</v>
      </c>
      <c r="M60" s="3">
        <f t="shared" si="12"/>
        <v>1160</v>
      </c>
      <c r="N60" s="3">
        <f t="shared" si="13"/>
        <v>1450</v>
      </c>
      <c r="AG60" s="3">
        <v>56</v>
      </c>
      <c r="AH60" s="3">
        <f t="shared" si="5"/>
        <v>28980</v>
      </c>
      <c r="AI60" s="3">
        <f t="shared" si="6"/>
        <v>48150</v>
      </c>
    </row>
    <row r="61" spans="9:35" x14ac:dyDescent="0.15">
      <c r="I61" s="3">
        <v>57</v>
      </c>
      <c r="J61" s="3" t="str">
        <f t="shared" si="9"/>
        <v/>
      </c>
      <c r="K61" s="3" t="str">
        <f t="shared" si="10"/>
        <v/>
      </c>
      <c r="L61" s="3">
        <f t="shared" si="11"/>
        <v>885</v>
      </c>
      <c r="M61" s="3">
        <f t="shared" si="12"/>
        <v>1180</v>
      </c>
      <c r="N61" s="3">
        <f t="shared" si="13"/>
        <v>1475</v>
      </c>
      <c r="AG61" s="3">
        <v>57</v>
      </c>
      <c r="AH61" s="3">
        <f t="shared" si="5"/>
        <v>28890</v>
      </c>
      <c r="AI61" s="3">
        <f t="shared" si="6"/>
        <v>48900</v>
      </c>
    </row>
    <row r="62" spans="9:35" x14ac:dyDescent="0.15">
      <c r="I62" s="3">
        <v>58</v>
      </c>
      <c r="J62" s="3" t="str">
        <f t="shared" si="9"/>
        <v/>
      </c>
      <c r="K62" s="3" t="str">
        <f t="shared" si="10"/>
        <v/>
      </c>
      <c r="L62" s="3">
        <f t="shared" si="11"/>
        <v>900</v>
      </c>
      <c r="M62" s="3">
        <f t="shared" si="12"/>
        <v>1200</v>
      </c>
      <c r="N62" s="3">
        <f t="shared" si="13"/>
        <v>1500</v>
      </c>
      <c r="AG62" s="3">
        <v>58</v>
      </c>
      <c r="AH62" s="3">
        <f t="shared" si="5"/>
        <v>28800</v>
      </c>
      <c r="AI62" s="3">
        <f t="shared" si="6"/>
        <v>49650</v>
      </c>
    </row>
    <row r="63" spans="9:35" x14ac:dyDescent="0.15">
      <c r="I63" s="3">
        <v>59</v>
      </c>
      <c r="J63" s="3" t="str">
        <f t="shared" si="9"/>
        <v/>
      </c>
      <c r="K63" s="3" t="str">
        <f t="shared" si="10"/>
        <v/>
      </c>
      <c r="L63" s="3">
        <f t="shared" si="11"/>
        <v>915</v>
      </c>
      <c r="M63" s="3">
        <f t="shared" si="12"/>
        <v>1220</v>
      </c>
      <c r="N63" s="3">
        <f t="shared" si="13"/>
        <v>1525</v>
      </c>
      <c r="AG63" s="3">
        <v>59</v>
      </c>
      <c r="AH63" s="3">
        <f t="shared" si="5"/>
        <v>28710</v>
      </c>
      <c r="AI63" s="3">
        <f t="shared" si="6"/>
        <v>50400</v>
      </c>
    </row>
    <row r="64" spans="9:35" x14ac:dyDescent="0.15">
      <c r="I64" s="3">
        <v>60</v>
      </c>
      <c r="J64" s="3" t="str">
        <f t="shared" si="9"/>
        <v/>
      </c>
      <c r="K64" s="3" t="str">
        <f t="shared" si="10"/>
        <v/>
      </c>
      <c r="L64" s="3">
        <f t="shared" si="11"/>
        <v>930</v>
      </c>
      <c r="M64" s="3">
        <f t="shared" si="12"/>
        <v>1240</v>
      </c>
      <c r="N64" s="3">
        <f t="shared" si="13"/>
        <v>1550</v>
      </c>
      <c r="AG64" s="3">
        <v>60</v>
      </c>
      <c r="AH64" s="3">
        <f t="shared" si="5"/>
        <v>28575</v>
      </c>
      <c r="AI64" s="3">
        <f t="shared" si="6"/>
        <v>50400</v>
      </c>
    </row>
    <row r="65" spans="9:35" x14ac:dyDescent="0.15">
      <c r="I65" s="3">
        <v>61</v>
      </c>
      <c r="J65" s="3" t="str">
        <f t="shared" si="9"/>
        <v/>
      </c>
      <c r="K65" s="3" t="str">
        <f t="shared" si="10"/>
        <v/>
      </c>
      <c r="L65" s="3" t="str">
        <f t="shared" si="11"/>
        <v/>
      </c>
      <c r="M65" s="3">
        <f t="shared" si="12"/>
        <v>1260</v>
      </c>
      <c r="N65" s="3">
        <f t="shared" si="13"/>
        <v>1575</v>
      </c>
      <c r="AG65" s="3">
        <v>61</v>
      </c>
      <c r="AH65" s="3">
        <f t="shared" si="5"/>
        <v>28440</v>
      </c>
      <c r="AI65" s="3">
        <f t="shared" si="6"/>
        <v>50400</v>
      </c>
    </row>
    <row r="66" spans="9:35" x14ac:dyDescent="0.15">
      <c r="I66" s="3">
        <v>62</v>
      </c>
      <c r="J66" s="3" t="str">
        <f t="shared" si="9"/>
        <v/>
      </c>
      <c r="K66" s="3" t="str">
        <f t="shared" si="10"/>
        <v/>
      </c>
      <c r="L66" s="3" t="str">
        <f t="shared" si="11"/>
        <v/>
      </c>
      <c r="M66" s="3">
        <f t="shared" si="12"/>
        <v>1280</v>
      </c>
      <c r="N66" s="3">
        <f t="shared" si="13"/>
        <v>1600</v>
      </c>
      <c r="AG66" s="3">
        <v>62</v>
      </c>
      <c r="AH66" s="3">
        <f t="shared" si="5"/>
        <v>28305</v>
      </c>
      <c r="AI66" s="3">
        <f t="shared" si="6"/>
        <v>50400</v>
      </c>
    </row>
    <row r="67" spans="9:35" x14ac:dyDescent="0.15">
      <c r="I67" s="3">
        <v>63</v>
      </c>
      <c r="J67" s="3" t="str">
        <f t="shared" si="9"/>
        <v/>
      </c>
      <c r="K67" s="3" t="str">
        <f t="shared" si="10"/>
        <v/>
      </c>
      <c r="L67" s="3" t="str">
        <f t="shared" si="11"/>
        <v/>
      </c>
      <c r="M67" s="3">
        <f t="shared" si="12"/>
        <v>1300</v>
      </c>
      <c r="N67" s="3">
        <f t="shared" si="13"/>
        <v>1625</v>
      </c>
      <c r="AG67" s="3">
        <v>63</v>
      </c>
      <c r="AH67" s="3">
        <f t="shared" si="5"/>
        <v>28170</v>
      </c>
      <c r="AI67" s="3">
        <f t="shared" si="6"/>
        <v>50400</v>
      </c>
    </row>
    <row r="68" spans="9:35" x14ac:dyDescent="0.15">
      <c r="I68" s="3">
        <v>64</v>
      </c>
      <c r="J68" s="3" t="str">
        <f t="shared" si="9"/>
        <v/>
      </c>
      <c r="K68" s="3" t="str">
        <f t="shared" si="10"/>
        <v/>
      </c>
      <c r="L68" s="3" t="str">
        <f t="shared" si="11"/>
        <v/>
      </c>
      <c r="M68" s="3">
        <f t="shared" si="12"/>
        <v>1320</v>
      </c>
      <c r="N68" s="3">
        <f t="shared" si="13"/>
        <v>1650</v>
      </c>
      <c r="AG68" s="3">
        <v>64</v>
      </c>
      <c r="AH68" s="3">
        <f t="shared" si="5"/>
        <v>28035</v>
      </c>
      <c r="AI68" s="3">
        <f t="shared" si="6"/>
        <v>50400</v>
      </c>
    </row>
    <row r="69" spans="9:35" x14ac:dyDescent="0.15">
      <c r="I69" s="3">
        <v>65</v>
      </c>
      <c r="J69" s="3" t="str">
        <f t="shared" ref="J69:J100" si="14">IF($I69&lt;=C$27,C$28+C$29*$I69,"")</f>
        <v/>
      </c>
      <c r="K69" s="3" t="str">
        <f t="shared" ref="K69:K100" si="15">IF($I69&lt;=D$27,D$28+D$29*$I69,"")</f>
        <v/>
      </c>
      <c r="L69" s="3" t="str">
        <f t="shared" ref="L69:L100" si="16">IF($I69&lt;=E$27,E$28+E$29*$I69,"")</f>
        <v/>
      </c>
      <c r="M69" s="3">
        <f t="shared" ref="M69:M100" si="17">IF($I69&lt;=F$27,F$28+F$29*$I69,"")</f>
        <v>1340</v>
      </c>
      <c r="N69" s="3">
        <f t="shared" ref="N69:N100" si="18">IF($I69&lt;=G$27,G$28+G$29*$I69,"")</f>
        <v>1675</v>
      </c>
      <c r="AG69" s="3">
        <v>65</v>
      </c>
      <c r="AH69" s="3">
        <f t="shared" si="5"/>
        <v>27900</v>
      </c>
      <c r="AI69" s="3">
        <f t="shared" si="6"/>
        <v>50400</v>
      </c>
    </row>
    <row r="70" spans="9:35" x14ac:dyDescent="0.15">
      <c r="I70" s="3">
        <v>66</v>
      </c>
      <c r="J70" s="3" t="str">
        <f t="shared" si="14"/>
        <v/>
      </c>
      <c r="K70" s="3" t="str">
        <f t="shared" si="15"/>
        <v/>
      </c>
      <c r="L70" s="3" t="str">
        <f t="shared" si="16"/>
        <v/>
      </c>
      <c r="M70" s="3">
        <f t="shared" si="17"/>
        <v>1360</v>
      </c>
      <c r="N70" s="3">
        <f t="shared" si="18"/>
        <v>1700</v>
      </c>
      <c r="AG70" s="3">
        <v>66</v>
      </c>
      <c r="AH70" s="3">
        <f t="shared" ref="AH70:AH114" si="19">IF(AG70&lt;=$U$22,求节点($U$5:$U$22,$AD$5:$AD$22,AG70),$AD$22)</f>
        <v>28650</v>
      </c>
      <c r="AI70" s="3">
        <f t="shared" ref="AI70:AI114" si="20">IF(AG70&lt;=$U$22,求节点($U$5:$U$22,$AE$5:$AE$22,AG70),$AE$18)</f>
        <v>50400</v>
      </c>
    </row>
    <row r="71" spans="9:35" x14ac:dyDescent="0.15">
      <c r="I71" s="3">
        <v>67</v>
      </c>
      <c r="J71" s="3" t="str">
        <f t="shared" si="14"/>
        <v/>
      </c>
      <c r="K71" s="3" t="str">
        <f t="shared" si="15"/>
        <v/>
      </c>
      <c r="L71" s="3" t="str">
        <f t="shared" si="16"/>
        <v/>
      </c>
      <c r="M71" s="3">
        <f t="shared" si="17"/>
        <v>1380</v>
      </c>
      <c r="N71" s="3">
        <f t="shared" si="18"/>
        <v>1725</v>
      </c>
      <c r="AG71" s="3">
        <v>67</v>
      </c>
      <c r="AH71" s="3">
        <f t="shared" si="19"/>
        <v>29400</v>
      </c>
      <c r="AI71" s="3">
        <f t="shared" si="20"/>
        <v>50400</v>
      </c>
    </row>
    <row r="72" spans="9:35" x14ac:dyDescent="0.15">
      <c r="I72" s="3">
        <v>68</v>
      </c>
      <c r="J72" s="3" t="str">
        <f t="shared" si="14"/>
        <v/>
      </c>
      <c r="K72" s="3" t="str">
        <f t="shared" si="15"/>
        <v/>
      </c>
      <c r="L72" s="3" t="str">
        <f t="shared" si="16"/>
        <v/>
      </c>
      <c r="M72" s="3">
        <f t="shared" si="17"/>
        <v>1400</v>
      </c>
      <c r="N72" s="3">
        <f t="shared" si="18"/>
        <v>1750</v>
      </c>
      <c r="AG72" s="3">
        <v>68</v>
      </c>
      <c r="AH72" s="3">
        <f t="shared" si="19"/>
        <v>30150</v>
      </c>
      <c r="AI72" s="3">
        <f t="shared" si="20"/>
        <v>50400</v>
      </c>
    </row>
    <row r="73" spans="9:35" x14ac:dyDescent="0.15">
      <c r="I73" s="3">
        <v>69</v>
      </c>
      <c r="J73" s="3" t="str">
        <f t="shared" si="14"/>
        <v/>
      </c>
      <c r="K73" s="3" t="str">
        <f t="shared" si="15"/>
        <v/>
      </c>
      <c r="L73" s="3" t="str">
        <f t="shared" si="16"/>
        <v/>
      </c>
      <c r="M73" s="3">
        <f t="shared" si="17"/>
        <v>1420</v>
      </c>
      <c r="N73" s="3">
        <f t="shared" si="18"/>
        <v>1775</v>
      </c>
      <c r="AG73" s="3">
        <v>69</v>
      </c>
      <c r="AH73" s="3">
        <f t="shared" si="19"/>
        <v>30900</v>
      </c>
      <c r="AI73" s="3">
        <f t="shared" si="20"/>
        <v>50400</v>
      </c>
    </row>
    <row r="74" spans="9:35" x14ac:dyDescent="0.15">
      <c r="I74" s="3">
        <v>70</v>
      </c>
      <c r="J74" s="3" t="str">
        <f t="shared" si="14"/>
        <v/>
      </c>
      <c r="K74" s="3" t="str">
        <f t="shared" si="15"/>
        <v/>
      </c>
      <c r="L74" s="3" t="str">
        <f t="shared" si="16"/>
        <v/>
      </c>
      <c r="M74" s="3">
        <f t="shared" si="17"/>
        <v>1440</v>
      </c>
      <c r="N74" s="3">
        <f t="shared" si="18"/>
        <v>1800</v>
      </c>
      <c r="AG74" s="3">
        <v>70</v>
      </c>
      <c r="AH74" s="3">
        <f t="shared" si="19"/>
        <v>31650</v>
      </c>
      <c r="AI74" s="3">
        <f t="shared" si="20"/>
        <v>50400</v>
      </c>
    </row>
    <row r="75" spans="9:35" x14ac:dyDescent="0.15">
      <c r="I75" s="3">
        <v>71</v>
      </c>
      <c r="J75" s="3" t="str">
        <f t="shared" si="14"/>
        <v/>
      </c>
      <c r="K75" s="3" t="str">
        <f t="shared" si="15"/>
        <v/>
      </c>
      <c r="L75" s="3" t="str">
        <f t="shared" si="16"/>
        <v/>
      </c>
      <c r="M75" s="3">
        <f t="shared" si="17"/>
        <v>1460</v>
      </c>
      <c r="N75" s="3">
        <f t="shared" si="18"/>
        <v>1825</v>
      </c>
      <c r="AG75" s="3">
        <v>71</v>
      </c>
      <c r="AH75" s="3">
        <f t="shared" si="19"/>
        <v>32400</v>
      </c>
      <c r="AI75" s="3">
        <f t="shared" si="20"/>
        <v>50400</v>
      </c>
    </row>
    <row r="76" spans="9:35" x14ac:dyDescent="0.15">
      <c r="I76" s="3">
        <v>72</v>
      </c>
      <c r="J76" s="3" t="str">
        <f t="shared" si="14"/>
        <v/>
      </c>
      <c r="K76" s="3" t="str">
        <f t="shared" si="15"/>
        <v/>
      </c>
      <c r="L76" s="3" t="str">
        <f t="shared" si="16"/>
        <v/>
      </c>
      <c r="M76" s="3">
        <f t="shared" si="17"/>
        <v>1480</v>
      </c>
      <c r="N76" s="3">
        <f t="shared" si="18"/>
        <v>1850</v>
      </c>
      <c r="AG76" s="3">
        <v>72</v>
      </c>
      <c r="AH76" s="3">
        <f t="shared" si="19"/>
        <v>33685.714285714283</v>
      </c>
      <c r="AI76" s="3">
        <f t="shared" si="20"/>
        <v>50400</v>
      </c>
    </row>
    <row r="77" spans="9:35" x14ac:dyDescent="0.15">
      <c r="I77" s="3">
        <v>73</v>
      </c>
      <c r="J77" s="3" t="str">
        <f t="shared" si="14"/>
        <v/>
      </c>
      <c r="K77" s="3" t="str">
        <f t="shared" si="15"/>
        <v/>
      </c>
      <c r="L77" s="3" t="str">
        <f t="shared" si="16"/>
        <v/>
      </c>
      <c r="M77" s="3">
        <f t="shared" si="17"/>
        <v>1500</v>
      </c>
      <c r="N77" s="3">
        <f t="shared" si="18"/>
        <v>1875</v>
      </c>
      <c r="AG77" s="3">
        <v>73</v>
      </c>
      <c r="AH77" s="3">
        <f t="shared" si="19"/>
        <v>34971.428571428572</v>
      </c>
      <c r="AI77" s="3">
        <f t="shared" si="20"/>
        <v>50400</v>
      </c>
    </row>
    <row r="78" spans="9:35" x14ac:dyDescent="0.15">
      <c r="I78" s="3">
        <v>74</v>
      </c>
      <c r="J78" s="3" t="str">
        <f t="shared" si="14"/>
        <v/>
      </c>
      <c r="K78" s="3" t="str">
        <f t="shared" si="15"/>
        <v/>
      </c>
      <c r="L78" s="3" t="str">
        <f t="shared" si="16"/>
        <v/>
      </c>
      <c r="M78" s="3">
        <f t="shared" si="17"/>
        <v>1520</v>
      </c>
      <c r="N78" s="3">
        <f t="shared" si="18"/>
        <v>1900</v>
      </c>
      <c r="AG78" s="3">
        <v>74</v>
      </c>
      <c r="AH78" s="3">
        <f t="shared" si="19"/>
        <v>36257.142857142855</v>
      </c>
      <c r="AI78" s="3">
        <f t="shared" si="20"/>
        <v>50400</v>
      </c>
    </row>
    <row r="79" spans="9:35" x14ac:dyDescent="0.15">
      <c r="I79" s="3">
        <v>75</v>
      </c>
      <c r="J79" s="3" t="str">
        <f t="shared" si="14"/>
        <v/>
      </c>
      <c r="K79" s="3" t="str">
        <f t="shared" si="15"/>
        <v/>
      </c>
      <c r="L79" s="3" t="str">
        <f t="shared" si="16"/>
        <v/>
      </c>
      <c r="M79" s="3">
        <f t="shared" si="17"/>
        <v>1540</v>
      </c>
      <c r="N79" s="3">
        <f t="shared" si="18"/>
        <v>1925</v>
      </c>
      <c r="AG79" s="3">
        <v>75</v>
      </c>
      <c r="AH79" s="3">
        <f t="shared" si="19"/>
        <v>37542.857142857145</v>
      </c>
      <c r="AI79" s="3">
        <f t="shared" si="20"/>
        <v>50400</v>
      </c>
    </row>
    <row r="80" spans="9:35" x14ac:dyDescent="0.15">
      <c r="I80" s="3">
        <v>76</v>
      </c>
      <c r="J80" s="3" t="str">
        <f t="shared" si="14"/>
        <v/>
      </c>
      <c r="K80" s="3" t="str">
        <f t="shared" si="15"/>
        <v/>
      </c>
      <c r="L80" s="3" t="str">
        <f t="shared" si="16"/>
        <v/>
      </c>
      <c r="M80" s="3">
        <f t="shared" si="17"/>
        <v>1560</v>
      </c>
      <c r="N80" s="3">
        <f t="shared" si="18"/>
        <v>1950</v>
      </c>
      <c r="AG80" s="3">
        <v>76</v>
      </c>
      <c r="AH80" s="3">
        <f t="shared" si="19"/>
        <v>38828.571428571428</v>
      </c>
      <c r="AI80" s="3">
        <f t="shared" si="20"/>
        <v>50400</v>
      </c>
    </row>
    <row r="81" spans="9:35" x14ac:dyDescent="0.15">
      <c r="I81" s="3">
        <v>77</v>
      </c>
      <c r="J81" s="3" t="str">
        <f t="shared" si="14"/>
        <v/>
      </c>
      <c r="K81" s="3" t="str">
        <f t="shared" si="15"/>
        <v/>
      </c>
      <c r="L81" s="3" t="str">
        <f t="shared" si="16"/>
        <v/>
      </c>
      <c r="M81" s="3">
        <f t="shared" si="17"/>
        <v>1580</v>
      </c>
      <c r="N81" s="3">
        <f t="shared" si="18"/>
        <v>1975</v>
      </c>
      <c r="AG81" s="3">
        <v>77</v>
      </c>
      <c r="AH81" s="3">
        <f t="shared" si="19"/>
        <v>40114.285714285717</v>
      </c>
      <c r="AI81" s="3">
        <f t="shared" si="20"/>
        <v>50400</v>
      </c>
    </row>
    <row r="82" spans="9:35" x14ac:dyDescent="0.15">
      <c r="I82" s="3">
        <v>78</v>
      </c>
      <c r="J82" s="3" t="str">
        <f t="shared" si="14"/>
        <v/>
      </c>
      <c r="K82" s="3" t="str">
        <f t="shared" si="15"/>
        <v/>
      </c>
      <c r="L82" s="3" t="str">
        <f t="shared" si="16"/>
        <v/>
      </c>
      <c r="M82" s="3">
        <f t="shared" si="17"/>
        <v>1600</v>
      </c>
      <c r="N82" s="3">
        <f t="shared" si="18"/>
        <v>2000</v>
      </c>
      <c r="AG82" s="3">
        <v>78</v>
      </c>
      <c r="AH82" s="3">
        <f t="shared" si="19"/>
        <v>41400</v>
      </c>
      <c r="AI82" s="3">
        <f t="shared" si="20"/>
        <v>50400</v>
      </c>
    </row>
    <row r="83" spans="9:35" x14ac:dyDescent="0.15">
      <c r="I83" s="3">
        <v>79</v>
      </c>
      <c r="J83" s="3" t="str">
        <f t="shared" si="14"/>
        <v/>
      </c>
      <c r="K83" s="3" t="str">
        <f t="shared" si="15"/>
        <v/>
      </c>
      <c r="L83" s="3" t="str">
        <f t="shared" si="16"/>
        <v/>
      </c>
      <c r="M83" s="3">
        <f t="shared" si="17"/>
        <v>1620</v>
      </c>
      <c r="N83" s="3">
        <f t="shared" si="18"/>
        <v>2025</v>
      </c>
      <c r="AG83" s="3">
        <v>79</v>
      </c>
      <c r="AH83" s="3">
        <f t="shared" si="19"/>
        <v>43200</v>
      </c>
      <c r="AI83" s="3">
        <f t="shared" si="20"/>
        <v>50400</v>
      </c>
    </row>
    <row r="84" spans="9:35" x14ac:dyDescent="0.15">
      <c r="I84" s="3">
        <v>80</v>
      </c>
      <c r="J84" s="3" t="str">
        <f t="shared" si="14"/>
        <v/>
      </c>
      <c r="K84" s="3" t="str">
        <f t="shared" si="15"/>
        <v/>
      </c>
      <c r="L84" s="3" t="str">
        <f t="shared" si="16"/>
        <v/>
      </c>
      <c r="M84" s="3">
        <f t="shared" si="17"/>
        <v>1640</v>
      </c>
      <c r="N84" s="3">
        <f t="shared" si="18"/>
        <v>2050</v>
      </c>
      <c r="AG84" s="3">
        <v>80</v>
      </c>
      <c r="AH84" s="3">
        <f t="shared" si="19"/>
        <v>45000</v>
      </c>
      <c r="AI84" s="3">
        <f t="shared" si="20"/>
        <v>50400</v>
      </c>
    </row>
    <row r="85" spans="9:35" x14ac:dyDescent="0.15">
      <c r="I85" s="3">
        <v>81</v>
      </c>
      <c r="J85" s="3" t="str">
        <f t="shared" si="14"/>
        <v/>
      </c>
      <c r="K85" s="3" t="str">
        <f t="shared" si="15"/>
        <v/>
      </c>
      <c r="L85" s="3" t="str">
        <f t="shared" si="16"/>
        <v/>
      </c>
      <c r="M85" s="3" t="str">
        <f t="shared" si="17"/>
        <v/>
      </c>
      <c r="N85" s="3">
        <f t="shared" si="18"/>
        <v>2075</v>
      </c>
      <c r="AG85" s="3">
        <v>81</v>
      </c>
      <c r="AH85" s="3">
        <f t="shared" si="19"/>
        <v>46800</v>
      </c>
      <c r="AI85" s="3">
        <f t="shared" si="20"/>
        <v>50400</v>
      </c>
    </row>
    <row r="86" spans="9:35" x14ac:dyDescent="0.15">
      <c r="I86" s="3">
        <v>82</v>
      </c>
      <c r="J86" s="3" t="str">
        <f t="shared" si="14"/>
        <v/>
      </c>
      <c r="K86" s="3" t="str">
        <f t="shared" si="15"/>
        <v/>
      </c>
      <c r="L86" s="3" t="str">
        <f t="shared" si="16"/>
        <v/>
      </c>
      <c r="M86" s="3" t="str">
        <f t="shared" si="17"/>
        <v/>
      </c>
      <c r="N86" s="3">
        <f t="shared" si="18"/>
        <v>2100</v>
      </c>
      <c r="AG86" s="3">
        <v>82</v>
      </c>
      <c r="AH86" s="3">
        <f t="shared" si="19"/>
        <v>48600</v>
      </c>
      <c r="AI86" s="3">
        <f t="shared" si="20"/>
        <v>50400</v>
      </c>
    </row>
    <row r="87" spans="9:35" x14ac:dyDescent="0.15">
      <c r="I87" s="3">
        <v>83</v>
      </c>
      <c r="J87" s="3" t="str">
        <f t="shared" si="14"/>
        <v/>
      </c>
      <c r="K87" s="3" t="str">
        <f t="shared" si="15"/>
        <v/>
      </c>
      <c r="L87" s="3" t="str">
        <f t="shared" si="16"/>
        <v/>
      </c>
      <c r="M87" s="3" t="str">
        <f t="shared" si="17"/>
        <v/>
      </c>
      <c r="N87" s="3">
        <f t="shared" si="18"/>
        <v>2125</v>
      </c>
      <c r="AG87" s="3">
        <v>83</v>
      </c>
      <c r="AH87" s="3">
        <f t="shared" si="19"/>
        <v>50400</v>
      </c>
      <c r="AI87" s="3">
        <f t="shared" si="20"/>
        <v>50400</v>
      </c>
    </row>
    <row r="88" spans="9:35" x14ac:dyDescent="0.15">
      <c r="I88" s="3">
        <v>84</v>
      </c>
      <c r="J88" s="3" t="str">
        <f t="shared" si="14"/>
        <v/>
      </c>
      <c r="K88" s="3" t="str">
        <f t="shared" si="15"/>
        <v/>
      </c>
      <c r="L88" s="3" t="str">
        <f t="shared" si="16"/>
        <v/>
      </c>
      <c r="M88" s="3" t="str">
        <f t="shared" si="17"/>
        <v/>
      </c>
      <c r="N88" s="3">
        <f t="shared" si="18"/>
        <v>2150</v>
      </c>
      <c r="AG88" s="3">
        <v>84</v>
      </c>
      <c r="AH88" s="3">
        <f t="shared" si="19"/>
        <v>50400</v>
      </c>
      <c r="AI88" s="3">
        <f t="shared" si="20"/>
        <v>50400</v>
      </c>
    </row>
    <row r="89" spans="9:35" x14ac:dyDescent="0.15">
      <c r="I89" s="3">
        <v>85</v>
      </c>
      <c r="J89" s="3" t="str">
        <f t="shared" si="14"/>
        <v/>
      </c>
      <c r="K89" s="3" t="str">
        <f t="shared" si="15"/>
        <v/>
      </c>
      <c r="L89" s="3" t="str">
        <f t="shared" si="16"/>
        <v/>
      </c>
      <c r="M89" s="3" t="str">
        <f t="shared" si="17"/>
        <v/>
      </c>
      <c r="N89" s="3">
        <f t="shared" si="18"/>
        <v>2175</v>
      </c>
      <c r="AG89" s="3">
        <v>85</v>
      </c>
      <c r="AH89" s="3">
        <f t="shared" si="19"/>
        <v>50400</v>
      </c>
      <c r="AI89" s="3">
        <f t="shared" si="20"/>
        <v>50400</v>
      </c>
    </row>
    <row r="90" spans="9:35" x14ac:dyDescent="0.15">
      <c r="I90" s="3">
        <v>86</v>
      </c>
      <c r="J90" s="3" t="str">
        <f t="shared" si="14"/>
        <v/>
      </c>
      <c r="K90" s="3" t="str">
        <f t="shared" si="15"/>
        <v/>
      </c>
      <c r="L90" s="3" t="str">
        <f t="shared" si="16"/>
        <v/>
      </c>
      <c r="M90" s="3" t="str">
        <f t="shared" si="17"/>
        <v/>
      </c>
      <c r="N90" s="3">
        <f t="shared" si="18"/>
        <v>2200</v>
      </c>
      <c r="AG90" s="3">
        <v>86</v>
      </c>
      <c r="AH90" s="3">
        <f t="shared" si="19"/>
        <v>50400</v>
      </c>
      <c r="AI90" s="3">
        <f t="shared" si="20"/>
        <v>50400</v>
      </c>
    </row>
    <row r="91" spans="9:35" x14ac:dyDescent="0.15">
      <c r="I91" s="3">
        <v>87</v>
      </c>
      <c r="J91" s="3" t="str">
        <f t="shared" si="14"/>
        <v/>
      </c>
      <c r="K91" s="3" t="str">
        <f t="shared" si="15"/>
        <v/>
      </c>
      <c r="L91" s="3" t="str">
        <f t="shared" si="16"/>
        <v/>
      </c>
      <c r="M91" s="3" t="str">
        <f t="shared" si="17"/>
        <v/>
      </c>
      <c r="N91" s="3">
        <f t="shared" si="18"/>
        <v>2225</v>
      </c>
      <c r="AG91" s="3">
        <v>87</v>
      </c>
      <c r="AH91" s="3">
        <f t="shared" si="19"/>
        <v>50400</v>
      </c>
      <c r="AI91" s="3">
        <f t="shared" si="20"/>
        <v>50400</v>
      </c>
    </row>
    <row r="92" spans="9:35" x14ac:dyDescent="0.15">
      <c r="I92" s="3">
        <v>88</v>
      </c>
      <c r="J92" s="3" t="str">
        <f t="shared" si="14"/>
        <v/>
      </c>
      <c r="K92" s="3" t="str">
        <f t="shared" si="15"/>
        <v/>
      </c>
      <c r="L92" s="3" t="str">
        <f t="shared" si="16"/>
        <v/>
      </c>
      <c r="M92" s="3" t="str">
        <f t="shared" si="17"/>
        <v/>
      </c>
      <c r="N92" s="3">
        <f t="shared" si="18"/>
        <v>2250</v>
      </c>
      <c r="AG92" s="3">
        <v>88</v>
      </c>
      <c r="AH92" s="3">
        <f t="shared" si="19"/>
        <v>50400</v>
      </c>
      <c r="AI92" s="3">
        <f t="shared" si="20"/>
        <v>50400</v>
      </c>
    </row>
    <row r="93" spans="9:35" x14ac:dyDescent="0.15">
      <c r="I93" s="3">
        <v>89</v>
      </c>
      <c r="J93" s="3" t="str">
        <f t="shared" si="14"/>
        <v/>
      </c>
      <c r="K93" s="3" t="str">
        <f t="shared" si="15"/>
        <v/>
      </c>
      <c r="L93" s="3" t="str">
        <f t="shared" si="16"/>
        <v/>
      </c>
      <c r="M93" s="3" t="str">
        <f t="shared" si="17"/>
        <v/>
      </c>
      <c r="N93" s="3">
        <f t="shared" si="18"/>
        <v>2275</v>
      </c>
      <c r="AG93" s="3">
        <v>89</v>
      </c>
      <c r="AH93" s="3">
        <f t="shared" si="19"/>
        <v>50400</v>
      </c>
      <c r="AI93" s="3">
        <f t="shared" si="20"/>
        <v>50400</v>
      </c>
    </row>
    <row r="94" spans="9:35" x14ac:dyDescent="0.15">
      <c r="I94" s="3">
        <v>90</v>
      </c>
      <c r="J94" s="3" t="str">
        <f t="shared" si="14"/>
        <v/>
      </c>
      <c r="K94" s="3" t="str">
        <f t="shared" si="15"/>
        <v/>
      </c>
      <c r="L94" s="3" t="str">
        <f t="shared" si="16"/>
        <v/>
      </c>
      <c r="M94" s="3" t="str">
        <f t="shared" si="17"/>
        <v/>
      </c>
      <c r="N94" s="3">
        <f t="shared" si="18"/>
        <v>2300</v>
      </c>
      <c r="AG94" s="3">
        <v>90</v>
      </c>
      <c r="AH94" s="3">
        <f t="shared" si="19"/>
        <v>50400</v>
      </c>
      <c r="AI94" s="3">
        <f t="shared" si="20"/>
        <v>50400</v>
      </c>
    </row>
    <row r="95" spans="9:35" x14ac:dyDescent="0.15">
      <c r="I95" s="3">
        <v>91</v>
      </c>
      <c r="J95" s="3" t="str">
        <f t="shared" si="14"/>
        <v/>
      </c>
      <c r="K95" s="3" t="str">
        <f t="shared" si="15"/>
        <v/>
      </c>
      <c r="L95" s="3" t="str">
        <f t="shared" si="16"/>
        <v/>
      </c>
      <c r="M95" s="3" t="str">
        <f t="shared" si="17"/>
        <v/>
      </c>
      <c r="N95" s="3">
        <f t="shared" si="18"/>
        <v>2325</v>
      </c>
      <c r="AG95" s="3">
        <v>91</v>
      </c>
      <c r="AH95" s="3">
        <f t="shared" si="19"/>
        <v>50400</v>
      </c>
      <c r="AI95" s="3">
        <f t="shared" si="20"/>
        <v>50400</v>
      </c>
    </row>
    <row r="96" spans="9:35" x14ac:dyDescent="0.15">
      <c r="I96" s="3">
        <v>92</v>
      </c>
      <c r="J96" s="3" t="str">
        <f t="shared" si="14"/>
        <v/>
      </c>
      <c r="K96" s="3" t="str">
        <f t="shared" si="15"/>
        <v/>
      </c>
      <c r="L96" s="3" t="str">
        <f t="shared" si="16"/>
        <v/>
      </c>
      <c r="M96" s="3" t="str">
        <f t="shared" si="17"/>
        <v/>
      </c>
      <c r="N96" s="3">
        <f t="shared" si="18"/>
        <v>2350</v>
      </c>
      <c r="AG96" s="3">
        <v>92</v>
      </c>
      <c r="AH96" s="3">
        <f t="shared" si="19"/>
        <v>50400</v>
      </c>
      <c r="AI96" s="3">
        <f t="shared" si="20"/>
        <v>50400</v>
      </c>
    </row>
    <row r="97" spans="9:35" x14ac:dyDescent="0.15">
      <c r="I97" s="3">
        <v>93</v>
      </c>
      <c r="J97" s="3" t="str">
        <f t="shared" si="14"/>
        <v/>
      </c>
      <c r="K97" s="3" t="str">
        <f t="shared" si="15"/>
        <v/>
      </c>
      <c r="L97" s="3" t="str">
        <f t="shared" si="16"/>
        <v/>
      </c>
      <c r="M97" s="3" t="str">
        <f t="shared" si="17"/>
        <v/>
      </c>
      <c r="N97" s="3">
        <f t="shared" si="18"/>
        <v>2375</v>
      </c>
      <c r="AG97" s="3">
        <v>93</v>
      </c>
      <c r="AH97" s="3">
        <f t="shared" si="19"/>
        <v>50400</v>
      </c>
      <c r="AI97" s="3">
        <f t="shared" si="20"/>
        <v>50400</v>
      </c>
    </row>
    <row r="98" spans="9:35" x14ac:dyDescent="0.15">
      <c r="I98" s="3">
        <v>94</v>
      </c>
      <c r="J98" s="3" t="str">
        <f t="shared" si="14"/>
        <v/>
      </c>
      <c r="K98" s="3" t="str">
        <f t="shared" si="15"/>
        <v/>
      </c>
      <c r="L98" s="3" t="str">
        <f t="shared" si="16"/>
        <v/>
      </c>
      <c r="M98" s="3" t="str">
        <f t="shared" si="17"/>
        <v/>
      </c>
      <c r="N98" s="3">
        <f t="shared" si="18"/>
        <v>2400</v>
      </c>
      <c r="AG98" s="3">
        <v>94</v>
      </c>
      <c r="AH98" s="3">
        <f t="shared" si="19"/>
        <v>50400</v>
      </c>
      <c r="AI98" s="3">
        <f t="shared" si="20"/>
        <v>50400</v>
      </c>
    </row>
    <row r="99" spans="9:35" x14ac:dyDescent="0.15">
      <c r="I99" s="3">
        <v>95</v>
      </c>
      <c r="J99" s="3" t="str">
        <f t="shared" si="14"/>
        <v/>
      </c>
      <c r="K99" s="3" t="str">
        <f t="shared" si="15"/>
        <v/>
      </c>
      <c r="L99" s="3" t="str">
        <f t="shared" si="16"/>
        <v/>
      </c>
      <c r="M99" s="3" t="str">
        <f t="shared" si="17"/>
        <v/>
      </c>
      <c r="N99" s="3">
        <f t="shared" si="18"/>
        <v>2425</v>
      </c>
      <c r="AG99" s="3">
        <v>95</v>
      </c>
      <c r="AH99" s="3">
        <f t="shared" si="19"/>
        <v>50400</v>
      </c>
      <c r="AI99" s="3">
        <f t="shared" si="20"/>
        <v>50400</v>
      </c>
    </row>
    <row r="100" spans="9:35" x14ac:dyDescent="0.15">
      <c r="I100" s="3">
        <v>96</v>
      </c>
      <c r="J100" s="3" t="str">
        <f t="shared" si="14"/>
        <v/>
      </c>
      <c r="K100" s="3" t="str">
        <f t="shared" si="15"/>
        <v/>
      </c>
      <c r="L100" s="3" t="str">
        <f t="shared" si="16"/>
        <v/>
      </c>
      <c r="M100" s="3" t="str">
        <f t="shared" si="17"/>
        <v/>
      </c>
      <c r="N100" s="3">
        <f t="shared" si="18"/>
        <v>2450</v>
      </c>
      <c r="AG100" s="3">
        <v>96</v>
      </c>
      <c r="AH100" s="3">
        <f t="shared" si="19"/>
        <v>50400</v>
      </c>
      <c r="AI100" s="3">
        <f t="shared" si="20"/>
        <v>50400</v>
      </c>
    </row>
    <row r="101" spans="9:35" x14ac:dyDescent="0.15">
      <c r="I101" s="3">
        <v>97</v>
      </c>
      <c r="J101" s="3" t="str">
        <f t="shared" ref="J101:J114" si="21">IF($I101&lt;=C$27,C$28+C$29*$I101,"")</f>
        <v/>
      </c>
      <c r="K101" s="3" t="str">
        <f t="shared" ref="K101:K114" si="22">IF($I101&lt;=D$27,D$28+D$29*$I101,"")</f>
        <v/>
      </c>
      <c r="L101" s="3" t="str">
        <f t="shared" ref="L101:L114" si="23">IF($I101&lt;=E$27,E$28+E$29*$I101,"")</f>
        <v/>
      </c>
      <c r="M101" s="3" t="str">
        <f t="shared" ref="M101:M114" si="24">IF($I101&lt;=F$27,F$28+F$29*$I101,"")</f>
        <v/>
      </c>
      <c r="N101" s="3">
        <f t="shared" ref="N101:N114" si="25">IF($I101&lt;=G$27,G$28+G$29*$I101,"")</f>
        <v>2475</v>
      </c>
      <c r="AG101" s="3">
        <v>97</v>
      </c>
      <c r="AH101" s="3">
        <f t="shared" si="19"/>
        <v>50400</v>
      </c>
      <c r="AI101" s="3">
        <f t="shared" si="20"/>
        <v>50400</v>
      </c>
    </row>
    <row r="102" spans="9:35" x14ac:dyDescent="0.15">
      <c r="I102" s="3">
        <v>98</v>
      </c>
      <c r="J102" s="3" t="str">
        <f t="shared" si="21"/>
        <v/>
      </c>
      <c r="K102" s="3" t="str">
        <f t="shared" si="22"/>
        <v/>
      </c>
      <c r="L102" s="3" t="str">
        <f t="shared" si="23"/>
        <v/>
      </c>
      <c r="M102" s="3" t="str">
        <f t="shared" si="24"/>
        <v/>
      </c>
      <c r="N102" s="3">
        <f t="shared" si="25"/>
        <v>2500</v>
      </c>
      <c r="AG102" s="3">
        <v>98</v>
      </c>
      <c r="AH102" s="3">
        <f t="shared" si="19"/>
        <v>50400</v>
      </c>
      <c r="AI102" s="3">
        <f t="shared" si="20"/>
        <v>50400</v>
      </c>
    </row>
    <row r="103" spans="9:35" x14ac:dyDescent="0.15">
      <c r="I103" s="3">
        <v>99</v>
      </c>
      <c r="J103" s="3" t="str">
        <f t="shared" si="21"/>
        <v/>
      </c>
      <c r="K103" s="3" t="str">
        <f t="shared" si="22"/>
        <v/>
      </c>
      <c r="L103" s="3" t="str">
        <f t="shared" si="23"/>
        <v/>
      </c>
      <c r="M103" s="3" t="str">
        <f t="shared" si="24"/>
        <v/>
      </c>
      <c r="N103" s="3">
        <f t="shared" si="25"/>
        <v>2525</v>
      </c>
      <c r="AG103" s="3">
        <v>99</v>
      </c>
      <c r="AH103" s="3">
        <f t="shared" si="19"/>
        <v>50400</v>
      </c>
      <c r="AI103" s="3">
        <f t="shared" si="20"/>
        <v>50400</v>
      </c>
    </row>
    <row r="104" spans="9:35" x14ac:dyDescent="0.15">
      <c r="I104" s="3">
        <v>100</v>
      </c>
      <c r="J104" s="3" t="str">
        <f t="shared" si="21"/>
        <v/>
      </c>
      <c r="K104" s="3" t="str">
        <f t="shared" si="22"/>
        <v/>
      </c>
      <c r="L104" s="3" t="str">
        <f t="shared" si="23"/>
        <v/>
      </c>
      <c r="M104" s="3" t="str">
        <f t="shared" si="24"/>
        <v/>
      </c>
      <c r="N104" s="3">
        <f t="shared" si="25"/>
        <v>2550</v>
      </c>
      <c r="AG104" s="3">
        <v>100</v>
      </c>
      <c r="AH104" s="3">
        <f t="shared" si="19"/>
        <v>50400</v>
      </c>
      <c r="AI104" s="3">
        <f t="shared" si="20"/>
        <v>50400</v>
      </c>
    </row>
    <row r="105" spans="9:35" x14ac:dyDescent="0.15">
      <c r="I105" s="3">
        <v>101</v>
      </c>
      <c r="J105" s="3" t="str">
        <f t="shared" si="21"/>
        <v/>
      </c>
      <c r="K105" s="3" t="str">
        <f t="shared" si="22"/>
        <v/>
      </c>
      <c r="L105" s="3" t="str">
        <f t="shared" si="23"/>
        <v/>
      </c>
      <c r="M105" s="3" t="str">
        <f t="shared" si="24"/>
        <v/>
      </c>
      <c r="N105" s="3">
        <f t="shared" si="25"/>
        <v>2575</v>
      </c>
      <c r="AG105" s="3">
        <v>101</v>
      </c>
      <c r="AH105" s="3">
        <f t="shared" si="19"/>
        <v>50400</v>
      </c>
      <c r="AI105" s="3">
        <f t="shared" si="20"/>
        <v>50400</v>
      </c>
    </row>
    <row r="106" spans="9:35" x14ac:dyDescent="0.15">
      <c r="I106" s="3">
        <v>102</v>
      </c>
      <c r="J106" s="3" t="str">
        <f t="shared" si="21"/>
        <v/>
      </c>
      <c r="K106" s="3" t="str">
        <f t="shared" si="22"/>
        <v/>
      </c>
      <c r="L106" s="3" t="str">
        <f t="shared" si="23"/>
        <v/>
      </c>
      <c r="M106" s="3" t="str">
        <f t="shared" si="24"/>
        <v/>
      </c>
      <c r="N106" s="3">
        <f t="shared" si="25"/>
        <v>2600</v>
      </c>
      <c r="AG106" s="3">
        <v>102</v>
      </c>
      <c r="AH106" s="3">
        <f t="shared" si="19"/>
        <v>50400</v>
      </c>
      <c r="AI106" s="3">
        <f t="shared" si="20"/>
        <v>50400</v>
      </c>
    </row>
    <row r="107" spans="9:35" x14ac:dyDescent="0.15">
      <c r="I107" s="3">
        <v>103</v>
      </c>
      <c r="J107" s="3" t="str">
        <f t="shared" si="21"/>
        <v/>
      </c>
      <c r="K107" s="3" t="str">
        <f t="shared" si="22"/>
        <v/>
      </c>
      <c r="L107" s="3" t="str">
        <f t="shared" si="23"/>
        <v/>
      </c>
      <c r="M107" s="3" t="str">
        <f t="shared" si="24"/>
        <v/>
      </c>
      <c r="N107" s="3">
        <f t="shared" si="25"/>
        <v>2625</v>
      </c>
      <c r="AG107" s="3">
        <v>103</v>
      </c>
      <c r="AH107" s="3">
        <f t="shared" si="19"/>
        <v>50400</v>
      </c>
      <c r="AI107" s="3">
        <f t="shared" si="20"/>
        <v>50400</v>
      </c>
    </row>
    <row r="108" spans="9:35" x14ac:dyDescent="0.15">
      <c r="I108" s="3">
        <v>104</v>
      </c>
      <c r="J108" s="3" t="str">
        <f t="shared" si="21"/>
        <v/>
      </c>
      <c r="K108" s="3" t="str">
        <f t="shared" si="22"/>
        <v/>
      </c>
      <c r="L108" s="3" t="str">
        <f t="shared" si="23"/>
        <v/>
      </c>
      <c r="M108" s="3" t="str">
        <f t="shared" si="24"/>
        <v/>
      </c>
      <c r="N108" s="3">
        <f t="shared" si="25"/>
        <v>2650</v>
      </c>
      <c r="AG108" s="3">
        <v>104</v>
      </c>
      <c r="AH108" s="3">
        <f t="shared" si="19"/>
        <v>50400</v>
      </c>
      <c r="AI108" s="3">
        <f t="shared" si="20"/>
        <v>50400</v>
      </c>
    </row>
    <row r="109" spans="9:35" x14ac:dyDescent="0.15">
      <c r="I109" s="3">
        <v>105</v>
      </c>
      <c r="J109" s="3" t="str">
        <f t="shared" si="21"/>
        <v/>
      </c>
      <c r="K109" s="3" t="str">
        <f t="shared" si="22"/>
        <v/>
      </c>
      <c r="L109" s="3" t="str">
        <f t="shared" si="23"/>
        <v/>
      </c>
      <c r="M109" s="3" t="str">
        <f t="shared" si="24"/>
        <v/>
      </c>
      <c r="N109" s="3">
        <f t="shared" si="25"/>
        <v>2675</v>
      </c>
      <c r="AG109" s="3">
        <v>105</v>
      </c>
      <c r="AH109" s="3">
        <f t="shared" si="19"/>
        <v>50400</v>
      </c>
      <c r="AI109" s="3">
        <f t="shared" si="20"/>
        <v>50400</v>
      </c>
    </row>
    <row r="110" spans="9:35" x14ac:dyDescent="0.15">
      <c r="I110" s="3">
        <v>106</v>
      </c>
      <c r="J110" s="3" t="str">
        <f t="shared" si="21"/>
        <v/>
      </c>
      <c r="K110" s="3" t="str">
        <f t="shared" si="22"/>
        <v/>
      </c>
      <c r="L110" s="3" t="str">
        <f t="shared" si="23"/>
        <v/>
      </c>
      <c r="M110" s="3" t="str">
        <f t="shared" si="24"/>
        <v/>
      </c>
      <c r="N110" s="3">
        <f t="shared" si="25"/>
        <v>2700</v>
      </c>
      <c r="AG110" s="3">
        <v>106</v>
      </c>
      <c r="AH110" s="3">
        <f t="shared" si="19"/>
        <v>50400</v>
      </c>
      <c r="AI110" s="3">
        <f t="shared" si="20"/>
        <v>50400</v>
      </c>
    </row>
    <row r="111" spans="9:35" x14ac:dyDescent="0.15">
      <c r="I111" s="3">
        <v>107</v>
      </c>
      <c r="J111" s="3" t="str">
        <f t="shared" si="21"/>
        <v/>
      </c>
      <c r="K111" s="3" t="str">
        <f t="shared" si="22"/>
        <v/>
      </c>
      <c r="L111" s="3" t="str">
        <f t="shared" si="23"/>
        <v/>
      </c>
      <c r="M111" s="3" t="str">
        <f t="shared" si="24"/>
        <v/>
      </c>
      <c r="N111" s="3">
        <f t="shared" si="25"/>
        <v>2725</v>
      </c>
      <c r="AG111" s="3">
        <v>107</v>
      </c>
      <c r="AH111" s="3">
        <f t="shared" si="19"/>
        <v>50400</v>
      </c>
      <c r="AI111" s="3">
        <f t="shared" si="20"/>
        <v>50400</v>
      </c>
    </row>
    <row r="112" spans="9:35" x14ac:dyDescent="0.15">
      <c r="I112" s="3">
        <v>108</v>
      </c>
      <c r="J112" s="3" t="str">
        <f t="shared" si="21"/>
        <v/>
      </c>
      <c r="K112" s="3" t="str">
        <f t="shared" si="22"/>
        <v/>
      </c>
      <c r="L112" s="3" t="str">
        <f t="shared" si="23"/>
        <v/>
      </c>
      <c r="M112" s="3" t="str">
        <f t="shared" si="24"/>
        <v/>
      </c>
      <c r="N112" s="3">
        <f t="shared" si="25"/>
        <v>2750</v>
      </c>
      <c r="AG112" s="3">
        <v>108</v>
      </c>
      <c r="AH112" s="3">
        <f t="shared" si="19"/>
        <v>50400</v>
      </c>
      <c r="AI112" s="3">
        <f t="shared" si="20"/>
        <v>50400</v>
      </c>
    </row>
    <row r="113" spans="9:35" x14ac:dyDescent="0.15">
      <c r="I113" s="3">
        <v>109</v>
      </c>
      <c r="J113" s="3" t="str">
        <f t="shared" si="21"/>
        <v/>
      </c>
      <c r="K113" s="3" t="str">
        <f t="shared" si="22"/>
        <v/>
      </c>
      <c r="L113" s="3" t="str">
        <f t="shared" si="23"/>
        <v/>
      </c>
      <c r="M113" s="3" t="str">
        <f t="shared" si="24"/>
        <v/>
      </c>
      <c r="N113" s="3">
        <f t="shared" si="25"/>
        <v>2775</v>
      </c>
      <c r="AG113" s="3">
        <v>109</v>
      </c>
      <c r="AH113" s="3">
        <f t="shared" si="19"/>
        <v>50400</v>
      </c>
      <c r="AI113" s="3">
        <f t="shared" si="20"/>
        <v>50400</v>
      </c>
    </row>
    <row r="114" spans="9:35" x14ac:dyDescent="0.15">
      <c r="I114" s="3">
        <v>110</v>
      </c>
      <c r="J114" s="3" t="str">
        <f t="shared" si="21"/>
        <v/>
      </c>
      <c r="K114" s="3" t="str">
        <f t="shared" si="22"/>
        <v/>
      </c>
      <c r="L114" s="3" t="str">
        <f t="shared" si="23"/>
        <v/>
      </c>
      <c r="M114" s="3" t="str">
        <f t="shared" si="24"/>
        <v/>
      </c>
      <c r="N114" s="3">
        <f t="shared" si="25"/>
        <v>2800</v>
      </c>
      <c r="AG114" s="3">
        <v>110</v>
      </c>
      <c r="AH114" s="3">
        <f t="shared" si="19"/>
        <v>50400</v>
      </c>
      <c r="AI114" s="3">
        <f t="shared" si="20"/>
        <v>50400</v>
      </c>
    </row>
  </sheetData>
  <mergeCells count="3">
    <mergeCell ref="J3:N3"/>
    <mergeCell ref="V4:Y4"/>
    <mergeCell ref="Z4:AC4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C2:AE89"/>
  <sheetViews>
    <sheetView workbookViewId="0">
      <selection activeCell="G26" sqref="G26"/>
    </sheetView>
  </sheetViews>
  <sheetFormatPr defaultColWidth="6.625" defaultRowHeight="11.25" x14ac:dyDescent="0.15"/>
  <cols>
    <col min="1" max="2" width="6.625" style="14"/>
    <col min="3" max="3" width="6" style="14" bestFit="1" customWidth="1"/>
    <col min="4" max="4" width="14.75" style="14" bestFit="1" customWidth="1"/>
    <col min="5" max="6" width="18.875" style="14" bestFit="1" customWidth="1"/>
    <col min="7" max="7" width="15.5" style="14" bestFit="1" customWidth="1"/>
    <col min="8" max="9" width="13.875" style="14" bestFit="1" customWidth="1"/>
    <col min="10" max="10" width="14.75" style="14" bestFit="1" customWidth="1"/>
    <col min="11" max="11" width="9" style="14" bestFit="1" customWidth="1"/>
    <col min="12" max="12" width="7.5" style="14" bestFit="1" customWidth="1"/>
    <col min="13" max="13" width="9" style="14" bestFit="1" customWidth="1"/>
    <col min="14" max="14" width="4.5" style="14" bestFit="1" customWidth="1"/>
    <col min="15" max="16" width="7.5" style="14" bestFit="1" customWidth="1"/>
    <col min="17" max="17" width="10.5" style="14" bestFit="1" customWidth="1"/>
    <col min="18" max="16384" width="6.625" style="14"/>
  </cols>
  <sheetData>
    <row r="2" spans="3:31" x14ac:dyDescent="0.15">
      <c r="C2" s="18" t="s">
        <v>323</v>
      </c>
      <c r="D2" s="16" t="s">
        <v>324</v>
      </c>
      <c r="E2" s="36" t="s">
        <v>330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</row>
    <row r="3" spans="3:31" x14ac:dyDescent="0.15">
      <c r="C3" s="36" t="s">
        <v>317</v>
      </c>
      <c r="D3" s="16" t="s">
        <v>321</v>
      </c>
      <c r="E3" s="18" t="s">
        <v>329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R3" s="37" t="s">
        <v>743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</row>
    <row r="4" spans="3:31" x14ac:dyDescent="0.15">
      <c r="C4" s="36"/>
      <c r="D4" s="16" t="s">
        <v>322</v>
      </c>
      <c r="E4" s="18" t="s">
        <v>331</v>
      </c>
      <c r="F4" s="18" t="s">
        <v>332</v>
      </c>
      <c r="G4" s="18"/>
      <c r="H4" s="18"/>
      <c r="I4" s="18"/>
      <c r="J4" s="18"/>
      <c r="K4" s="18"/>
      <c r="L4" s="18"/>
      <c r="M4" s="18"/>
      <c r="N4" s="18"/>
      <c r="O4" s="18"/>
      <c r="P4" s="18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</row>
    <row r="5" spans="3:31" x14ac:dyDescent="0.15"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</row>
    <row r="6" spans="3:31" x14ac:dyDescent="0.15">
      <c r="C6" s="18" t="s">
        <v>318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</row>
    <row r="7" spans="3:31" x14ac:dyDescent="0.15"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</row>
    <row r="8" spans="3:31" x14ac:dyDescent="0.15">
      <c r="C8" s="38" t="s">
        <v>319</v>
      </c>
      <c r="D8" s="16" t="s">
        <v>354</v>
      </c>
      <c r="E8" s="17" t="s">
        <v>333</v>
      </c>
      <c r="F8" s="18" t="s">
        <v>119</v>
      </c>
      <c r="G8" s="18" t="s">
        <v>120</v>
      </c>
      <c r="H8" s="22" t="s">
        <v>745</v>
      </c>
      <c r="I8" s="18"/>
      <c r="J8" s="18"/>
      <c r="K8" s="18"/>
      <c r="L8" s="18"/>
      <c r="M8" s="18"/>
      <c r="N8" s="18"/>
      <c r="O8" s="18"/>
      <c r="P8" s="18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3:31" x14ac:dyDescent="0.15">
      <c r="C9" s="39"/>
      <c r="D9" s="16" t="s">
        <v>365</v>
      </c>
      <c r="E9" s="17" t="s">
        <v>744</v>
      </c>
      <c r="F9" s="18" t="s">
        <v>728</v>
      </c>
      <c r="G9" s="18" t="s">
        <v>750</v>
      </c>
      <c r="H9" s="18"/>
      <c r="I9" s="18"/>
      <c r="J9" s="18"/>
      <c r="K9" s="18"/>
      <c r="L9" s="18"/>
      <c r="M9" s="18"/>
      <c r="N9" s="18"/>
      <c r="O9" s="18"/>
      <c r="P9" s="18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3:31" x14ac:dyDescent="0.15">
      <c r="C10" s="39"/>
      <c r="D10" s="16" t="s">
        <v>749</v>
      </c>
      <c r="E10" s="17" t="s">
        <v>117</v>
      </c>
      <c r="F10" s="25" t="s">
        <v>729</v>
      </c>
      <c r="G10" s="18" t="s">
        <v>750</v>
      </c>
      <c r="H10" s="18"/>
      <c r="I10" s="18"/>
      <c r="J10" s="18"/>
      <c r="K10" s="18"/>
      <c r="L10" s="18"/>
      <c r="M10" s="18"/>
      <c r="N10" s="18"/>
      <c r="O10" s="18"/>
      <c r="P10" s="18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3:31" x14ac:dyDescent="0.15">
      <c r="C11" s="40"/>
      <c r="D11" s="16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3:31" x14ac:dyDescent="0.15"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3:31" x14ac:dyDescent="0.15">
      <c r="C13" s="38" t="s">
        <v>320</v>
      </c>
      <c r="D13" s="16" t="s">
        <v>327</v>
      </c>
      <c r="E13" s="17" t="s">
        <v>335</v>
      </c>
      <c r="F13" s="22" t="s">
        <v>746</v>
      </c>
      <c r="G13" s="18"/>
      <c r="H13" s="18"/>
      <c r="I13" s="18"/>
      <c r="J13" s="18"/>
      <c r="K13" s="18"/>
      <c r="L13" s="18"/>
      <c r="M13" s="18"/>
      <c r="N13" s="18"/>
      <c r="O13" s="18"/>
      <c r="P13" s="18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3:31" x14ac:dyDescent="0.15">
      <c r="C14" s="39"/>
      <c r="D14" s="16" t="s">
        <v>325</v>
      </c>
      <c r="E14" s="18" t="s">
        <v>358</v>
      </c>
      <c r="F14" s="18" t="s">
        <v>337</v>
      </c>
      <c r="G14" s="18" t="s">
        <v>356</v>
      </c>
      <c r="H14" s="18" t="s">
        <v>344</v>
      </c>
      <c r="I14" s="18" t="s">
        <v>117</v>
      </c>
      <c r="J14" s="21"/>
      <c r="K14" s="18"/>
      <c r="L14" s="18"/>
      <c r="M14" s="18"/>
      <c r="N14" s="18"/>
      <c r="O14" s="18"/>
      <c r="P14" s="18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3:31" x14ac:dyDescent="0.15">
      <c r="C15" s="39"/>
      <c r="D15" s="16" t="s">
        <v>326</v>
      </c>
      <c r="E15" s="18" t="s">
        <v>336</v>
      </c>
      <c r="F15" s="18" t="s">
        <v>316</v>
      </c>
      <c r="G15" s="18" t="s">
        <v>338</v>
      </c>
      <c r="H15" s="18" t="s">
        <v>339</v>
      </c>
      <c r="I15" s="18" t="s">
        <v>344</v>
      </c>
      <c r="J15" s="18" t="s">
        <v>117</v>
      </c>
      <c r="K15" s="18"/>
      <c r="L15" s="18"/>
      <c r="M15" s="18"/>
      <c r="N15" s="18"/>
      <c r="O15" s="18"/>
      <c r="P15" s="18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3:31" x14ac:dyDescent="0.15">
      <c r="C16" s="39"/>
      <c r="D16" s="16" t="s">
        <v>328</v>
      </c>
      <c r="E16" s="18" t="s">
        <v>314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3:31" x14ac:dyDescent="0.15">
      <c r="C17" s="39"/>
      <c r="D17" s="16" t="s">
        <v>315</v>
      </c>
      <c r="E17" s="18" t="s">
        <v>342</v>
      </c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3:31" x14ac:dyDescent="0.15">
      <c r="C18" s="39"/>
      <c r="D18" s="16" t="s">
        <v>343</v>
      </c>
      <c r="E18" s="18" t="s">
        <v>342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3:31" x14ac:dyDescent="0.15">
      <c r="C19" s="39"/>
      <c r="D19" s="16" t="s">
        <v>366</v>
      </c>
      <c r="E19" s="18" t="s">
        <v>334</v>
      </c>
      <c r="F19" s="18" t="s">
        <v>344</v>
      </c>
      <c r="G19" s="17" t="s">
        <v>355</v>
      </c>
      <c r="I19" s="18" t="s">
        <v>710</v>
      </c>
      <c r="J19" s="18"/>
      <c r="K19" s="18"/>
      <c r="L19" s="18"/>
      <c r="M19" s="18"/>
      <c r="N19" s="18"/>
      <c r="O19" s="18"/>
      <c r="P19" s="18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3:31" x14ac:dyDescent="0.15">
      <c r="C20" s="39"/>
      <c r="D20" s="16" t="s">
        <v>726</v>
      </c>
      <c r="E20" s="17" t="s">
        <v>363</v>
      </c>
      <c r="F20" s="17"/>
      <c r="G20" s="18" t="s">
        <v>117</v>
      </c>
      <c r="H20" s="17" t="s">
        <v>360</v>
      </c>
      <c r="I20" s="22" t="s">
        <v>746</v>
      </c>
      <c r="J20" s="18"/>
      <c r="K20" s="18"/>
      <c r="L20" s="18"/>
      <c r="M20" s="18"/>
      <c r="N20" s="18"/>
      <c r="O20" s="18"/>
      <c r="P20" s="18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3:31" x14ac:dyDescent="0.15">
      <c r="C21" s="40"/>
      <c r="D21" s="16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3:31" x14ac:dyDescent="0.15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3:31" x14ac:dyDescent="0.15">
      <c r="C23" s="36" t="s">
        <v>340</v>
      </c>
      <c r="D23" s="16" t="s">
        <v>350</v>
      </c>
      <c r="E23" s="18"/>
      <c r="F23" s="18"/>
      <c r="G23" s="18" t="s">
        <v>122</v>
      </c>
      <c r="H23" s="18"/>
      <c r="I23" s="18"/>
      <c r="J23" s="18"/>
      <c r="K23" s="18"/>
      <c r="L23" s="18"/>
      <c r="M23" s="18"/>
      <c r="N23" s="18"/>
      <c r="O23" s="18"/>
      <c r="P23" s="18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3:31" x14ac:dyDescent="0.15">
      <c r="C24" s="36"/>
      <c r="D24" s="16" t="s">
        <v>752</v>
      </c>
      <c r="E24" s="17" t="s">
        <v>362</v>
      </c>
      <c r="F24" s="18"/>
      <c r="G24" s="18"/>
      <c r="H24" s="18"/>
      <c r="I24" s="17"/>
      <c r="J24" s="18"/>
      <c r="K24" s="18"/>
      <c r="L24" s="18"/>
      <c r="M24" s="18"/>
      <c r="N24" s="18"/>
      <c r="O24" s="18"/>
      <c r="P24" s="18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3:31" x14ac:dyDescent="0.15">
      <c r="C25" s="36"/>
      <c r="D25" s="16" t="s">
        <v>121</v>
      </c>
      <c r="E25" s="18" t="s">
        <v>117</v>
      </c>
      <c r="F25" s="18" t="s">
        <v>335</v>
      </c>
      <c r="G25" s="18" t="s">
        <v>119</v>
      </c>
      <c r="H25" s="18" t="s">
        <v>751</v>
      </c>
      <c r="I25" s="25" t="s">
        <v>727</v>
      </c>
      <c r="J25" s="25" t="s">
        <v>729</v>
      </c>
      <c r="K25" s="25"/>
      <c r="L25" s="18"/>
      <c r="M25" s="18"/>
      <c r="N25" s="18"/>
      <c r="O25" s="18"/>
      <c r="P25" s="18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3:31" x14ac:dyDescent="0.15">
      <c r="C26" s="36"/>
      <c r="D26" s="16" t="s">
        <v>341</v>
      </c>
      <c r="E26" s="18" t="s">
        <v>124</v>
      </c>
      <c r="F26" s="18" t="s">
        <v>117</v>
      </c>
      <c r="G26" s="18" t="s">
        <v>120</v>
      </c>
      <c r="H26" s="18" t="s">
        <v>344</v>
      </c>
      <c r="I26" s="18"/>
      <c r="J26" s="18"/>
      <c r="K26" s="18"/>
      <c r="L26" s="18"/>
      <c r="M26" s="18"/>
      <c r="N26" s="18"/>
      <c r="O26" s="18"/>
      <c r="P26" s="18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3:31" x14ac:dyDescent="0.15">
      <c r="C27" s="36"/>
      <c r="D27" s="16" t="s">
        <v>347</v>
      </c>
      <c r="E27" s="18" t="s">
        <v>346</v>
      </c>
      <c r="F27" s="18" t="s">
        <v>348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3:31" x14ac:dyDescent="0.15">
      <c r="C28" s="36"/>
      <c r="D28" s="16" t="s">
        <v>748</v>
      </c>
      <c r="E28" s="24" t="s">
        <v>346</v>
      </c>
      <c r="F28" s="24" t="s">
        <v>727</v>
      </c>
      <c r="G28" s="24" t="s">
        <v>364</v>
      </c>
      <c r="H28" s="23"/>
      <c r="I28" s="23"/>
      <c r="J28" s="23"/>
      <c r="K28" s="23"/>
      <c r="L28" s="23"/>
      <c r="M28" s="23"/>
      <c r="N28" s="23"/>
      <c r="O28" s="23"/>
      <c r="P28" s="23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3:31" x14ac:dyDescent="0.15">
      <c r="C29" s="36"/>
      <c r="D29" s="16" t="s">
        <v>313</v>
      </c>
      <c r="E29" s="17" t="s">
        <v>361</v>
      </c>
      <c r="F29" s="18" t="s">
        <v>349</v>
      </c>
      <c r="G29" s="18" t="s">
        <v>359</v>
      </c>
      <c r="H29" s="18"/>
      <c r="I29" s="18"/>
      <c r="J29" s="18"/>
      <c r="K29" s="18"/>
      <c r="L29" s="18"/>
      <c r="M29" s="18"/>
      <c r="N29" s="18"/>
      <c r="O29" s="18"/>
      <c r="P29" s="18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3:31" x14ac:dyDescent="0.15">
      <c r="C30" s="36"/>
      <c r="D30" s="16" t="s">
        <v>118</v>
      </c>
      <c r="E30" s="17" t="s">
        <v>364</v>
      </c>
      <c r="F30" s="18" t="s">
        <v>117</v>
      </c>
      <c r="G30" s="18" t="s">
        <v>314</v>
      </c>
      <c r="H30" s="18" t="s">
        <v>353</v>
      </c>
      <c r="I30" s="26" t="s">
        <v>747</v>
      </c>
      <c r="J30" s="18"/>
      <c r="K30" s="18"/>
      <c r="L30" s="18"/>
      <c r="M30" s="18"/>
      <c r="N30" s="18"/>
      <c r="O30" s="18"/>
      <c r="P30" s="18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3:31" x14ac:dyDescent="0.15">
      <c r="C31" s="36"/>
      <c r="D31" s="16" t="s">
        <v>709</v>
      </c>
      <c r="E31" s="18" t="s">
        <v>735</v>
      </c>
      <c r="F31" s="18" t="s">
        <v>729</v>
      </c>
      <c r="G31" s="18" t="s">
        <v>727</v>
      </c>
      <c r="H31" s="18" t="s">
        <v>732</v>
      </c>
      <c r="I31" s="18" t="s">
        <v>742</v>
      </c>
      <c r="J31" s="19" t="s">
        <v>736</v>
      </c>
      <c r="K31" s="19" t="s">
        <v>737</v>
      </c>
      <c r="L31" s="19" t="s">
        <v>738</v>
      </c>
      <c r="M31" s="19" t="s">
        <v>739</v>
      </c>
      <c r="N31" s="19" t="s">
        <v>740</v>
      </c>
      <c r="O31" s="19" t="s">
        <v>741</v>
      </c>
      <c r="P31" s="18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3:31" x14ac:dyDescent="0.15">
      <c r="C32" s="36"/>
      <c r="D32" s="16" t="s">
        <v>242</v>
      </c>
      <c r="E32" s="18" t="s">
        <v>351</v>
      </c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3:31" x14ac:dyDescent="0.15">
      <c r="C33" s="36"/>
      <c r="D33" s="16" t="s">
        <v>368</v>
      </c>
      <c r="E33" s="18" t="s">
        <v>364</v>
      </c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3:31" x14ac:dyDescent="0.15">
      <c r="C34" s="36"/>
      <c r="D34" s="16" t="s">
        <v>369</v>
      </c>
      <c r="E34" s="19" t="s">
        <v>734</v>
      </c>
      <c r="F34" s="19" t="s">
        <v>730</v>
      </c>
      <c r="G34" s="19" t="s">
        <v>370</v>
      </c>
      <c r="H34" s="18"/>
      <c r="I34" s="18"/>
      <c r="J34" s="18"/>
      <c r="K34" s="18"/>
      <c r="L34" s="18"/>
      <c r="M34" s="18"/>
      <c r="N34" s="18"/>
      <c r="O34" s="18"/>
      <c r="P34" s="18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3:31" x14ac:dyDescent="0.15">
      <c r="C35" s="36"/>
      <c r="D35" s="16" t="s">
        <v>708</v>
      </c>
      <c r="E35" s="18" t="s">
        <v>730</v>
      </c>
      <c r="F35" s="17" t="s">
        <v>731</v>
      </c>
      <c r="G35" s="17" t="s">
        <v>733</v>
      </c>
      <c r="H35" s="18"/>
      <c r="I35" s="18"/>
      <c r="J35" s="18"/>
      <c r="K35" s="18"/>
      <c r="L35" s="18"/>
      <c r="M35" s="18"/>
      <c r="N35" s="18"/>
      <c r="O35" s="18"/>
      <c r="P35" s="18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3:31" x14ac:dyDescent="0.15"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3:31" x14ac:dyDescent="0.15"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3:31" x14ac:dyDescent="0.15"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54" spans="4:4" ht="13.5" x14ac:dyDescent="0.15">
      <c r="D54" s="20"/>
    </row>
    <row r="55" spans="4:4" ht="13.5" x14ac:dyDescent="0.15">
      <c r="D55" s="20"/>
    </row>
    <row r="56" spans="4:4" ht="13.5" x14ac:dyDescent="0.15">
      <c r="D56" s="20"/>
    </row>
    <row r="57" spans="4:4" ht="13.5" x14ac:dyDescent="0.15">
      <c r="D57" s="20"/>
    </row>
    <row r="58" spans="4:4" ht="13.5" x14ac:dyDescent="0.15">
      <c r="D58" s="20"/>
    </row>
    <row r="59" spans="4:4" ht="13.5" x14ac:dyDescent="0.15">
      <c r="D59" s="20"/>
    </row>
    <row r="60" spans="4:4" ht="13.5" x14ac:dyDescent="0.15">
      <c r="D60" s="20"/>
    </row>
    <row r="61" spans="4:4" ht="13.5" x14ac:dyDescent="0.15">
      <c r="D61" s="20"/>
    </row>
    <row r="62" spans="4:4" ht="13.5" x14ac:dyDescent="0.15">
      <c r="D62" s="20"/>
    </row>
    <row r="63" spans="4:4" ht="13.5" x14ac:dyDescent="0.15">
      <c r="D63" s="20"/>
    </row>
    <row r="64" spans="4:4" ht="13.5" x14ac:dyDescent="0.15">
      <c r="D64" s="20"/>
    </row>
    <row r="65" spans="4:4" ht="13.5" x14ac:dyDescent="0.15">
      <c r="D65" s="20"/>
    </row>
    <row r="66" spans="4:4" ht="13.5" x14ac:dyDescent="0.15">
      <c r="D66" s="20"/>
    </row>
    <row r="67" spans="4:4" ht="13.5" x14ac:dyDescent="0.15">
      <c r="D67" s="20"/>
    </row>
    <row r="68" spans="4:4" ht="13.5" x14ac:dyDescent="0.15">
      <c r="D68" s="20"/>
    </row>
    <row r="69" spans="4:4" ht="13.5" x14ac:dyDescent="0.15">
      <c r="D69" s="20"/>
    </row>
    <row r="70" spans="4:4" ht="13.5" x14ac:dyDescent="0.15">
      <c r="D70" s="20"/>
    </row>
    <row r="71" spans="4:4" ht="13.5" x14ac:dyDescent="0.15">
      <c r="D71" s="20"/>
    </row>
    <row r="72" spans="4:4" ht="13.5" x14ac:dyDescent="0.15">
      <c r="D72" s="20"/>
    </row>
    <row r="73" spans="4:4" ht="13.5" x14ac:dyDescent="0.15">
      <c r="D73" s="20"/>
    </row>
    <row r="74" spans="4:4" ht="13.5" x14ac:dyDescent="0.15">
      <c r="D74" s="20"/>
    </row>
    <row r="75" spans="4:4" ht="13.5" x14ac:dyDescent="0.15">
      <c r="D75" s="20"/>
    </row>
    <row r="76" spans="4:4" ht="13.5" x14ac:dyDescent="0.15">
      <c r="D76" s="20"/>
    </row>
    <row r="77" spans="4:4" ht="13.5" x14ac:dyDescent="0.15">
      <c r="D77" s="20"/>
    </row>
    <row r="78" spans="4:4" ht="13.5" x14ac:dyDescent="0.15">
      <c r="D78" s="20"/>
    </row>
    <row r="79" spans="4:4" ht="13.5" x14ac:dyDescent="0.15">
      <c r="D79" s="20"/>
    </row>
    <row r="80" spans="4:4" ht="13.5" x14ac:dyDescent="0.15">
      <c r="D80" s="20"/>
    </row>
    <row r="81" spans="4:4" ht="13.5" x14ac:dyDescent="0.15">
      <c r="D81" s="20"/>
    </row>
    <row r="82" spans="4:4" ht="13.5" x14ac:dyDescent="0.15">
      <c r="D82" s="20"/>
    </row>
    <row r="83" spans="4:4" ht="13.5" x14ac:dyDescent="0.15">
      <c r="D83" s="20"/>
    </row>
    <row r="84" spans="4:4" ht="13.5" x14ac:dyDescent="0.15">
      <c r="D84" s="20"/>
    </row>
    <row r="85" spans="4:4" ht="13.5" x14ac:dyDescent="0.15">
      <c r="D85" s="20"/>
    </row>
    <row r="86" spans="4:4" ht="13.5" x14ac:dyDescent="0.15">
      <c r="D86" s="20"/>
    </row>
    <row r="87" spans="4:4" ht="13.5" x14ac:dyDescent="0.15">
      <c r="D87" s="20"/>
    </row>
    <row r="88" spans="4:4" ht="13.5" x14ac:dyDescent="0.15">
      <c r="D88" s="20"/>
    </row>
    <row r="89" spans="4:4" ht="13.5" x14ac:dyDescent="0.15">
      <c r="D89" s="20"/>
    </row>
  </sheetData>
  <sortState xmlns:xlrd2="http://schemas.microsoft.com/office/spreadsheetml/2017/richdata2" ref="D29:D46">
    <sortCondition ref="D29"/>
  </sortState>
  <mergeCells count="6">
    <mergeCell ref="E2:P2"/>
    <mergeCell ref="R3:AE38"/>
    <mergeCell ref="C3:C4"/>
    <mergeCell ref="C8:C11"/>
    <mergeCell ref="C13:C21"/>
    <mergeCell ref="C23:C3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974E7-DEA1-4089-8FA3-535DDBF38E4D}">
  <dimension ref="B3:BC94"/>
  <sheetViews>
    <sheetView tabSelected="1" zoomScale="115" zoomScaleNormal="115" workbookViewId="0">
      <selection activeCell="H26" sqref="H26"/>
    </sheetView>
  </sheetViews>
  <sheetFormatPr defaultColWidth="8.625" defaultRowHeight="11.25" x14ac:dyDescent="0.15"/>
  <cols>
    <col min="1" max="16" width="8.625" style="27"/>
    <col min="17" max="29" width="8.625" style="27" customWidth="1"/>
    <col min="30" max="16384" width="8.625" style="27"/>
  </cols>
  <sheetData>
    <row r="3" spans="2:55" x14ac:dyDescent="0.15">
      <c r="C3" s="28" t="s">
        <v>340</v>
      </c>
      <c r="D3" s="41" t="s">
        <v>239</v>
      </c>
      <c r="E3" s="42"/>
      <c r="F3" s="42"/>
      <c r="G3" s="42"/>
      <c r="H3" s="42"/>
      <c r="I3" s="42"/>
      <c r="J3" s="42"/>
      <c r="K3" s="42"/>
      <c r="L3" s="43"/>
      <c r="P3" s="28" t="s">
        <v>232</v>
      </c>
      <c r="Q3" s="44" t="s">
        <v>796</v>
      </c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5" t="s">
        <v>797</v>
      </c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4" t="s">
        <v>798</v>
      </c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</row>
    <row r="4" spans="2:55" x14ac:dyDescent="0.15">
      <c r="C4" s="28" t="s">
        <v>319</v>
      </c>
      <c r="D4" s="28" t="s">
        <v>802</v>
      </c>
      <c r="E4" s="28" t="s">
        <v>361</v>
      </c>
      <c r="F4" s="28" t="s">
        <v>770</v>
      </c>
      <c r="G4" s="28" t="s">
        <v>117</v>
      </c>
      <c r="H4" s="28" t="s">
        <v>812</v>
      </c>
      <c r="I4" s="28" t="s">
        <v>120</v>
      </c>
      <c r="J4" s="28"/>
      <c r="K4" s="28"/>
      <c r="L4" s="28"/>
      <c r="P4" s="28" t="s">
        <v>800</v>
      </c>
      <c r="Q4" s="28" t="s">
        <v>319</v>
      </c>
      <c r="R4" s="28" t="s">
        <v>121</v>
      </c>
      <c r="S4" s="28" t="s">
        <v>799</v>
      </c>
      <c r="T4" s="28" t="s">
        <v>761</v>
      </c>
      <c r="U4" s="28" t="s">
        <v>767</v>
      </c>
      <c r="W4" s="28"/>
      <c r="X4" s="28"/>
      <c r="Y4" s="28"/>
      <c r="Z4" s="28"/>
      <c r="AA4" s="28"/>
      <c r="AB4" s="28"/>
      <c r="AC4" s="28"/>
      <c r="AD4" s="28" t="s">
        <v>121</v>
      </c>
      <c r="AE4" s="28" t="s">
        <v>767</v>
      </c>
      <c r="AF4" s="28" t="s">
        <v>760</v>
      </c>
      <c r="AG4" s="28" t="s">
        <v>319</v>
      </c>
      <c r="AH4" s="28" t="s">
        <v>799</v>
      </c>
      <c r="AJ4" s="28"/>
      <c r="AK4" s="28"/>
      <c r="AL4" s="28"/>
      <c r="AM4" s="28"/>
      <c r="AN4" s="28"/>
      <c r="AO4" s="28"/>
      <c r="AP4" s="28"/>
      <c r="AQ4" s="28" t="s">
        <v>121</v>
      </c>
      <c r="AR4" s="28" t="s">
        <v>767</v>
      </c>
      <c r="AS4" s="28"/>
      <c r="AT4" s="28" t="s">
        <v>760</v>
      </c>
      <c r="AU4" s="28" t="s">
        <v>319</v>
      </c>
      <c r="AV4" s="28" t="s">
        <v>799</v>
      </c>
      <c r="AW4" s="28"/>
      <c r="AX4" s="28"/>
      <c r="AY4" s="28"/>
      <c r="AZ4" s="28"/>
      <c r="BA4" s="28"/>
      <c r="BB4" s="28"/>
      <c r="BC4" s="28"/>
    </row>
    <row r="5" spans="2:55" x14ac:dyDescent="0.15">
      <c r="C5" s="28" t="s">
        <v>755</v>
      </c>
      <c r="D5" s="28" t="s">
        <v>232</v>
      </c>
      <c r="E5" s="28" t="s">
        <v>361</v>
      </c>
      <c r="F5" s="28" t="s">
        <v>119</v>
      </c>
      <c r="G5" s="28"/>
      <c r="H5" s="28"/>
      <c r="J5" s="28"/>
      <c r="K5" s="28"/>
      <c r="L5" s="28"/>
      <c r="P5" s="28" t="s">
        <v>781</v>
      </c>
      <c r="Q5" s="28" t="s">
        <v>799</v>
      </c>
      <c r="R5" s="28" t="s">
        <v>289</v>
      </c>
      <c r="T5" s="28"/>
      <c r="U5" s="28"/>
      <c r="V5" s="28"/>
      <c r="W5" s="28"/>
      <c r="X5" s="28"/>
      <c r="Y5" s="28"/>
      <c r="Z5" s="28"/>
      <c r="AA5" s="28"/>
      <c r="AB5" s="28"/>
      <c r="AC5" s="28"/>
      <c r="AD5" s="28" t="s">
        <v>289</v>
      </c>
      <c r="AE5" s="28" t="s">
        <v>799</v>
      </c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 t="s">
        <v>789</v>
      </c>
      <c r="AR5" s="28"/>
      <c r="AS5" s="28" t="s">
        <v>799</v>
      </c>
      <c r="AT5" s="28"/>
      <c r="AU5" s="28"/>
      <c r="AV5" s="28"/>
      <c r="AW5" s="28"/>
      <c r="AX5" s="28"/>
      <c r="AY5" s="28"/>
      <c r="AZ5" s="28"/>
      <c r="BA5" s="28"/>
      <c r="BB5" s="28"/>
      <c r="BC5" s="28"/>
    </row>
    <row r="6" spans="2:55" x14ac:dyDescent="0.15">
      <c r="C6" s="28" t="s">
        <v>757</v>
      </c>
      <c r="D6" s="28" t="s">
        <v>361</v>
      </c>
      <c r="E6" s="28" t="s">
        <v>232</v>
      </c>
      <c r="F6" s="28" t="s">
        <v>812</v>
      </c>
      <c r="G6" s="28" t="s">
        <v>117</v>
      </c>
      <c r="H6" s="28" t="s">
        <v>338</v>
      </c>
      <c r="I6" s="28"/>
      <c r="J6" s="28"/>
      <c r="K6" s="28"/>
      <c r="L6" s="28"/>
      <c r="P6" s="28" t="s">
        <v>768</v>
      </c>
      <c r="Q6" s="28" t="s">
        <v>319</v>
      </c>
      <c r="R6" s="28" t="s">
        <v>755</v>
      </c>
      <c r="S6" s="28" t="s">
        <v>121</v>
      </c>
      <c r="T6" s="28"/>
      <c r="U6" s="28" t="s">
        <v>756</v>
      </c>
      <c r="V6" s="28" t="s">
        <v>799</v>
      </c>
      <c r="W6" s="28" t="s">
        <v>789</v>
      </c>
      <c r="X6" s="28" t="s">
        <v>790</v>
      </c>
      <c r="Y6" s="28"/>
      <c r="Z6" s="28"/>
      <c r="AA6" s="28"/>
      <c r="AB6" s="28"/>
      <c r="AC6" s="28"/>
      <c r="AD6" s="28" t="s">
        <v>121</v>
      </c>
      <c r="AE6" s="28" t="s">
        <v>755</v>
      </c>
      <c r="AF6" s="28" t="s">
        <v>757</v>
      </c>
      <c r="AG6" s="28" t="s">
        <v>708</v>
      </c>
      <c r="AH6" s="28" t="s">
        <v>289</v>
      </c>
      <c r="AI6" s="28" t="s">
        <v>319</v>
      </c>
      <c r="AJ6" s="28" t="s">
        <v>799</v>
      </c>
      <c r="AL6" s="28"/>
      <c r="AM6" s="28"/>
      <c r="AN6" s="28"/>
      <c r="AO6" s="28"/>
      <c r="AP6" s="28"/>
      <c r="AQ6" s="28" t="s">
        <v>121</v>
      </c>
      <c r="AR6" s="28" t="s">
        <v>755</v>
      </c>
      <c r="AS6" s="28" t="s">
        <v>757</v>
      </c>
      <c r="AT6" s="28"/>
      <c r="AU6" s="28" t="s">
        <v>708</v>
      </c>
      <c r="AV6" s="28" t="s">
        <v>289</v>
      </c>
      <c r="AW6" s="28" t="s">
        <v>319</v>
      </c>
      <c r="AX6" s="28" t="s">
        <v>799</v>
      </c>
      <c r="AY6" s="28"/>
      <c r="AZ6" s="28"/>
      <c r="BA6" s="28"/>
      <c r="BB6" s="28"/>
      <c r="BC6" s="28"/>
    </row>
    <row r="7" spans="2:55" x14ac:dyDescent="0.15">
      <c r="C7" s="28" t="s">
        <v>759</v>
      </c>
      <c r="D7" s="33" t="s">
        <v>812</v>
      </c>
      <c r="E7" s="28" t="s">
        <v>776</v>
      </c>
      <c r="F7" s="30" t="s">
        <v>770</v>
      </c>
      <c r="G7" s="49" t="s">
        <v>813</v>
      </c>
      <c r="H7" s="28" t="s">
        <v>814</v>
      </c>
      <c r="I7" s="28"/>
      <c r="J7" s="28"/>
      <c r="K7" s="28"/>
      <c r="L7" s="28"/>
      <c r="P7" s="28" t="s">
        <v>769</v>
      </c>
      <c r="Q7" s="28" t="s">
        <v>759</v>
      </c>
      <c r="R7" s="28" t="s">
        <v>799</v>
      </c>
      <c r="S7" s="28" t="s">
        <v>319</v>
      </c>
      <c r="T7" s="28"/>
      <c r="U7" s="28"/>
      <c r="V7" s="28"/>
      <c r="W7" s="28"/>
      <c r="X7" s="28"/>
      <c r="Y7" s="28"/>
      <c r="Z7" s="28"/>
      <c r="AA7" s="28"/>
      <c r="AB7" s="28"/>
      <c r="AC7" s="28"/>
      <c r="AD7" s="28" t="s">
        <v>759</v>
      </c>
      <c r="AE7" s="28" t="s">
        <v>319</v>
      </c>
      <c r="AF7" s="28" t="s">
        <v>799</v>
      </c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 t="s">
        <v>759</v>
      </c>
      <c r="AR7" s="28" t="s">
        <v>319</v>
      </c>
      <c r="AS7" s="28" t="s">
        <v>799</v>
      </c>
      <c r="AT7" s="28"/>
      <c r="AU7" s="28"/>
      <c r="AV7" s="28"/>
      <c r="AW7" s="28"/>
      <c r="AX7" s="28"/>
      <c r="AY7" s="28"/>
      <c r="AZ7" s="28"/>
      <c r="BA7" s="28"/>
      <c r="BB7" s="28"/>
      <c r="BC7" s="28"/>
    </row>
    <row r="8" spans="2:55" x14ac:dyDescent="0.15">
      <c r="B8" s="34" t="s">
        <v>810</v>
      </c>
      <c r="C8" s="28" t="s">
        <v>761</v>
      </c>
      <c r="D8" s="28" t="s">
        <v>355</v>
      </c>
      <c r="E8" s="28" t="s">
        <v>120</v>
      </c>
      <c r="F8" s="28" t="s">
        <v>805</v>
      </c>
      <c r="G8" s="28" t="s">
        <v>117</v>
      </c>
      <c r="H8" s="28" t="s">
        <v>802</v>
      </c>
      <c r="I8" s="32" t="s">
        <v>807</v>
      </c>
      <c r="J8" s="28"/>
      <c r="K8" s="28"/>
      <c r="L8" s="28"/>
      <c r="P8" s="28" t="s">
        <v>773</v>
      </c>
      <c r="Q8" s="28" t="s">
        <v>121</v>
      </c>
      <c r="R8" s="28" t="s">
        <v>757</v>
      </c>
      <c r="S8" s="28" t="s">
        <v>765</v>
      </c>
      <c r="T8" s="28" t="s">
        <v>799</v>
      </c>
      <c r="U8" s="28"/>
      <c r="V8" s="28"/>
      <c r="W8" s="28"/>
      <c r="X8" s="28"/>
      <c r="Y8" s="28"/>
      <c r="Z8" s="28"/>
      <c r="AA8" s="28"/>
      <c r="AB8" s="28"/>
      <c r="AC8" s="28"/>
      <c r="AD8" s="28" t="s">
        <v>121</v>
      </c>
      <c r="AE8" s="28" t="s">
        <v>765</v>
      </c>
      <c r="AF8" s="28" t="s">
        <v>757</v>
      </c>
      <c r="AG8" s="28" t="s">
        <v>799</v>
      </c>
      <c r="AH8" s="28"/>
      <c r="AI8" s="28"/>
      <c r="AJ8" s="28"/>
      <c r="AK8" s="28"/>
      <c r="AL8" s="28"/>
      <c r="AM8" s="28"/>
      <c r="AN8" s="28"/>
      <c r="AO8" s="28"/>
      <c r="AP8" s="28"/>
      <c r="AQ8" s="28" t="s">
        <v>121</v>
      </c>
      <c r="AR8" s="28" t="s">
        <v>765</v>
      </c>
      <c r="AS8" s="28" t="s">
        <v>757</v>
      </c>
      <c r="AT8" s="28" t="s">
        <v>799</v>
      </c>
      <c r="AU8" s="28"/>
      <c r="AV8" s="28"/>
      <c r="AW8" s="28"/>
      <c r="AX8" s="28"/>
      <c r="AY8" s="28"/>
      <c r="AZ8" s="28"/>
      <c r="BA8" s="28"/>
      <c r="BB8" s="28"/>
      <c r="BC8" s="28"/>
    </row>
    <row r="9" spans="2:55" x14ac:dyDescent="0.15">
      <c r="C9" s="28" t="s">
        <v>763</v>
      </c>
      <c r="D9" s="28" t="s">
        <v>803</v>
      </c>
      <c r="E9" s="28" t="s">
        <v>120</v>
      </c>
      <c r="F9" s="30" t="s">
        <v>815</v>
      </c>
      <c r="G9" s="28"/>
      <c r="H9" s="30"/>
      <c r="I9" s="32"/>
      <c r="J9" s="28"/>
      <c r="K9" s="28"/>
      <c r="L9" s="28"/>
      <c r="P9" s="28" t="s">
        <v>777</v>
      </c>
      <c r="Q9" s="28" t="s">
        <v>760</v>
      </c>
      <c r="R9" s="28" t="s">
        <v>764</v>
      </c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 t="s">
        <v>760</v>
      </c>
      <c r="AE9" s="28" t="s">
        <v>764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 t="s">
        <v>760</v>
      </c>
      <c r="AR9" s="28" t="s">
        <v>764</v>
      </c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</row>
    <row r="10" spans="2:55" x14ac:dyDescent="0.15">
      <c r="C10" s="28" t="s">
        <v>804</v>
      </c>
      <c r="D10" s="28" t="s">
        <v>119</v>
      </c>
      <c r="E10" s="28" t="s">
        <v>361</v>
      </c>
      <c r="F10" s="28" t="s">
        <v>800</v>
      </c>
      <c r="G10" s="28" t="s">
        <v>774</v>
      </c>
      <c r="H10" s="30" t="s">
        <v>780</v>
      </c>
      <c r="I10" s="30" t="s">
        <v>786</v>
      </c>
      <c r="J10" s="30"/>
      <c r="K10" s="28"/>
      <c r="L10" s="28"/>
      <c r="P10" s="28" t="s">
        <v>336</v>
      </c>
      <c r="Q10" s="28" t="s">
        <v>763</v>
      </c>
      <c r="R10" s="28" t="s">
        <v>765</v>
      </c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 t="s">
        <v>763</v>
      </c>
      <c r="AE10" s="28" t="s">
        <v>765</v>
      </c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 t="s">
        <v>763</v>
      </c>
      <c r="AR10" s="28" t="s">
        <v>765</v>
      </c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</row>
    <row r="11" spans="2:55" x14ac:dyDescent="0.15">
      <c r="C11" s="30" t="s">
        <v>121</v>
      </c>
      <c r="D11" s="30" t="s">
        <v>802</v>
      </c>
      <c r="E11" s="30" t="s">
        <v>117</v>
      </c>
      <c r="F11" s="33" t="s">
        <v>800</v>
      </c>
      <c r="G11" s="30"/>
      <c r="H11" s="30"/>
      <c r="I11" s="30"/>
      <c r="J11" s="30"/>
      <c r="K11" s="30"/>
      <c r="L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</row>
    <row r="12" spans="2:55" x14ac:dyDescent="0.15">
      <c r="C12" s="28" t="s">
        <v>817</v>
      </c>
      <c r="D12" s="28" t="s">
        <v>232</v>
      </c>
      <c r="E12" s="28" t="s">
        <v>117</v>
      </c>
      <c r="F12" s="28" t="s">
        <v>120</v>
      </c>
      <c r="G12" s="33" t="s">
        <v>801</v>
      </c>
      <c r="H12" s="28"/>
      <c r="I12" s="30"/>
      <c r="J12" s="28"/>
      <c r="K12" s="28"/>
      <c r="L12" s="28"/>
      <c r="P12" s="28" t="s">
        <v>772</v>
      </c>
      <c r="Q12" s="28" t="s">
        <v>755</v>
      </c>
      <c r="R12" s="28" t="s">
        <v>121</v>
      </c>
      <c r="S12" s="28" t="s">
        <v>663</v>
      </c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 t="s">
        <v>661</v>
      </c>
      <c r="AE12" s="28" t="s">
        <v>782</v>
      </c>
      <c r="AF12" s="28" t="s">
        <v>754</v>
      </c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 t="s">
        <v>661</v>
      </c>
      <c r="AR12" s="28" t="s">
        <v>782</v>
      </c>
      <c r="AS12" s="28" t="s">
        <v>754</v>
      </c>
      <c r="AT12" s="28"/>
      <c r="AU12" s="28"/>
      <c r="AV12" s="28"/>
      <c r="AW12" s="28"/>
      <c r="AX12" s="28"/>
      <c r="AY12" s="28"/>
      <c r="AZ12" s="28"/>
      <c r="BA12" s="28"/>
      <c r="BB12" s="28"/>
      <c r="BC12" s="28"/>
    </row>
    <row r="13" spans="2:55" x14ac:dyDescent="0.15">
      <c r="C13" s="28" t="s">
        <v>767</v>
      </c>
      <c r="D13" s="28" t="s">
        <v>795</v>
      </c>
      <c r="E13" s="28" t="s">
        <v>120</v>
      </c>
      <c r="F13" s="28" t="s">
        <v>232</v>
      </c>
      <c r="G13" s="28" t="s">
        <v>117</v>
      </c>
      <c r="H13" s="28"/>
      <c r="I13" s="28"/>
      <c r="J13" s="28"/>
      <c r="K13" s="28"/>
      <c r="L13" s="28"/>
      <c r="P13" s="28" t="s">
        <v>794</v>
      </c>
      <c r="Q13" s="28" t="s">
        <v>767</v>
      </c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 t="s">
        <v>766</v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 t="s">
        <v>766</v>
      </c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</row>
    <row r="14" spans="2:55" x14ac:dyDescent="0.15">
      <c r="C14" s="28" t="s">
        <v>799</v>
      </c>
      <c r="D14" s="28" t="s">
        <v>370</v>
      </c>
      <c r="E14" s="28" t="s">
        <v>770</v>
      </c>
      <c r="F14" s="28" t="s">
        <v>774</v>
      </c>
      <c r="G14" s="28" t="s">
        <v>780</v>
      </c>
      <c r="H14" s="28" t="s">
        <v>361</v>
      </c>
      <c r="I14" s="28" t="s">
        <v>786</v>
      </c>
      <c r="J14" s="28" t="s">
        <v>338</v>
      </c>
      <c r="K14" s="28" t="s">
        <v>232</v>
      </c>
      <c r="L14" s="28" t="s">
        <v>800</v>
      </c>
      <c r="P14" s="28" t="s">
        <v>771</v>
      </c>
      <c r="Q14" s="28" t="s">
        <v>755</v>
      </c>
      <c r="R14" s="28" t="s">
        <v>758</v>
      </c>
      <c r="S14" s="28" t="s">
        <v>757</v>
      </c>
      <c r="T14" s="28" t="s">
        <v>328</v>
      </c>
      <c r="U14" s="28" t="s">
        <v>784</v>
      </c>
      <c r="V14" s="28"/>
      <c r="W14" s="28" t="s">
        <v>799</v>
      </c>
      <c r="X14" s="28"/>
      <c r="Y14" s="28"/>
      <c r="Z14" s="28"/>
      <c r="AA14" s="28"/>
      <c r="AB14" s="28"/>
      <c r="AC14" s="28"/>
      <c r="AD14" s="28" t="s">
        <v>328</v>
      </c>
      <c r="AE14" s="28" t="s">
        <v>784</v>
      </c>
      <c r="AF14" s="28" t="s">
        <v>758</v>
      </c>
      <c r="AG14" s="28" t="s">
        <v>755</v>
      </c>
      <c r="AH14" s="28" t="s">
        <v>757</v>
      </c>
      <c r="AI14" s="28" t="s">
        <v>799</v>
      </c>
      <c r="AK14" s="28"/>
      <c r="AL14" s="28"/>
      <c r="AM14" s="28"/>
      <c r="AN14" s="28"/>
      <c r="AO14" s="28"/>
      <c r="AP14" s="28"/>
      <c r="AQ14" s="28" t="s">
        <v>328</v>
      </c>
      <c r="AR14" s="28" t="s">
        <v>784</v>
      </c>
      <c r="AS14" s="28"/>
      <c r="AT14" s="28" t="s">
        <v>758</v>
      </c>
      <c r="AU14" s="28" t="s">
        <v>755</v>
      </c>
      <c r="AV14" s="28" t="s">
        <v>757</v>
      </c>
      <c r="AW14" s="28" t="s">
        <v>799</v>
      </c>
      <c r="AX14" s="28"/>
      <c r="AY14" s="28"/>
      <c r="AZ14" s="28"/>
      <c r="BA14" s="28"/>
      <c r="BB14" s="28"/>
      <c r="BC14" s="28"/>
    </row>
    <row r="15" spans="2:55" x14ac:dyDescent="0.15">
      <c r="C15" s="28"/>
      <c r="D15" s="28"/>
      <c r="E15" s="28"/>
      <c r="F15" s="28"/>
      <c r="G15" s="28"/>
      <c r="H15" s="28"/>
      <c r="I15" s="28"/>
      <c r="J15" s="28"/>
      <c r="K15" s="28"/>
      <c r="L15" s="28"/>
      <c r="P15" s="28" t="s">
        <v>352</v>
      </c>
      <c r="Q15" s="28" t="s">
        <v>788</v>
      </c>
      <c r="R15" s="28" t="s">
        <v>791</v>
      </c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 t="s">
        <v>791</v>
      </c>
      <c r="AE15" s="28" t="s">
        <v>788</v>
      </c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 t="s">
        <v>791</v>
      </c>
      <c r="AR15" s="28" t="s">
        <v>788</v>
      </c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</row>
    <row r="16" spans="2:55" x14ac:dyDescent="0.15">
      <c r="C16" s="28" t="s">
        <v>663</v>
      </c>
      <c r="D16" s="28" t="s">
        <v>119</v>
      </c>
      <c r="E16" s="28"/>
      <c r="F16" s="28"/>
      <c r="G16" s="28"/>
      <c r="H16" s="28"/>
      <c r="I16" s="28"/>
      <c r="J16" s="28"/>
      <c r="K16" s="28"/>
      <c r="L16" s="28"/>
      <c r="P16" s="28" t="s">
        <v>793</v>
      </c>
      <c r="Q16" s="28" t="s">
        <v>668</v>
      </c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 t="s">
        <v>668</v>
      </c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 t="s">
        <v>668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</row>
    <row r="17" spans="2:55" x14ac:dyDescent="0.15">
      <c r="C17" s="28" t="s">
        <v>784</v>
      </c>
      <c r="D17" s="28" t="s">
        <v>232</v>
      </c>
      <c r="E17" s="28" t="s">
        <v>117</v>
      </c>
      <c r="F17" s="28"/>
      <c r="G17" s="28"/>
      <c r="H17" s="28"/>
      <c r="I17" s="28"/>
      <c r="J17" s="28"/>
      <c r="K17" s="28"/>
      <c r="L17" s="28"/>
      <c r="P17" s="28" t="s">
        <v>345</v>
      </c>
      <c r="Q17" s="28" t="s">
        <v>347</v>
      </c>
      <c r="R17" s="28" t="s">
        <v>792</v>
      </c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 t="s">
        <v>791</v>
      </c>
      <c r="AE17" s="28" t="s">
        <v>347</v>
      </c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 t="s">
        <v>791</v>
      </c>
      <c r="AR17" s="28" t="s">
        <v>347</v>
      </c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</row>
    <row r="18" spans="2:55" x14ac:dyDescent="0.15">
      <c r="C18" s="28" t="s">
        <v>350</v>
      </c>
      <c r="D18" s="28" t="s">
        <v>122</v>
      </c>
      <c r="E18" s="32" t="s">
        <v>361</v>
      </c>
      <c r="F18" s="28"/>
      <c r="G18" s="28"/>
      <c r="H18" s="28"/>
      <c r="I18" s="28"/>
      <c r="J18" s="28"/>
      <c r="K18" s="28"/>
      <c r="L18" s="28"/>
      <c r="P18" s="28" t="s">
        <v>775</v>
      </c>
      <c r="Q18" s="28" t="s">
        <v>758</v>
      </c>
      <c r="R18" s="28"/>
      <c r="S18" s="28"/>
      <c r="T18" s="28"/>
      <c r="U18" s="28"/>
      <c r="V18" s="28"/>
      <c r="X18" s="28"/>
      <c r="Y18" s="28"/>
      <c r="Z18" s="28"/>
      <c r="AA18" s="28"/>
      <c r="AB18" s="28"/>
      <c r="AC18" s="28"/>
      <c r="AD18" s="28" t="s">
        <v>758</v>
      </c>
      <c r="AE18" s="28"/>
      <c r="AF18" s="28"/>
      <c r="AG18" s="28"/>
      <c r="AK18" s="28"/>
      <c r="AL18" s="28"/>
      <c r="AM18" s="28"/>
      <c r="AN18" s="28"/>
      <c r="AO18" s="28"/>
      <c r="AP18" s="28"/>
      <c r="AQ18" s="28" t="s">
        <v>758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</row>
    <row r="19" spans="2:55" x14ac:dyDescent="0.15">
      <c r="C19" s="28" t="s">
        <v>668</v>
      </c>
      <c r="D19" s="28" t="s">
        <v>124</v>
      </c>
      <c r="E19" s="28" t="s">
        <v>117</v>
      </c>
      <c r="F19" s="28" t="s">
        <v>120</v>
      </c>
      <c r="G19" s="29" t="s">
        <v>361</v>
      </c>
      <c r="H19" s="28"/>
      <c r="I19" s="28"/>
      <c r="J19" s="28"/>
      <c r="K19" s="28"/>
      <c r="L19" s="28"/>
      <c r="P19" s="28" t="s">
        <v>316</v>
      </c>
      <c r="Q19" s="28" t="s">
        <v>755</v>
      </c>
      <c r="R19" s="28" t="s">
        <v>765</v>
      </c>
      <c r="S19" s="28" t="s">
        <v>760</v>
      </c>
      <c r="T19" s="28" t="s">
        <v>762</v>
      </c>
      <c r="U19" s="28" t="s">
        <v>668</v>
      </c>
      <c r="V19" s="28" t="s">
        <v>799</v>
      </c>
      <c r="W19" s="28" t="s">
        <v>766</v>
      </c>
      <c r="X19" s="28"/>
      <c r="Z19" s="28"/>
      <c r="AA19" s="28"/>
      <c r="AB19" s="28"/>
      <c r="AC19" s="28"/>
      <c r="AD19" s="28" t="s">
        <v>764</v>
      </c>
      <c r="AE19" s="28" t="s">
        <v>760</v>
      </c>
      <c r="AF19" s="28" t="s">
        <v>762</v>
      </c>
      <c r="AG19" s="28" t="s">
        <v>766</v>
      </c>
      <c r="AH19" s="28" t="s">
        <v>754</v>
      </c>
      <c r="AI19" s="28" t="s">
        <v>285</v>
      </c>
      <c r="AJ19" s="28" t="s">
        <v>799</v>
      </c>
      <c r="AK19" s="28"/>
      <c r="AM19" s="28"/>
      <c r="AN19" s="28"/>
      <c r="AO19" s="28"/>
      <c r="AP19" s="28"/>
      <c r="AQ19" s="28" t="s">
        <v>764</v>
      </c>
      <c r="AR19" s="28" t="s">
        <v>760</v>
      </c>
      <c r="AS19" s="28" t="s">
        <v>762</v>
      </c>
      <c r="AT19" s="28" t="s">
        <v>766</v>
      </c>
      <c r="AU19" s="28" t="s">
        <v>754</v>
      </c>
      <c r="AV19" s="28" t="s">
        <v>285</v>
      </c>
      <c r="AW19" s="28" t="s">
        <v>799</v>
      </c>
      <c r="AX19" s="28"/>
      <c r="AY19" s="28"/>
      <c r="AZ19" s="28"/>
      <c r="BA19" s="28"/>
      <c r="BB19" s="28"/>
      <c r="BC19" s="28"/>
    </row>
    <row r="20" spans="2:55" x14ac:dyDescent="0.15">
      <c r="C20" s="28" t="s">
        <v>289</v>
      </c>
      <c r="D20" s="28" t="s">
        <v>361</v>
      </c>
      <c r="E20" s="28" t="s">
        <v>370</v>
      </c>
      <c r="F20" s="28"/>
      <c r="G20" s="28"/>
      <c r="H20" s="28"/>
      <c r="I20" s="28"/>
      <c r="J20" s="28"/>
      <c r="K20" s="28"/>
      <c r="L20" s="28"/>
      <c r="P20" s="28" t="s">
        <v>785</v>
      </c>
      <c r="Q20" s="28" t="s">
        <v>799</v>
      </c>
      <c r="R20" s="28" t="s">
        <v>762</v>
      </c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 t="s">
        <v>762</v>
      </c>
      <c r="AE20" s="28" t="s">
        <v>799</v>
      </c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 t="s">
        <v>762</v>
      </c>
      <c r="AR20" s="28" t="s">
        <v>799</v>
      </c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</row>
    <row r="21" spans="2:55" x14ac:dyDescent="0.15">
      <c r="C21" s="28" t="s">
        <v>708</v>
      </c>
      <c r="D21" s="28" t="s">
        <v>361</v>
      </c>
      <c r="E21" s="28"/>
      <c r="F21" s="28"/>
      <c r="G21" s="28"/>
      <c r="H21" s="28"/>
      <c r="I21" s="28"/>
      <c r="J21" s="28"/>
      <c r="K21" s="28"/>
      <c r="L21" s="28"/>
      <c r="P21" s="28" t="s">
        <v>778</v>
      </c>
      <c r="Q21" s="28" t="s">
        <v>758</v>
      </c>
      <c r="R21" s="28" t="s">
        <v>755</v>
      </c>
      <c r="S21" s="28" t="s">
        <v>757</v>
      </c>
      <c r="T21" s="28" t="s">
        <v>121</v>
      </c>
      <c r="U21" s="28" t="s">
        <v>319</v>
      </c>
      <c r="V21" s="28" t="s">
        <v>783</v>
      </c>
      <c r="W21" s="28" t="s">
        <v>760</v>
      </c>
      <c r="X21" s="28" t="s">
        <v>762</v>
      </c>
      <c r="Y21" s="28" t="s">
        <v>765</v>
      </c>
      <c r="Z21" s="28" t="s">
        <v>285</v>
      </c>
      <c r="AA21" s="28" t="s">
        <v>791</v>
      </c>
      <c r="AB21" s="28" t="s">
        <v>767</v>
      </c>
      <c r="AC21" s="28"/>
      <c r="AD21" s="28" t="s">
        <v>783</v>
      </c>
      <c r="AE21" s="28" t="s">
        <v>756</v>
      </c>
      <c r="AF21" s="28" t="s">
        <v>765</v>
      </c>
      <c r="AG21" s="28" t="s">
        <v>760</v>
      </c>
      <c r="AH21" s="28" t="s">
        <v>762</v>
      </c>
      <c r="AI21" s="28" t="s">
        <v>791</v>
      </c>
      <c r="AJ21" s="28" t="s">
        <v>767</v>
      </c>
      <c r="AK21" s="28" t="s">
        <v>285</v>
      </c>
      <c r="AL21" s="28" t="s">
        <v>753</v>
      </c>
      <c r="AM21" s="28" t="s">
        <v>661</v>
      </c>
      <c r="AN21" s="28" t="s">
        <v>758</v>
      </c>
      <c r="AO21" s="28" t="s">
        <v>754</v>
      </c>
      <c r="AQ21" s="28" t="s">
        <v>783</v>
      </c>
      <c r="AR21" s="28" t="s">
        <v>756</v>
      </c>
      <c r="AS21" s="28" t="s">
        <v>765</v>
      </c>
      <c r="AT21" s="28" t="s">
        <v>760</v>
      </c>
      <c r="AU21" s="28" t="s">
        <v>762</v>
      </c>
      <c r="AV21" s="28" t="s">
        <v>791</v>
      </c>
      <c r="AW21" s="28" t="s">
        <v>767</v>
      </c>
      <c r="AX21" s="28" t="s">
        <v>285</v>
      </c>
      <c r="AY21" s="28" t="s">
        <v>753</v>
      </c>
      <c r="AZ21" s="28" t="s">
        <v>661</v>
      </c>
      <c r="BA21" s="28" t="s">
        <v>758</v>
      </c>
      <c r="BB21" s="28" t="s">
        <v>754</v>
      </c>
      <c r="BC21" s="28" t="s">
        <v>791</v>
      </c>
    </row>
    <row r="22" spans="2:55" x14ac:dyDescent="0.15">
      <c r="B22" s="27" t="s">
        <v>811</v>
      </c>
      <c r="C22" s="28" t="s">
        <v>792</v>
      </c>
      <c r="D22" s="28" t="s">
        <v>346</v>
      </c>
      <c r="E22" s="28" t="s">
        <v>122</v>
      </c>
      <c r="F22" s="28" t="s">
        <v>117</v>
      </c>
      <c r="G22" s="28"/>
      <c r="H22" s="28"/>
      <c r="I22" s="28"/>
      <c r="J22" s="28"/>
      <c r="K22" s="28"/>
      <c r="L22" s="28"/>
      <c r="P22" s="28" t="s">
        <v>779</v>
      </c>
      <c r="Q22" s="28" t="s">
        <v>799</v>
      </c>
      <c r="R22" s="28" t="s">
        <v>121</v>
      </c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 t="s">
        <v>661</v>
      </c>
      <c r="AE22" s="28" t="s">
        <v>799</v>
      </c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 t="s">
        <v>661</v>
      </c>
      <c r="AR22" s="28" t="s">
        <v>799</v>
      </c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</row>
    <row r="23" spans="2:55" x14ac:dyDescent="0.15">
      <c r="C23" s="28" t="s">
        <v>347</v>
      </c>
      <c r="D23" s="28" t="s">
        <v>346</v>
      </c>
      <c r="E23" s="28"/>
      <c r="F23" s="28"/>
      <c r="G23" s="28"/>
      <c r="H23" s="28"/>
      <c r="I23" s="28"/>
      <c r="J23" s="28"/>
      <c r="K23" s="28"/>
      <c r="L23" s="28"/>
    </row>
    <row r="24" spans="2:55" x14ac:dyDescent="0.15">
      <c r="C24" s="28" t="s">
        <v>328</v>
      </c>
      <c r="D24" s="28" t="s">
        <v>232</v>
      </c>
      <c r="E24" s="28"/>
      <c r="F24" s="28"/>
      <c r="G24" s="28"/>
      <c r="H24" s="28"/>
      <c r="I24" s="28"/>
      <c r="J24" s="28"/>
      <c r="K24" s="28"/>
      <c r="L24" s="28"/>
    </row>
    <row r="25" spans="2:55" x14ac:dyDescent="0.15">
      <c r="C25" s="31" t="s">
        <v>816</v>
      </c>
      <c r="D25" s="31" t="s">
        <v>119</v>
      </c>
      <c r="E25" s="31" t="s">
        <v>120</v>
      </c>
      <c r="F25" s="31" t="s">
        <v>770</v>
      </c>
      <c r="G25" s="31" t="s">
        <v>361</v>
      </c>
      <c r="H25" s="31" t="s">
        <v>786</v>
      </c>
      <c r="I25" s="31"/>
      <c r="J25" s="31"/>
      <c r="K25" s="31"/>
      <c r="L25" s="31"/>
    </row>
    <row r="26" spans="2:55" x14ac:dyDescent="0.15">
      <c r="C26" s="31" t="s">
        <v>806</v>
      </c>
      <c r="D26" s="31" t="s">
        <v>776</v>
      </c>
      <c r="E26" s="31" t="s">
        <v>807</v>
      </c>
      <c r="F26" s="31" t="s">
        <v>808</v>
      </c>
      <c r="G26" s="31" t="s">
        <v>352</v>
      </c>
      <c r="H26" s="31" t="s">
        <v>809</v>
      </c>
      <c r="I26" s="31"/>
      <c r="J26" s="31"/>
      <c r="K26" s="31"/>
      <c r="L26" s="31"/>
    </row>
    <row r="30" spans="2:55" x14ac:dyDescent="0.15">
      <c r="C30" s="27" t="s">
        <v>787</v>
      </c>
    </row>
    <row r="47" spans="8:8" ht="13.5" x14ac:dyDescent="0.15">
      <c r="H47" s="20"/>
    </row>
    <row r="48" spans="8:8" ht="13.5" x14ac:dyDescent="0.15">
      <c r="H48" s="20"/>
    </row>
    <row r="49" spans="8:8" ht="13.5" x14ac:dyDescent="0.15">
      <c r="H49" s="20"/>
    </row>
    <row r="50" spans="8:8" ht="13.5" x14ac:dyDescent="0.15">
      <c r="H50" s="20"/>
    </row>
    <row r="51" spans="8:8" ht="13.5" x14ac:dyDescent="0.15">
      <c r="H51" s="20"/>
    </row>
    <row r="52" spans="8:8" ht="13.5" x14ac:dyDescent="0.15">
      <c r="H52" s="20"/>
    </row>
    <row r="53" spans="8:8" ht="13.5" x14ac:dyDescent="0.15">
      <c r="H53" s="20"/>
    </row>
    <row r="54" spans="8:8" ht="13.5" x14ac:dyDescent="0.15">
      <c r="H54" s="20"/>
    </row>
    <row r="55" spans="8:8" ht="13.5" x14ac:dyDescent="0.15">
      <c r="H55" s="20"/>
    </row>
    <row r="56" spans="8:8" ht="13.5" x14ac:dyDescent="0.15">
      <c r="H56" s="20"/>
    </row>
    <row r="57" spans="8:8" ht="13.5" x14ac:dyDescent="0.15">
      <c r="H57" s="20"/>
    </row>
    <row r="58" spans="8:8" ht="13.5" x14ac:dyDescent="0.15">
      <c r="H58" s="20"/>
    </row>
    <row r="59" spans="8:8" ht="13.5" x14ac:dyDescent="0.15">
      <c r="H59" s="20"/>
    </row>
    <row r="60" spans="8:8" ht="13.5" x14ac:dyDescent="0.15">
      <c r="H60" s="20"/>
    </row>
    <row r="61" spans="8:8" ht="13.5" x14ac:dyDescent="0.15">
      <c r="H61" s="20"/>
    </row>
    <row r="62" spans="8:8" ht="13.5" x14ac:dyDescent="0.15">
      <c r="H62" s="20"/>
    </row>
    <row r="63" spans="8:8" ht="13.5" x14ac:dyDescent="0.15">
      <c r="H63" s="20"/>
    </row>
    <row r="64" spans="8:8" ht="13.5" x14ac:dyDescent="0.15">
      <c r="H64" s="20"/>
    </row>
    <row r="65" spans="8:8" ht="13.5" x14ac:dyDescent="0.15">
      <c r="H65" s="20"/>
    </row>
    <row r="66" spans="8:8" ht="13.5" x14ac:dyDescent="0.15">
      <c r="H66" s="20"/>
    </row>
    <row r="67" spans="8:8" ht="13.5" x14ac:dyDescent="0.15">
      <c r="H67" s="20"/>
    </row>
    <row r="68" spans="8:8" ht="13.5" x14ac:dyDescent="0.15">
      <c r="H68" s="20"/>
    </row>
    <row r="69" spans="8:8" ht="13.5" x14ac:dyDescent="0.15">
      <c r="H69" s="20"/>
    </row>
    <row r="70" spans="8:8" ht="13.5" x14ac:dyDescent="0.15">
      <c r="H70" s="20"/>
    </row>
    <row r="71" spans="8:8" ht="13.5" x14ac:dyDescent="0.15">
      <c r="H71" s="20"/>
    </row>
    <row r="72" spans="8:8" ht="13.5" x14ac:dyDescent="0.15">
      <c r="H72" s="20"/>
    </row>
    <row r="73" spans="8:8" ht="13.5" x14ac:dyDescent="0.15">
      <c r="H73" s="20"/>
    </row>
    <row r="74" spans="8:8" ht="13.5" x14ac:dyDescent="0.15">
      <c r="H74" s="20"/>
    </row>
    <row r="75" spans="8:8" ht="13.5" x14ac:dyDescent="0.15">
      <c r="H75" s="20"/>
    </row>
    <row r="76" spans="8:8" ht="13.5" x14ac:dyDescent="0.15">
      <c r="H76" s="20"/>
    </row>
    <row r="77" spans="8:8" ht="13.5" x14ac:dyDescent="0.15">
      <c r="H77" s="20"/>
    </row>
    <row r="78" spans="8:8" ht="13.5" x14ac:dyDescent="0.15">
      <c r="H78" s="20"/>
    </row>
    <row r="79" spans="8:8" ht="13.5" x14ac:dyDescent="0.15">
      <c r="H79" s="20"/>
    </row>
    <row r="80" spans="8:8" ht="13.5" x14ac:dyDescent="0.15">
      <c r="H80" s="20"/>
    </row>
    <row r="81" spans="8:8" ht="13.5" x14ac:dyDescent="0.15">
      <c r="H81" s="20"/>
    </row>
    <row r="82" spans="8:8" ht="13.5" x14ac:dyDescent="0.15">
      <c r="H82" s="20"/>
    </row>
    <row r="83" spans="8:8" ht="13.5" x14ac:dyDescent="0.15">
      <c r="H83" s="20"/>
    </row>
    <row r="84" spans="8:8" ht="13.5" x14ac:dyDescent="0.15">
      <c r="H84" s="20"/>
    </row>
    <row r="85" spans="8:8" ht="13.5" x14ac:dyDescent="0.15">
      <c r="H85" s="20"/>
    </row>
    <row r="86" spans="8:8" ht="13.5" x14ac:dyDescent="0.15">
      <c r="H86" s="20"/>
    </row>
    <row r="87" spans="8:8" ht="13.5" x14ac:dyDescent="0.15">
      <c r="H87" s="20"/>
    </row>
    <row r="88" spans="8:8" ht="13.5" x14ac:dyDescent="0.15">
      <c r="H88" s="20"/>
    </row>
    <row r="89" spans="8:8" ht="13.5" x14ac:dyDescent="0.15">
      <c r="H89" s="20"/>
    </row>
    <row r="90" spans="8:8" ht="13.5" x14ac:dyDescent="0.15">
      <c r="H90" s="20"/>
    </row>
    <row r="91" spans="8:8" ht="13.5" x14ac:dyDescent="0.15">
      <c r="H91" s="20"/>
    </row>
    <row r="92" spans="8:8" ht="13.5" x14ac:dyDescent="0.15">
      <c r="H92" s="20"/>
    </row>
    <row r="93" spans="8:8" ht="13.5" x14ac:dyDescent="0.15">
      <c r="H93" s="20"/>
    </row>
    <row r="94" spans="8:8" ht="13.5" x14ac:dyDescent="0.15">
      <c r="H94" s="20"/>
    </row>
  </sheetData>
  <mergeCells count="4">
    <mergeCell ref="D3:L3"/>
    <mergeCell ref="AQ3:BC3"/>
    <mergeCell ref="AD3:AP3"/>
    <mergeCell ref="Q3:AC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2:AE362"/>
  <sheetViews>
    <sheetView workbookViewId="0">
      <selection activeCell="K31" sqref="K31"/>
    </sheetView>
  </sheetViews>
  <sheetFormatPr defaultRowHeight="11.25" x14ac:dyDescent="0.15"/>
  <cols>
    <col min="1" max="2" width="9" style="9"/>
    <col min="3" max="3" width="6" style="9" bestFit="1" customWidth="1"/>
    <col min="4" max="4" width="13.875" style="9" bestFit="1" customWidth="1"/>
    <col min="5" max="5" width="9.75" style="9" bestFit="1" customWidth="1"/>
    <col min="6" max="6" width="15.5" style="9" bestFit="1" customWidth="1"/>
    <col min="7" max="7" width="9" style="9" bestFit="1" customWidth="1"/>
    <col min="8" max="8" width="9" style="9"/>
    <col min="9" max="10" width="7.5" style="9" bestFit="1" customWidth="1"/>
    <col min="11" max="11" width="12.25" style="9" bestFit="1" customWidth="1"/>
    <col min="12" max="12" width="9" style="9"/>
    <col min="13" max="13" width="9.75" style="9" bestFit="1" customWidth="1"/>
    <col min="14" max="16384" width="9" style="9"/>
  </cols>
  <sheetData>
    <row r="2" spans="3:20" x14ac:dyDescent="0.15">
      <c r="T2" s="9" t="s">
        <v>711</v>
      </c>
    </row>
    <row r="3" spans="3:20" x14ac:dyDescent="0.15">
      <c r="T3" s="9" t="s">
        <v>723</v>
      </c>
    </row>
    <row r="5" spans="3:20" x14ac:dyDescent="0.15">
      <c r="C5" s="9" t="s">
        <v>707</v>
      </c>
      <c r="D5" s="9" t="s">
        <v>706</v>
      </c>
      <c r="E5" s="9" t="s">
        <v>705</v>
      </c>
    </row>
    <row r="6" spans="3:20" x14ac:dyDescent="0.15">
      <c r="C6" s="9">
        <v>90001</v>
      </c>
      <c r="D6" s="9" t="s">
        <v>704</v>
      </c>
      <c r="E6" s="9" t="s">
        <v>703</v>
      </c>
      <c r="F6" s="9" t="s">
        <v>702</v>
      </c>
      <c r="G6" s="9" t="s">
        <v>701</v>
      </c>
    </row>
    <row r="7" spans="3:20" x14ac:dyDescent="0.15">
      <c r="C7" s="9">
        <v>90002</v>
      </c>
      <c r="D7" s="9" t="s">
        <v>700</v>
      </c>
      <c r="E7" s="9" t="s">
        <v>699</v>
      </c>
      <c r="F7" s="9" t="s">
        <v>698</v>
      </c>
      <c r="G7" s="9" t="s">
        <v>184</v>
      </c>
    </row>
    <row r="8" spans="3:20" x14ac:dyDescent="0.15">
      <c r="C8" s="9">
        <v>90003</v>
      </c>
      <c r="D8" s="9" t="s">
        <v>697</v>
      </c>
      <c r="E8" s="9" t="s">
        <v>696</v>
      </c>
      <c r="F8" s="9" t="s">
        <v>695</v>
      </c>
      <c r="G8" s="9" t="s">
        <v>182</v>
      </c>
    </row>
    <row r="9" spans="3:20" x14ac:dyDescent="0.15">
      <c r="C9" s="9">
        <v>90004</v>
      </c>
      <c r="D9" s="9" t="s">
        <v>694</v>
      </c>
      <c r="E9" s="9" t="s">
        <v>693</v>
      </c>
      <c r="F9" s="9" t="s">
        <v>692</v>
      </c>
      <c r="G9" s="9" t="s">
        <v>180</v>
      </c>
    </row>
    <row r="10" spans="3:20" x14ac:dyDescent="0.15">
      <c r="C10" s="9">
        <v>90005</v>
      </c>
      <c r="D10" s="9" t="s">
        <v>691</v>
      </c>
      <c r="E10" s="9" t="s">
        <v>690</v>
      </c>
      <c r="F10" s="9" t="s">
        <v>689</v>
      </c>
      <c r="G10" s="9" t="s">
        <v>688</v>
      </c>
      <c r="M10" s="9" t="s">
        <v>725</v>
      </c>
    </row>
    <row r="11" spans="3:20" x14ac:dyDescent="0.15">
      <c r="C11" s="9">
        <v>90007</v>
      </c>
      <c r="D11" s="9" t="s">
        <v>687</v>
      </c>
      <c r="M11" s="9" t="s">
        <v>712</v>
      </c>
    </row>
    <row r="12" spans="3:20" x14ac:dyDescent="0.15">
      <c r="C12" s="9">
        <v>90008</v>
      </c>
      <c r="D12" s="9" t="s">
        <v>686</v>
      </c>
      <c r="M12" s="9" t="s">
        <v>713</v>
      </c>
    </row>
    <row r="13" spans="3:20" x14ac:dyDescent="0.15">
      <c r="C13" s="9">
        <v>90009</v>
      </c>
      <c r="D13" s="9" t="s">
        <v>685</v>
      </c>
      <c r="M13" s="9" t="s">
        <v>714</v>
      </c>
    </row>
    <row r="14" spans="3:20" x14ac:dyDescent="0.15">
      <c r="C14" s="9">
        <v>90010</v>
      </c>
      <c r="D14" s="9" t="s">
        <v>684</v>
      </c>
      <c r="M14" s="9" t="s">
        <v>285</v>
      </c>
    </row>
    <row r="15" spans="3:20" x14ac:dyDescent="0.15">
      <c r="M15" s="9" t="s">
        <v>715</v>
      </c>
    </row>
    <row r="16" spans="3:20" x14ac:dyDescent="0.15">
      <c r="C16" s="9">
        <v>90012</v>
      </c>
      <c r="D16" s="9" t="s">
        <v>683</v>
      </c>
      <c r="E16" s="9" t="s">
        <v>682</v>
      </c>
      <c r="M16" s="9" t="s">
        <v>286</v>
      </c>
    </row>
    <row r="17" spans="3:20" x14ac:dyDescent="0.15">
      <c r="C17" s="9">
        <v>90020</v>
      </c>
      <c r="D17" s="9" t="s">
        <v>681</v>
      </c>
      <c r="E17" s="9" t="s">
        <v>680</v>
      </c>
      <c r="F17" s="9" t="s">
        <v>679</v>
      </c>
      <c r="G17" s="9" t="s">
        <v>678</v>
      </c>
      <c r="M17" s="9" t="s">
        <v>716</v>
      </c>
    </row>
    <row r="18" spans="3:20" x14ac:dyDescent="0.15">
      <c r="C18" s="9">
        <v>90021</v>
      </c>
      <c r="D18" s="9" t="s">
        <v>677</v>
      </c>
      <c r="M18" s="9" t="s">
        <v>718</v>
      </c>
    </row>
    <row r="19" spans="3:20" x14ac:dyDescent="0.15">
      <c r="C19" s="9">
        <v>90101</v>
      </c>
      <c r="D19" s="9" t="s">
        <v>676</v>
      </c>
      <c r="E19" s="9" t="s">
        <v>675</v>
      </c>
      <c r="M19" s="9" t="s">
        <v>660</v>
      </c>
    </row>
    <row r="20" spans="3:20" x14ac:dyDescent="0.15">
      <c r="C20" s="9">
        <v>90103</v>
      </c>
      <c r="D20" s="9" t="s">
        <v>674</v>
      </c>
      <c r="M20" s="9" t="s">
        <v>661</v>
      </c>
    </row>
    <row r="21" spans="3:20" x14ac:dyDescent="0.15">
      <c r="C21" s="9">
        <v>90300</v>
      </c>
      <c r="D21" s="9" t="s">
        <v>337</v>
      </c>
      <c r="E21" s="9" t="s">
        <v>671</v>
      </c>
      <c r="F21" s="9" t="s">
        <v>673</v>
      </c>
      <c r="M21" s="9" t="s">
        <v>724</v>
      </c>
    </row>
    <row r="22" spans="3:20" x14ac:dyDescent="0.15">
      <c r="C22" s="9">
        <v>90301</v>
      </c>
      <c r="D22" s="9" t="s">
        <v>672</v>
      </c>
      <c r="E22" s="9" t="s">
        <v>671</v>
      </c>
      <c r="M22" s="9" t="s">
        <v>720</v>
      </c>
    </row>
    <row r="23" spans="3:20" x14ac:dyDescent="0.15">
      <c r="C23" s="9">
        <v>90302</v>
      </c>
      <c r="D23" s="9" t="s">
        <v>345</v>
      </c>
      <c r="E23" s="9" t="s">
        <v>671</v>
      </c>
      <c r="F23" s="9" t="s">
        <v>670</v>
      </c>
      <c r="M23" s="9" t="s">
        <v>721</v>
      </c>
    </row>
    <row r="24" spans="3:20" x14ac:dyDescent="0.15">
      <c r="C24" s="9">
        <v>90303</v>
      </c>
      <c r="D24" s="9" t="s">
        <v>669</v>
      </c>
      <c r="E24" s="9" t="s">
        <v>668</v>
      </c>
      <c r="M24" s="9" t="s">
        <v>717</v>
      </c>
    </row>
    <row r="25" spans="3:20" x14ac:dyDescent="0.15">
      <c r="C25" s="9">
        <v>90304</v>
      </c>
      <c r="D25" s="9" t="s">
        <v>667</v>
      </c>
      <c r="E25" s="9" t="s">
        <v>666</v>
      </c>
      <c r="M25" s="9" t="s">
        <v>722</v>
      </c>
    </row>
    <row r="26" spans="3:20" x14ac:dyDescent="0.15">
      <c r="M26" s="9" t="s">
        <v>719</v>
      </c>
    </row>
    <row r="27" spans="3:20" x14ac:dyDescent="0.15">
      <c r="C27" s="9">
        <v>90501</v>
      </c>
      <c r="D27" s="9" t="s">
        <v>665</v>
      </c>
      <c r="E27" s="9" t="s">
        <v>664</v>
      </c>
      <c r="F27" s="9" t="s">
        <v>601</v>
      </c>
      <c r="G27" s="9" t="s">
        <v>433</v>
      </c>
      <c r="H27" s="9" t="s">
        <v>663</v>
      </c>
    </row>
    <row r="28" spans="3:20" x14ac:dyDescent="0.15">
      <c r="C28" s="9">
        <v>90502</v>
      </c>
      <c r="D28" s="9" t="s">
        <v>316</v>
      </c>
      <c r="E28" s="9" t="s">
        <v>662</v>
      </c>
      <c r="F28" s="9" t="s">
        <v>661</v>
      </c>
      <c r="G28" s="9" t="s">
        <v>660</v>
      </c>
      <c r="H28" s="9" t="s">
        <v>286</v>
      </c>
      <c r="I28" s="9" t="s">
        <v>285</v>
      </c>
      <c r="J28" s="9" t="s">
        <v>659</v>
      </c>
    </row>
    <row r="29" spans="3:20" ht="13.5" x14ac:dyDescent="0.15">
      <c r="C29" s="9">
        <v>90503</v>
      </c>
      <c r="D29" s="9" t="s">
        <v>352</v>
      </c>
      <c r="E29" s="9" t="s">
        <v>658</v>
      </c>
      <c r="F29" s="9" t="s">
        <v>657</v>
      </c>
      <c r="G29" s="9" t="s">
        <v>656</v>
      </c>
      <c r="T29"/>
    </row>
    <row r="30" spans="3:20" ht="13.5" x14ac:dyDescent="0.15">
      <c r="C30" s="9">
        <v>90504</v>
      </c>
      <c r="D30" s="9" t="s">
        <v>655</v>
      </c>
      <c r="T30"/>
    </row>
    <row r="31" spans="3:20" ht="13.5" x14ac:dyDescent="0.15">
      <c r="T31"/>
    </row>
    <row r="32" spans="3:20" ht="13.5" x14ac:dyDescent="0.15">
      <c r="C32" s="9">
        <v>20031</v>
      </c>
      <c r="D32" s="9" t="s">
        <v>654</v>
      </c>
      <c r="E32" s="9" t="s">
        <v>640</v>
      </c>
      <c r="T32"/>
    </row>
    <row r="33" spans="3:31" ht="13.5" x14ac:dyDescent="0.15">
      <c r="C33" s="9">
        <v>20032</v>
      </c>
      <c r="D33" s="9" t="s">
        <v>653</v>
      </c>
      <c r="E33" s="9" t="s">
        <v>640</v>
      </c>
      <c r="T33"/>
    </row>
    <row r="34" spans="3:31" ht="13.5" x14ac:dyDescent="0.15">
      <c r="C34" s="9">
        <v>20033</v>
      </c>
      <c r="D34" s="9" t="s">
        <v>652</v>
      </c>
      <c r="E34" s="9" t="s">
        <v>640</v>
      </c>
      <c r="T34"/>
    </row>
    <row r="35" spans="3:31" ht="13.5" x14ac:dyDescent="0.15">
      <c r="C35" s="9">
        <v>20034</v>
      </c>
      <c r="D35" s="9" t="s">
        <v>651</v>
      </c>
      <c r="E35" s="9" t="s">
        <v>638</v>
      </c>
      <c r="T35"/>
    </row>
    <row r="36" spans="3:31" ht="13.5" x14ac:dyDescent="0.15">
      <c r="C36" s="9">
        <v>20035</v>
      </c>
      <c r="D36" s="9" t="s">
        <v>650</v>
      </c>
      <c r="E36" s="9" t="s">
        <v>640</v>
      </c>
      <c r="T36"/>
    </row>
    <row r="37" spans="3:31" ht="13.5" x14ac:dyDescent="0.15">
      <c r="C37" s="9">
        <v>20036</v>
      </c>
      <c r="D37" s="9" t="s">
        <v>649</v>
      </c>
      <c r="E37" s="9" t="s">
        <v>640</v>
      </c>
      <c r="T37"/>
    </row>
    <row r="38" spans="3:31" ht="13.5" x14ac:dyDescent="0.15">
      <c r="C38" s="9">
        <v>20037</v>
      </c>
      <c r="D38" s="9" t="s">
        <v>648</v>
      </c>
      <c r="E38" s="9" t="s">
        <v>640</v>
      </c>
      <c r="T38"/>
    </row>
    <row r="39" spans="3:31" ht="13.5" x14ac:dyDescent="0.15">
      <c r="C39" s="9">
        <v>20038</v>
      </c>
      <c r="D39" s="9" t="s">
        <v>647</v>
      </c>
      <c r="E39" s="9" t="s">
        <v>640</v>
      </c>
      <c r="T39"/>
    </row>
    <row r="40" spans="3:31" ht="13.5" x14ac:dyDescent="0.15">
      <c r="C40" s="9">
        <v>20039</v>
      </c>
      <c r="D40" s="9" t="s">
        <v>646</v>
      </c>
      <c r="E40" s="9" t="s">
        <v>640</v>
      </c>
      <c r="T40"/>
    </row>
    <row r="41" spans="3:31" ht="13.5" x14ac:dyDescent="0.15">
      <c r="C41" s="9">
        <v>20040</v>
      </c>
      <c r="D41" s="9" t="s">
        <v>645</v>
      </c>
      <c r="E41" s="9" t="s">
        <v>640</v>
      </c>
      <c r="T41"/>
    </row>
    <row r="42" spans="3:31" ht="13.5" x14ac:dyDescent="0.15">
      <c r="C42" s="9">
        <v>20041</v>
      </c>
      <c r="D42" s="9" t="s">
        <v>644</v>
      </c>
      <c r="E42" s="9" t="s">
        <v>640</v>
      </c>
      <c r="T42"/>
    </row>
    <row r="43" spans="3:31" x14ac:dyDescent="0.15">
      <c r="C43" s="9">
        <v>20042</v>
      </c>
      <c r="D43" s="9" t="s">
        <v>643</v>
      </c>
      <c r="E43" s="9" t="s">
        <v>640</v>
      </c>
    </row>
    <row r="44" spans="3:31" ht="13.5" x14ac:dyDescent="0.15">
      <c r="C44" s="9">
        <v>20043</v>
      </c>
      <c r="D44" s="9" t="s">
        <v>642</v>
      </c>
      <c r="E44" s="9" t="s">
        <v>640</v>
      </c>
      <c r="T44"/>
      <c r="U44"/>
      <c r="V44"/>
      <c r="W44"/>
      <c r="X44"/>
      <c r="Y44"/>
      <c r="Z44"/>
      <c r="AA44"/>
      <c r="AB44"/>
      <c r="AC44"/>
      <c r="AD44"/>
      <c r="AE44"/>
    </row>
    <row r="45" spans="3:31" ht="13.5" x14ac:dyDescent="0.15">
      <c r="C45" s="9">
        <v>20044</v>
      </c>
      <c r="D45" s="9" t="s">
        <v>641</v>
      </c>
      <c r="E45" s="9" t="s">
        <v>640</v>
      </c>
      <c r="T45"/>
      <c r="U45"/>
      <c r="V45"/>
      <c r="W45"/>
      <c r="X45"/>
      <c r="Y45"/>
      <c r="Z45"/>
      <c r="AA45"/>
      <c r="AB45"/>
      <c r="AC45"/>
      <c r="AD45"/>
      <c r="AE45"/>
    </row>
    <row r="46" spans="3:31" ht="13.5" x14ac:dyDescent="0.15">
      <c r="C46" s="9">
        <v>20045</v>
      </c>
      <c r="D46" s="9" t="s">
        <v>639</v>
      </c>
      <c r="E46" s="9" t="s">
        <v>638</v>
      </c>
      <c r="T46"/>
      <c r="U46"/>
      <c r="V46"/>
      <c r="W46"/>
      <c r="X46"/>
      <c r="Y46"/>
      <c r="Z46"/>
      <c r="AA46"/>
      <c r="AB46"/>
      <c r="AC46"/>
      <c r="AD46"/>
      <c r="AE46"/>
    </row>
    <row r="47" spans="3:31" ht="13.5" x14ac:dyDescent="0.15">
      <c r="T47"/>
      <c r="U47"/>
      <c r="V47"/>
      <c r="W47"/>
      <c r="X47"/>
      <c r="Y47"/>
      <c r="Z47"/>
      <c r="AA47"/>
      <c r="AB47"/>
      <c r="AC47"/>
      <c r="AD47"/>
      <c r="AE47"/>
    </row>
    <row r="48" spans="3:31" ht="13.5" x14ac:dyDescent="0.15">
      <c r="C48" s="9">
        <v>20050</v>
      </c>
      <c r="D48" s="9" t="s">
        <v>637</v>
      </c>
      <c r="E48" s="9" t="s">
        <v>580</v>
      </c>
      <c r="F48" s="9" t="s">
        <v>578</v>
      </c>
      <c r="G48" s="9" t="s">
        <v>601</v>
      </c>
      <c r="H48" s="9" t="s">
        <v>416</v>
      </c>
      <c r="T48"/>
      <c r="U48"/>
      <c r="V48"/>
      <c r="W48"/>
      <c r="X48"/>
      <c r="Y48"/>
      <c r="Z48"/>
      <c r="AA48"/>
      <c r="AB48"/>
      <c r="AC48"/>
      <c r="AD48"/>
      <c r="AE48"/>
    </row>
    <row r="49" spans="3:31" ht="13.5" x14ac:dyDescent="0.15">
      <c r="C49" s="9">
        <v>20051</v>
      </c>
      <c r="D49" s="9" t="s">
        <v>636</v>
      </c>
      <c r="E49" s="9" t="s">
        <v>580</v>
      </c>
      <c r="F49" s="9" t="s">
        <v>578</v>
      </c>
      <c r="G49" s="9" t="s">
        <v>601</v>
      </c>
      <c r="H49" s="9" t="s">
        <v>416</v>
      </c>
      <c r="T49"/>
      <c r="U49"/>
      <c r="V49"/>
      <c r="W49"/>
      <c r="X49"/>
      <c r="Y49"/>
      <c r="Z49"/>
      <c r="AA49"/>
      <c r="AB49"/>
      <c r="AC49"/>
      <c r="AD49"/>
      <c r="AE49"/>
    </row>
    <row r="50" spans="3:31" ht="13.5" x14ac:dyDescent="0.15">
      <c r="C50" s="9">
        <v>20052</v>
      </c>
      <c r="D50" s="9" t="s">
        <v>635</v>
      </c>
      <c r="E50" s="9" t="s">
        <v>580</v>
      </c>
      <c r="F50" s="9" t="s">
        <v>578</v>
      </c>
      <c r="G50" s="9" t="s">
        <v>601</v>
      </c>
      <c r="H50" s="9" t="s">
        <v>416</v>
      </c>
      <c r="T50"/>
      <c r="U50"/>
      <c r="V50"/>
      <c r="W50"/>
      <c r="X50"/>
      <c r="Y50"/>
      <c r="Z50"/>
      <c r="AA50"/>
      <c r="AB50"/>
      <c r="AC50"/>
      <c r="AD50"/>
      <c r="AE50"/>
    </row>
    <row r="51" spans="3:31" ht="13.5" x14ac:dyDescent="0.15">
      <c r="C51" s="9">
        <v>20053</v>
      </c>
      <c r="D51" s="9" t="s">
        <v>634</v>
      </c>
      <c r="E51" s="9" t="s">
        <v>580</v>
      </c>
      <c r="F51" s="9" t="s">
        <v>578</v>
      </c>
      <c r="G51" s="9" t="s">
        <v>601</v>
      </c>
      <c r="H51" s="9" t="s">
        <v>416</v>
      </c>
      <c r="T51"/>
      <c r="U51"/>
      <c r="V51"/>
      <c r="W51"/>
      <c r="X51"/>
      <c r="Y51"/>
      <c r="Z51"/>
      <c r="AA51"/>
      <c r="AB51"/>
      <c r="AC51"/>
      <c r="AD51"/>
      <c r="AE51"/>
    </row>
    <row r="52" spans="3:31" ht="13.5" x14ac:dyDescent="0.15">
      <c r="C52" s="9">
        <v>20054</v>
      </c>
      <c r="D52" s="9" t="s">
        <v>633</v>
      </c>
      <c r="E52" s="9" t="s">
        <v>580</v>
      </c>
      <c r="F52" s="9" t="s">
        <v>609</v>
      </c>
      <c r="G52" s="9" t="s">
        <v>601</v>
      </c>
      <c r="H52" s="9" t="s">
        <v>416</v>
      </c>
      <c r="T52"/>
      <c r="U52"/>
      <c r="V52"/>
      <c r="W52"/>
      <c r="X52"/>
      <c r="Y52"/>
      <c r="Z52"/>
      <c r="AA52"/>
      <c r="AB52"/>
      <c r="AC52"/>
      <c r="AD52"/>
      <c r="AE52"/>
    </row>
    <row r="53" spans="3:31" ht="13.5" x14ac:dyDescent="0.15">
      <c r="C53" s="9">
        <v>20055</v>
      </c>
      <c r="D53" s="9" t="s">
        <v>632</v>
      </c>
      <c r="E53" s="9" t="s">
        <v>580</v>
      </c>
      <c r="F53" s="9" t="s">
        <v>578</v>
      </c>
      <c r="G53" s="9" t="s">
        <v>601</v>
      </c>
      <c r="H53" s="9" t="s">
        <v>416</v>
      </c>
      <c r="T53"/>
      <c r="U53"/>
      <c r="V53"/>
      <c r="W53"/>
      <c r="X53"/>
      <c r="Y53"/>
      <c r="Z53"/>
      <c r="AA53"/>
      <c r="AB53"/>
      <c r="AC53"/>
      <c r="AD53"/>
      <c r="AE53"/>
    </row>
    <row r="54" spans="3:31" ht="13.5" x14ac:dyDescent="0.15">
      <c r="C54" s="9">
        <v>20056</v>
      </c>
      <c r="D54" s="9" t="s">
        <v>631</v>
      </c>
      <c r="E54" s="9" t="s">
        <v>583</v>
      </c>
      <c r="F54" s="9" t="s">
        <v>578</v>
      </c>
      <c r="G54" s="9" t="s">
        <v>601</v>
      </c>
      <c r="H54" s="9" t="s">
        <v>416</v>
      </c>
      <c r="T54"/>
      <c r="U54"/>
      <c r="V54"/>
      <c r="W54"/>
      <c r="X54"/>
      <c r="Y54"/>
      <c r="Z54"/>
      <c r="AA54"/>
      <c r="AB54"/>
      <c r="AC54"/>
      <c r="AD54"/>
      <c r="AE54"/>
    </row>
    <row r="55" spans="3:31" ht="13.5" x14ac:dyDescent="0.15">
      <c r="C55" s="9">
        <v>20057</v>
      </c>
      <c r="D55" s="9" t="s">
        <v>630</v>
      </c>
      <c r="E55" s="9" t="s">
        <v>580</v>
      </c>
      <c r="F55" s="9" t="s">
        <v>578</v>
      </c>
      <c r="G55" s="9" t="s">
        <v>601</v>
      </c>
      <c r="H55" s="9" t="s">
        <v>416</v>
      </c>
      <c r="T55"/>
      <c r="U55"/>
      <c r="V55"/>
      <c r="W55"/>
      <c r="X55"/>
      <c r="Y55"/>
      <c r="Z55"/>
      <c r="AA55"/>
      <c r="AB55"/>
      <c r="AC55"/>
      <c r="AD55"/>
      <c r="AE55"/>
    </row>
    <row r="56" spans="3:31" ht="13.5" x14ac:dyDescent="0.15">
      <c r="C56" s="9">
        <v>20058</v>
      </c>
      <c r="D56" s="9" t="s">
        <v>629</v>
      </c>
      <c r="E56" s="9" t="s">
        <v>580</v>
      </c>
      <c r="F56" s="9" t="s">
        <v>578</v>
      </c>
      <c r="G56" s="9" t="s">
        <v>601</v>
      </c>
      <c r="H56" s="9" t="s">
        <v>416</v>
      </c>
      <c r="T56"/>
      <c r="U56"/>
      <c r="V56"/>
      <c r="W56"/>
      <c r="X56"/>
      <c r="Y56"/>
      <c r="Z56"/>
      <c r="AA56"/>
      <c r="AB56"/>
      <c r="AC56"/>
      <c r="AD56"/>
      <c r="AE56"/>
    </row>
    <row r="57" spans="3:31" ht="13.5" x14ac:dyDescent="0.15">
      <c r="C57" s="9">
        <v>20059</v>
      </c>
      <c r="D57" s="9" t="s">
        <v>628</v>
      </c>
      <c r="E57" s="9" t="s">
        <v>580</v>
      </c>
      <c r="F57" s="9" t="s">
        <v>578</v>
      </c>
      <c r="G57" s="9" t="s">
        <v>601</v>
      </c>
      <c r="H57" s="9" t="s">
        <v>416</v>
      </c>
      <c r="T57"/>
      <c r="U57"/>
      <c r="V57"/>
      <c r="W57"/>
      <c r="X57"/>
      <c r="Y57"/>
      <c r="Z57"/>
      <c r="AA57"/>
      <c r="AB57"/>
      <c r="AC57"/>
      <c r="AD57"/>
      <c r="AE57"/>
    </row>
    <row r="58" spans="3:31" ht="13.5" x14ac:dyDescent="0.15">
      <c r="C58" s="9">
        <v>20060</v>
      </c>
      <c r="D58" s="9" t="s">
        <v>627</v>
      </c>
      <c r="E58" s="9" t="s">
        <v>580</v>
      </c>
      <c r="F58" s="9" t="s">
        <v>578</v>
      </c>
      <c r="G58" s="9" t="s">
        <v>601</v>
      </c>
      <c r="H58" s="9" t="s">
        <v>416</v>
      </c>
      <c r="T58"/>
      <c r="U58"/>
      <c r="V58"/>
      <c r="W58"/>
      <c r="X58"/>
      <c r="Y58"/>
      <c r="Z58"/>
      <c r="AA58"/>
      <c r="AB58"/>
      <c r="AC58"/>
      <c r="AD58"/>
      <c r="AE58"/>
    </row>
    <row r="59" spans="3:31" ht="13.5" x14ac:dyDescent="0.15">
      <c r="C59" s="9">
        <v>20061</v>
      </c>
      <c r="D59" s="9" t="s">
        <v>626</v>
      </c>
      <c r="E59" s="9" t="s">
        <v>580</v>
      </c>
      <c r="F59" s="9" t="s">
        <v>578</v>
      </c>
      <c r="G59" s="9" t="s">
        <v>601</v>
      </c>
      <c r="H59" s="9" t="s">
        <v>599</v>
      </c>
      <c r="T59"/>
      <c r="U59"/>
      <c r="V59"/>
      <c r="W59"/>
      <c r="X59"/>
      <c r="Y59"/>
      <c r="Z59"/>
      <c r="AA59"/>
      <c r="AB59"/>
      <c r="AC59"/>
      <c r="AD59"/>
      <c r="AE59"/>
    </row>
    <row r="60" spans="3:31" ht="13.5" x14ac:dyDescent="0.15">
      <c r="C60" s="9">
        <v>20062</v>
      </c>
      <c r="D60" s="9" t="s">
        <v>625</v>
      </c>
      <c r="E60" s="9" t="s">
        <v>580</v>
      </c>
      <c r="F60" s="9" t="s">
        <v>578</v>
      </c>
      <c r="G60" s="9" t="s">
        <v>601</v>
      </c>
      <c r="H60" s="9" t="s">
        <v>416</v>
      </c>
      <c r="T60"/>
      <c r="U60"/>
      <c r="V60"/>
      <c r="W60"/>
      <c r="X60"/>
      <c r="Y60"/>
      <c r="Z60"/>
      <c r="AA60"/>
      <c r="AB60"/>
      <c r="AC60"/>
      <c r="AD60"/>
      <c r="AE60"/>
    </row>
    <row r="61" spans="3:31" ht="13.5" x14ac:dyDescent="0.15">
      <c r="C61" s="9">
        <v>20063</v>
      </c>
      <c r="D61" s="9" t="s">
        <v>624</v>
      </c>
      <c r="E61" s="9" t="s">
        <v>580</v>
      </c>
      <c r="F61" s="9" t="s">
        <v>578</v>
      </c>
      <c r="G61" s="9" t="s">
        <v>601</v>
      </c>
      <c r="H61" s="9" t="s">
        <v>416</v>
      </c>
      <c r="T61"/>
      <c r="U61"/>
      <c r="V61"/>
      <c r="W61"/>
      <c r="X61"/>
      <c r="Y61"/>
      <c r="Z61"/>
      <c r="AA61"/>
      <c r="AB61"/>
      <c r="AC61"/>
      <c r="AD61"/>
      <c r="AE61"/>
    </row>
    <row r="62" spans="3:31" ht="13.5" x14ac:dyDescent="0.15">
      <c r="C62" s="9">
        <v>20064</v>
      </c>
      <c r="D62" s="9" t="s">
        <v>623</v>
      </c>
      <c r="E62" s="9" t="s">
        <v>580</v>
      </c>
      <c r="F62" s="9" t="s">
        <v>578</v>
      </c>
      <c r="G62" s="9" t="s">
        <v>601</v>
      </c>
      <c r="H62" s="9" t="s">
        <v>416</v>
      </c>
      <c r="T62"/>
      <c r="U62"/>
      <c r="V62"/>
      <c r="W62"/>
      <c r="X62"/>
      <c r="Y62"/>
      <c r="Z62"/>
      <c r="AA62"/>
      <c r="AB62"/>
      <c r="AC62"/>
      <c r="AD62"/>
      <c r="AE62"/>
    </row>
    <row r="63" spans="3:31" ht="13.5" x14ac:dyDescent="0.15">
      <c r="C63" s="9">
        <v>20065</v>
      </c>
      <c r="D63" s="9" t="s">
        <v>622</v>
      </c>
      <c r="E63" s="9" t="s">
        <v>580</v>
      </c>
      <c r="F63" s="9" t="s">
        <v>609</v>
      </c>
      <c r="G63" s="9" t="s">
        <v>601</v>
      </c>
      <c r="H63" s="9" t="s">
        <v>416</v>
      </c>
      <c r="T63"/>
      <c r="U63"/>
      <c r="V63"/>
      <c r="W63"/>
      <c r="X63"/>
      <c r="Y63"/>
      <c r="Z63"/>
      <c r="AA63"/>
      <c r="AB63"/>
      <c r="AC63"/>
      <c r="AD63"/>
      <c r="AE63"/>
    </row>
    <row r="64" spans="3:31" ht="13.5" x14ac:dyDescent="0.15">
      <c r="C64" s="9">
        <v>20066</v>
      </c>
      <c r="D64" s="9" t="s">
        <v>621</v>
      </c>
      <c r="E64" s="9" t="s">
        <v>580</v>
      </c>
      <c r="F64" s="9" t="s">
        <v>578</v>
      </c>
      <c r="G64" s="9" t="s">
        <v>601</v>
      </c>
      <c r="H64" s="9" t="s">
        <v>416</v>
      </c>
      <c r="T64"/>
      <c r="U64"/>
      <c r="V64"/>
      <c r="W64"/>
      <c r="X64"/>
      <c r="Y64"/>
      <c r="Z64"/>
      <c r="AA64"/>
      <c r="AB64"/>
      <c r="AC64"/>
      <c r="AD64"/>
      <c r="AE64"/>
    </row>
    <row r="65" spans="3:31" ht="13.5" x14ac:dyDescent="0.15">
      <c r="C65" s="9">
        <v>20067</v>
      </c>
      <c r="D65" s="9" t="s">
        <v>620</v>
      </c>
      <c r="E65" s="9" t="s">
        <v>580</v>
      </c>
      <c r="F65" s="9" t="s">
        <v>578</v>
      </c>
      <c r="G65" s="9" t="s">
        <v>601</v>
      </c>
      <c r="H65" s="9" t="s">
        <v>416</v>
      </c>
      <c r="T65"/>
      <c r="U65"/>
      <c r="V65"/>
      <c r="W65"/>
      <c r="X65"/>
      <c r="Y65"/>
      <c r="Z65"/>
      <c r="AA65"/>
      <c r="AB65"/>
      <c r="AC65"/>
      <c r="AD65"/>
      <c r="AE65"/>
    </row>
    <row r="66" spans="3:31" ht="13.5" x14ac:dyDescent="0.15">
      <c r="C66" s="9">
        <v>20068</v>
      </c>
      <c r="D66" s="9" t="s">
        <v>619</v>
      </c>
      <c r="E66" s="9" t="s">
        <v>580</v>
      </c>
      <c r="F66" s="9" t="s">
        <v>578</v>
      </c>
      <c r="G66" s="9" t="s">
        <v>601</v>
      </c>
      <c r="H66" s="9" t="s">
        <v>599</v>
      </c>
      <c r="T66"/>
      <c r="U66"/>
      <c r="V66"/>
      <c r="W66"/>
      <c r="X66"/>
      <c r="Y66"/>
      <c r="Z66"/>
      <c r="AA66"/>
      <c r="AB66"/>
      <c r="AC66"/>
      <c r="AD66"/>
      <c r="AE66"/>
    </row>
    <row r="67" spans="3:31" ht="13.5" x14ac:dyDescent="0.15">
      <c r="C67" s="9">
        <v>20069</v>
      </c>
      <c r="D67" s="9" t="s">
        <v>618</v>
      </c>
      <c r="E67" s="9" t="s">
        <v>580</v>
      </c>
      <c r="F67" s="9" t="s">
        <v>578</v>
      </c>
      <c r="G67" s="9" t="s">
        <v>601</v>
      </c>
      <c r="H67" s="9" t="s">
        <v>416</v>
      </c>
      <c r="T67"/>
      <c r="U67"/>
      <c r="V67"/>
      <c r="W67"/>
      <c r="X67"/>
      <c r="Y67"/>
      <c r="Z67"/>
      <c r="AA67"/>
      <c r="AB67"/>
      <c r="AC67"/>
      <c r="AD67"/>
      <c r="AE67"/>
    </row>
    <row r="68" spans="3:31" ht="13.5" x14ac:dyDescent="0.15">
      <c r="C68" s="9">
        <v>20070</v>
      </c>
      <c r="D68" s="9" t="s">
        <v>617</v>
      </c>
      <c r="E68" s="9" t="s">
        <v>580</v>
      </c>
      <c r="F68" s="9" t="s">
        <v>578</v>
      </c>
      <c r="G68" s="9" t="s">
        <v>601</v>
      </c>
      <c r="H68" s="9" t="s">
        <v>416</v>
      </c>
      <c r="T68"/>
      <c r="U68"/>
      <c r="V68"/>
      <c r="W68"/>
      <c r="X68"/>
      <c r="Y68"/>
      <c r="Z68"/>
      <c r="AA68"/>
      <c r="AB68"/>
      <c r="AC68"/>
      <c r="AD68"/>
      <c r="AE68"/>
    </row>
    <row r="69" spans="3:31" ht="13.5" x14ac:dyDescent="0.15">
      <c r="C69" s="9">
        <v>20071</v>
      </c>
      <c r="D69" s="9" t="s">
        <v>616</v>
      </c>
      <c r="E69" s="9" t="s">
        <v>580</v>
      </c>
      <c r="F69" s="9" t="s">
        <v>578</v>
      </c>
      <c r="G69" s="9" t="s">
        <v>601</v>
      </c>
      <c r="H69" s="9" t="s">
        <v>599</v>
      </c>
      <c r="T69"/>
      <c r="U69"/>
      <c r="V69"/>
      <c r="W69"/>
      <c r="X69"/>
      <c r="Y69"/>
      <c r="Z69"/>
      <c r="AA69"/>
      <c r="AB69"/>
      <c r="AC69"/>
      <c r="AD69"/>
      <c r="AE69"/>
    </row>
    <row r="70" spans="3:31" ht="13.5" x14ac:dyDescent="0.15">
      <c r="C70" s="9">
        <v>20072</v>
      </c>
      <c r="D70" s="9" t="s">
        <v>615</v>
      </c>
      <c r="E70" s="9" t="s">
        <v>580</v>
      </c>
      <c r="F70" s="9" t="s">
        <v>578</v>
      </c>
      <c r="G70" s="9" t="s">
        <v>601</v>
      </c>
      <c r="H70" s="9" t="s">
        <v>416</v>
      </c>
      <c r="T70"/>
      <c r="U70"/>
      <c r="V70"/>
      <c r="W70"/>
      <c r="X70"/>
      <c r="Y70"/>
      <c r="Z70"/>
      <c r="AA70"/>
      <c r="AB70"/>
      <c r="AC70"/>
      <c r="AD70"/>
      <c r="AE70"/>
    </row>
    <row r="71" spans="3:31" ht="13.5" x14ac:dyDescent="0.15">
      <c r="C71" s="9">
        <v>20073</v>
      </c>
      <c r="D71" s="9" t="s">
        <v>614</v>
      </c>
      <c r="E71" s="9" t="s">
        <v>580</v>
      </c>
      <c r="F71" s="9" t="s">
        <v>578</v>
      </c>
      <c r="G71" s="9" t="s">
        <v>601</v>
      </c>
      <c r="H71" s="9" t="s">
        <v>416</v>
      </c>
      <c r="T71"/>
      <c r="U71"/>
      <c r="V71"/>
      <c r="W71"/>
      <c r="X71"/>
      <c r="Y71"/>
      <c r="Z71"/>
      <c r="AA71"/>
      <c r="AB71"/>
      <c r="AC71"/>
      <c r="AD71"/>
      <c r="AE71"/>
    </row>
    <row r="72" spans="3:31" ht="13.5" x14ac:dyDescent="0.15">
      <c r="C72" s="9">
        <v>20074</v>
      </c>
      <c r="D72" s="9" t="s">
        <v>613</v>
      </c>
      <c r="E72" s="9" t="s">
        <v>580</v>
      </c>
      <c r="F72" s="9" t="s">
        <v>609</v>
      </c>
      <c r="G72" s="9" t="s">
        <v>601</v>
      </c>
      <c r="H72" s="9" t="s">
        <v>416</v>
      </c>
      <c r="T72"/>
      <c r="U72"/>
      <c r="V72"/>
      <c r="W72"/>
      <c r="X72"/>
      <c r="Y72"/>
      <c r="Z72"/>
      <c r="AA72"/>
      <c r="AB72"/>
      <c r="AC72"/>
      <c r="AD72"/>
      <c r="AE72"/>
    </row>
    <row r="73" spans="3:31" ht="13.5" x14ac:dyDescent="0.15">
      <c r="C73" s="9">
        <v>20075</v>
      </c>
      <c r="D73" s="9" t="s">
        <v>612</v>
      </c>
      <c r="E73" s="9" t="s">
        <v>580</v>
      </c>
      <c r="F73" s="9" t="s">
        <v>578</v>
      </c>
      <c r="G73" s="9" t="s">
        <v>601</v>
      </c>
      <c r="H73" s="9" t="s">
        <v>416</v>
      </c>
      <c r="T73"/>
      <c r="U73"/>
      <c r="V73"/>
      <c r="W73"/>
      <c r="X73"/>
      <c r="Y73"/>
      <c r="Z73"/>
      <c r="AA73"/>
      <c r="AB73"/>
      <c r="AC73"/>
      <c r="AD73"/>
      <c r="AE73"/>
    </row>
    <row r="74" spans="3:31" ht="13.5" x14ac:dyDescent="0.15">
      <c r="C74" s="9">
        <v>20076</v>
      </c>
      <c r="D74" s="9" t="s">
        <v>611</v>
      </c>
      <c r="E74" s="9" t="s">
        <v>580</v>
      </c>
      <c r="F74" s="9" t="s">
        <v>578</v>
      </c>
      <c r="G74" s="9" t="s">
        <v>601</v>
      </c>
      <c r="H74" s="9" t="s">
        <v>416</v>
      </c>
      <c r="T74"/>
      <c r="U74"/>
      <c r="V74"/>
      <c r="W74"/>
      <c r="X74"/>
      <c r="Y74"/>
      <c r="Z74"/>
      <c r="AA74"/>
      <c r="AB74"/>
      <c r="AC74"/>
      <c r="AD74"/>
      <c r="AE74"/>
    </row>
    <row r="75" spans="3:31" ht="13.5" x14ac:dyDescent="0.15">
      <c r="C75" s="9">
        <v>20077</v>
      </c>
      <c r="D75" s="9" t="s">
        <v>610</v>
      </c>
      <c r="E75" s="9" t="s">
        <v>580</v>
      </c>
      <c r="F75" s="9" t="s">
        <v>609</v>
      </c>
      <c r="G75" s="9" t="s">
        <v>601</v>
      </c>
      <c r="H75" s="9" t="s">
        <v>416</v>
      </c>
      <c r="T75"/>
      <c r="U75"/>
      <c r="V75"/>
      <c r="W75"/>
      <c r="X75"/>
      <c r="Y75"/>
      <c r="Z75"/>
      <c r="AA75"/>
      <c r="AB75"/>
      <c r="AC75"/>
      <c r="AD75"/>
      <c r="AE75"/>
    </row>
    <row r="76" spans="3:31" ht="13.5" x14ac:dyDescent="0.15">
      <c r="C76" s="9">
        <v>20078</v>
      </c>
      <c r="D76" s="9" t="s">
        <v>608</v>
      </c>
      <c r="E76" s="9" t="s">
        <v>580</v>
      </c>
      <c r="F76" s="9" t="s">
        <v>578</v>
      </c>
      <c r="G76" s="9" t="s">
        <v>601</v>
      </c>
      <c r="H76" s="9" t="s">
        <v>416</v>
      </c>
      <c r="T76"/>
      <c r="U76"/>
      <c r="V76"/>
      <c r="W76"/>
      <c r="X76"/>
      <c r="Y76"/>
      <c r="Z76"/>
      <c r="AA76"/>
      <c r="AB76"/>
      <c r="AC76"/>
      <c r="AD76"/>
      <c r="AE76"/>
    </row>
    <row r="77" spans="3:31" ht="13.5" x14ac:dyDescent="0.15">
      <c r="C77" s="9">
        <v>20079</v>
      </c>
      <c r="D77" s="9" t="s">
        <v>607</v>
      </c>
      <c r="E77" s="9" t="s">
        <v>580</v>
      </c>
      <c r="F77" s="9" t="s">
        <v>578</v>
      </c>
      <c r="G77" s="9" t="s">
        <v>601</v>
      </c>
      <c r="H77" s="9" t="s">
        <v>416</v>
      </c>
      <c r="T77"/>
      <c r="U77"/>
      <c r="V77"/>
      <c r="W77"/>
      <c r="X77"/>
      <c r="Y77"/>
      <c r="Z77"/>
      <c r="AA77"/>
      <c r="AB77"/>
      <c r="AC77"/>
      <c r="AD77"/>
      <c r="AE77"/>
    </row>
    <row r="78" spans="3:31" ht="13.5" x14ac:dyDescent="0.15">
      <c r="C78" s="9">
        <v>20080</v>
      </c>
      <c r="D78" s="9" t="s">
        <v>606</v>
      </c>
      <c r="E78" s="9" t="s">
        <v>580</v>
      </c>
      <c r="F78" s="9" t="s">
        <v>578</v>
      </c>
      <c r="G78" s="9" t="s">
        <v>601</v>
      </c>
      <c r="H78" s="9" t="s">
        <v>416</v>
      </c>
      <c r="T78"/>
      <c r="U78"/>
      <c r="V78"/>
      <c r="W78"/>
      <c r="X78"/>
      <c r="Y78"/>
      <c r="Z78"/>
      <c r="AA78"/>
      <c r="AB78"/>
      <c r="AC78"/>
      <c r="AD78"/>
      <c r="AE78"/>
    </row>
    <row r="79" spans="3:31" ht="13.5" x14ac:dyDescent="0.15">
      <c r="C79" s="9">
        <v>20081</v>
      </c>
      <c r="D79" s="9" t="s">
        <v>605</v>
      </c>
      <c r="E79" s="9" t="s">
        <v>580</v>
      </c>
      <c r="F79" s="9" t="s">
        <v>578</v>
      </c>
      <c r="G79" s="9" t="s">
        <v>601</v>
      </c>
      <c r="H79" s="9" t="s">
        <v>416</v>
      </c>
      <c r="T79"/>
      <c r="U79"/>
      <c r="V79"/>
      <c r="W79"/>
      <c r="X79"/>
      <c r="Y79"/>
      <c r="Z79"/>
      <c r="AA79"/>
      <c r="AB79"/>
      <c r="AC79"/>
      <c r="AD79"/>
      <c r="AE79"/>
    </row>
    <row r="80" spans="3:31" ht="13.5" x14ac:dyDescent="0.15">
      <c r="C80" s="9">
        <v>20082</v>
      </c>
      <c r="D80" s="9" t="s">
        <v>604</v>
      </c>
      <c r="E80" s="9" t="s">
        <v>580</v>
      </c>
      <c r="F80" s="9" t="s">
        <v>578</v>
      </c>
      <c r="G80" s="9" t="s">
        <v>601</v>
      </c>
      <c r="H80" s="9" t="s">
        <v>416</v>
      </c>
      <c r="T80"/>
      <c r="U80"/>
      <c r="V80"/>
      <c r="W80"/>
      <c r="X80"/>
      <c r="Y80"/>
      <c r="Z80"/>
      <c r="AA80"/>
      <c r="AB80"/>
      <c r="AC80"/>
      <c r="AD80"/>
      <c r="AE80"/>
    </row>
    <row r="81" spans="3:31" ht="13.5" x14ac:dyDescent="0.15">
      <c r="C81" s="9">
        <v>20083</v>
      </c>
      <c r="D81" s="9" t="s">
        <v>603</v>
      </c>
      <c r="E81" s="9" t="s">
        <v>580</v>
      </c>
      <c r="F81" s="9" t="s">
        <v>578</v>
      </c>
      <c r="G81" s="9" t="s">
        <v>601</v>
      </c>
      <c r="H81" s="9" t="s">
        <v>416</v>
      </c>
      <c r="T81"/>
      <c r="U81"/>
      <c r="V81"/>
      <c r="W81"/>
      <c r="X81"/>
      <c r="Y81"/>
      <c r="Z81"/>
      <c r="AA81"/>
      <c r="AB81"/>
      <c r="AC81"/>
      <c r="AD81"/>
      <c r="AE81"/>
    </row>
    <row r="82" spans="3:31" ht="13.5" x14ac:dyDescent="0.15">
      <c r="C82" s="9">
        <v>20084</v>
      </c>
      <c r="D82" s="9" t="s">
        <v>602</v>
      </c>
      <c r="E82" s="9" t="s">
        <v>580</v>
      </c>
      <c r="F82" s="9" t="s">
        <v>578</v>
      </c>
      <c r="G82" s="9" t="s">
        <v>601</v>
      </c>
      <c r="H82" s="9" t="s">
        <v>416</v>
      </c>
      <c r="T82"/>
      <c r="U82"/>
      <c r="V82"/>
      <c r="W82"/>
      <c r="X82"/>
      <c r="Y82"/>
      <c r="Z82"/>
      <c r="AA82"/>
      <c r="AB82"/>
      <c r="AC82"/>
      <c r="AD82"/>
      <c r="AE82"/>
    </row>
    <row r="83" spans="3:31" ht="13.5" x14ac:dyDescent="0.15">
      <c r="T83"/>
      <c r="U83"/>
      <c r="V83"/>
      <c r="W83"/>
      <c r="X83"/>
      <c r="Y83"/>
      <c r="Z83"/>
      <c r="AA83"/>
      <c r="AB83"/>
      <c r="AC83"/>
      <c r="AD83"/>
      <c r="AE83"/>
    </row>
    <row r="84" spans="3:31" ht="13.5" x14ac:dyDescent="0.15">
      <c r="C84" s="9">
        <v>21001</v>
      </c>
      <c r="D84" s="9" t="s">
        <v>231</v>
      </c>
      <c r="E84" s="9" t="s">
        <v>426</v>
      </c>
      <c r="T84"/>
      <c r="U84"/>
      <c r="V84"/>
      <c r="W84"/>
      <c r="X84"/>
      <c r="Y84"/>
      <c r="Z84"/>
      <c r="AA84"/>
      <c r="AB84"/>
      <c r="AC84"/>
      <c r="AD84"/>
      <c r="AE84"/>
    </row>
    <row r="85" spans="3:31" ht="13.5" x14ac:dyDescent="0.15">
      <c r="C85" s="9">
        <v>21002</v>
      </c>
      <c r="D85" s="9" t="s">
        <v>228</v>
      </c>
      <c r="E85" s="9" t="s">
        <v>426</v>
      </c>
      <c r="F85" s="9" t="s">
        <v>416</v>
      </c>
      <c r="T85"/>
      <c r="U85"/>
      <c r="V85"/>
      <c r="W85"/>
      <c r="X85"/>
      <c r="Y85"/>
      <c r="Z85"/>
      <c r="AA85"/>
      <c r="AB85"/>
      <c r="AC85"/>
      <c r="AD85"/>
      <c r="AE85"/>
    </row>
    <row r="86" spans="3:31" ht="13.5" x14ac:dyDescent="0.15">
      <c r="C86" s="9">
        <v>21003</v>
      </c>
      <c r="D86" s="9" t="s">
        <v>226</v>
      </c>
      <c r="E86" s="9" t="s">
        <v>426</v>
      </c>
      <c r="T86"/>
      <c r="U86"/>
      <c r="V86"/>
      <c r="W86"/>
      <c r="X86"/>
      <c r="Y86"/>
      <c r="Z86"/>
      <c r="AA86"/>
      <c r="AB86"/>
      <c r="AC86"/>
      <c r="AD86"/>
      <c r="AE86"/>
    </row>
    <row r="87" spans="3:31" ht="13.5" x14ac:dyDescent="0.15">
      <c r="C87" s="9">
        <v>21004</v>
      </c>
      <c r="D87" s="9" t="s">
        <v>223</v>
      </c>
      <c r="E87" s="9" t="s">
        <v>426</v>
      </c>
      <c r="T87"/>
      <c r="U87"/>
      <c r="V87"/>
      <c r="W87"/>
      <c r="X87"/>
      <c r="Y87"/>
      <c r="Z87"/>
      <c r="AA87"/>
      <c r="AB87"/>
      <c r="AC87"/>
      <c r="AD87"/>
      <c r="AE87"/>
    </row>
    <row r="88" spans="3:31" ht="13.5" x14ac:dyDescent="0.15">
      <c r="C88" s="9">
        <v>21005</v>
      </c>
      <c r="D88" s="9" t="s">
        <v>221</v>
      </c>
      <c r="E88" s="9" t="s">
        <v>426</v>
      </c>
      <c r="T88"/>
      <c r="U88"/>
      <c r="V88"/>
      <c r="W88"/>
      <c r="X88"/>
      <c r="Y88"/>
      <c r="Z88"/>
      <c r="AA88"/>
      <c r="AB88"/>
      <c r="AC88"/>
      <c r="AD88"/>
      <c r="AE88"/>
    </row>
    <row r="89" spans="3:31" ht="13.5" x14ac:dyDescent="0.15">
      <c r="C89" s="9">
        <v>21006</v>
      </c>
      <c r="D89" s="9" t="s">
        <v>218</v>
      </c>
      <c r="E89" s="9" t="s">
        <v>600</v>
      </c>
      <c r="F89" s="9" t="s">
        <v>599</v>
      </c>
      <c r="T89"/>
      <c r="U89"/>
      <c r="V89"/>
      <c r="W89"/>
      <c r="X89"/>
      <c r="Y89"/>
      <c r="Z89"/>
      <c r="AA89"/>
      <c r="AB89"/>
      <c r="AC89"/>
      <c r="AD89"/>
      <c r="AE89"/>
    </row>
    <row r="90" spans="3:31" ht="13.5" x14ac:dyDescent="0.15">
      <c r="C90" s="9">
        <v>21007</v>
      </c>
      <c r="D90" s="9" t="s">
        <v>215</v>
      </c>
      <c r="E90" s="9" t="s">
        <v>426</v>
      </c>
      <c r="T90"/>
      <c r="U90"/>
      <c r="V90"/>
      <c r="W90"/>
      <c r="X90"/>
      <c r="Y90"/>
      <c r="Z90"/>
      <c r="AA90"/>
      <c r="AB90"/>
      <c r="AC90"/>
      <c r="AD90"/>
      <c r="AE90"/>
    </row>
    <row r="91" spans="3:31" ht="13.5" x14ac:dyDescent="0.15">
      <c r="C91" s="9">
        <v>21008</v>
      </c>
      <c r="D91" s="9" t="s">
        <v>213</v>
      </c>
      <c r="E91" s="9" t="s">
        <v>426</v>
      </c>
      <c r="T91"/>
      <c r="U91"/>
      <c r="V91"/>
      <c r="W91"/>
      <c r="X91"/>
      <c r="Y91"/>
      <c r="Z91"/>
      <c r="AA91"/>
      <c r="AB91"/>
      <c r="AC91"/>
      <c r="AD91"/>
      <c r="AE91"/>
    </row>
    <row r="92" spans="3:31" ht="13.5" x14ac:dyDescent="0.15">
      <c r="C92" s="9">
        <v>21009</v>
      </c>
      <c r="D92" s="9" t="s">
        <v>211</v>
      </c>
      <c r="E92" s="9" t="s">
        <v>426</v>
      </c>
      <c r="T92"/>
      <c r="U92"/>
      <c r="V92"/>
      <c r="W92"/>
      <c r="X92"/>
      <c r="Y92"/>
      <c r="Z92"/>
      <c r="AA92"/>
      <c r="AB92"/>
      <c r="AC92"/>
      <c r="AD92"/>
      <c r="AE92"/>
    </row>
    <row r="93" spans="3:31" ht="13.5" x14ac:dyDescent="0.15">
      <c r="C93" s="9">
        <v>21010</v>
      </c>
      <c r="D93" s="9" t="s">
        <v>209</v>
      </c>
      <c r="E93" s="9" t="s">
        <v>426</v>
      </c>
      <c r="F93" s="9" t="s">
        <v>416</v>
      </c>
      <c r="T93"/>
      <c r="U93"/>
      <c r="V93"/>
      <c r="W93"/>
      <c r="X93"/>
      <c r="Y93"/>
      <c r="Z93"/>
      <c r="AA93"/>
      <c r="AB93"/>
      <c r="AC93"/>
      <c r="AD93"/>
      <c r="AE93"/>
    </row>
    <row r="94" spans="3:31" ht="13.5" x14ac:dyDescent="0.15">
      <c r="C94" s="9">
        <v>21011</v>
      </c>
      <c r="D94" s="9" t="s">
        <v>207</v>
      </c>
      <c r="E94" s="9" t="s">
        <v>426</v>
      </c>
      <c r="T94"/>
      <c r="U94"/>
      <c r="V94"/>
      <c r="W94"/>
      <c r="X94"/>
      <c r="Y94"/>
      <c r="Z94"/>
      <c r="AA94"/>
      <c r="AB94"/>
      <c r="AC94"/>
      <c r="AD94"/>
      <c r="AE94"/>
    </row>
    <row r="95" spans="3:31" ht="13.5" x14ac:dyDescent="0.15">
      <c r="C95" s="9">
        <v>21012</v>
      </c>
      <c r="D95" s="9" t="s">
        <v>205</v>
      </c>
      <c r="E95" s="9" t="s">
        <v>426</v>
      </c>
      <c r="T95"/>
      <c r="U95"/>
      <c r="V95"/>
      <c r="W95"/>
      <c r="X95"/>
      <c r="Y95"/>
      <c r="Z95"/>
      <c r="AA95"/>
      <c r="AB95"/>
      <c r="AC95"/>
      <c r="AD95"/>
      <c r="AE95"/>
    </row>
    <row r="96" spans="3:31" ht="13.5" x14ac:dyDescent="0.15">
      <c r="C96" s="9">
        <v>21013</v>
      </c>
      <c r="D96" s="9" t="s">
        <v>203</v>
      </c>
      <c r="E96" s="9" t="s">
        <v>426</v>
      </c>
      <c r="T96"/>
      <c r="U96"/>
      <c r="V96"/>
      <c r="W96"/>
      <c r="X96"/>
      <c r="Y96"/>
      <c r="Z96"/>
      <c r="AA96"/>
      <c r="AB96"/>
      <c r="AC96"/>
      <c r="AD96"/>
      <c r="AE96"/>
    </row>
    <row r="97" spans="3:31" ht="13.5" x14ac:dyDescent="0.15">
      <c r="C97" s="9">
        <v>21014</v>
      </c>
      <c r="D97" s="9" t="s">
        <v>201</v>
      </c>
      <c r="E97" s="9" t="s">
        <v>426</v>
      </c>
      <c r="T97"/>
      <c r="U97"/>
      <c r="V97"/>
      <c r="W97"/>
      <c r="X97"/>
      <c r="Y97"/>
      <c r="Z97"/>
      <c r="AA97"/>
      <c r="AB97"/>
      <c r="AC97"/>
      <c r="AD97"/>
      <c r="AE97"/>
    </row>
    <row r="98" spans="3:31" ht="13.5" x14ac:dyDescent="0.15">
      <c r="C98" s="9">
        <v>21015</v>
      </c>
      <c r="D98" s="9" t="s">
        <v>199</v>
      </c>
      <c r="E98" s="9" t="s">
        <v>426</v>
      </c>
      <c r="T98"/>
      <c r="U98"/>
      <c r="V98"/>
      <c r="W98"/>
      <c r="X98"/>
      <c r="Y98"/>
      <c r="Z98"/>
      <c r="AA98"/>
      <c r="AB98"/>
      <c r="AC98"/>
      <c r="AD98"/>
      <c r="AE98"/>
    </row>
    <row r="99" spans="3:31" ht="13.5" x14ac:dyDescent="0.15">
      <c r="C99" s="9">
        <v>21016</v>
      </c>
      <c r="D99" s="9" t="s">
        <v>197</v>
      </c>
      <c r="E99" s="9" t="s">
        <v>426</v>
      </c>
      <c r="T99"/>
      <c r="U99"/>
      <c r="V99"/>
      <c r="W99"/>
      <c r="X99"/>
      <c r="Y99"/>
      <c r="Z99"/>
      <c r="AA99"/>
      <c r="AB99"/>
      <c r="AC99"/>
      <c r="AD99"/>
      <c r="AE99"/>
    </row>
    <row r="100" spans="3:31" ht="13.5" x14ac:dyDescent="0.15">
      <c r="C100" s="9">
        <v>21017</v>
      </c>
      <c r="D100" s="9" t="s">
        <v>598</v>
      </c>
      <c r="E100" s="9" t="s">
        <v>426</v>
      </c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3:31" ht="13.5" x14ac:dyDescent="0.15">
      <c r="C101" s="9">
        <v>21018</v>
      </c>
      <c r="D101" s="9" t="s">
        <v>597</v>
      </c>
      <c r="E101" s="9" t="s">
        <v>426</v>
      </c>
      <c r="F101" s="9" t="s">
        <v>416</v>
      </c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3:31" ht="13.5" x14ac:dyDescent="0.15">
      <c r="C102" s="9">
        <v>21019</v>
      </c>
      <c r="D102" s="9" t="s">
        <v>596</v>
      </c>
      <c r="E102" s="9" t="s">
        <v>426</v>
      </c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3:31" ht="13.5" x14ac:dyDescent="0.15">
      <c r="C103" s="9">
        <v>21020</v>
      </c>
      <c r="D103" s="9" t="s">
        <v>595</v>
      </c>
      <c r="E103" s="9" t="s">
        <v>426</v>
      </c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3:31" ht="13.5" x14ac:dyDescent="0.15">
      <c r="C104" s="9">
        <v>21021</v>
      </c>
      <c r="D104" s="9" t="s">
        <v>594</v>
      </c>
      <c r="E104" s="9" t="s">
        <v>426</v>
      </c>
      <c r="F104" s="9" t="s">
        <v>379</v>
      </c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3:31" ht="13.5" x14ac:dyDescent="0.15">
      <c r="C105" s="9">
        <v>21022</v>
      </c>
      <c r="D105" s="9" t="s">
        <v>593</v>
      </c>
      <c r="E105" s="9" t="s">
        <v>426</v>
      </c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3:31" ht="13.5" x14ac:dyDescent="0.15">
      <c r="C106" s="9">
        <v>21023</v>
      </c>
      <c r="D106" s="9" t="s">
        <v>592</v>
      </c>
      <c r="E106" s="9" t="s">
        <v>426</v>
      </c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3:31" ht="13.5" x14ac:dyDescent="0.15">
      <c r="C107" s="9">
        <v>21024</v>
      </c>
      <c r="D107" s="9" t="s">
        <v>591</v>
      </c>
      <c r="E107" s="9" t="s">
        <v>426</v>
      </c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3:31" ht="13.5" x14ac:dyDescent="0.15">
      <c r="C108" s="9">
        <v>21025</v>
      </c>
      <c r="D108" s="9" t="s">
        <v>590</v>
      </c>
      <c r="E108" s="9" t="s">
        <v>426</v>
      </c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3:31" ht="13.5" x14ac:dyDescent="0.15">
      <c r="C109" s="9">
        <v>21026</v>
      </c>
      <c r="D109" s="9" t="s">
        <v>589</v>
      </c>
      <c r="E109" s="9" t="s">
        <v>426</v>
      </c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3:31" ht="13.5" x14ac:dyDescent="0.15">
      <c r="C110" s="9">
        <v>21027</v>
      </c>
      <c r="D110" s="9" t="s">
        <v>588</v>
      </c>
      <c r="E110" s="9" t="s">
        <v>426</v>
      </c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3:31" ht="13.5" x14ac:dyDescent="0.15">
      <c r="C111" s="9" t="s">
        <v>371</v>
      </c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3:31" ht="13.5" x14ac:dyDescent="0.15">
      <c r="C112" s="9">
        <v>21061</v>
      </c>
      <c r="D112" s="9" t="s">
        <v>587</v>
      </c>
      <c r="E112" s="9" t="s">
        <v>581</v>
      </c>
      <c r="F112" s="9" t="s">
        <v>523</v>
      </c>
      <c r="G112" s="9" t="s">
        <v>516</v>
      </c>
      <c r="H112" s="9" t="s">
        <v>580</v>
      </c>
      <c r="I112" s="9" t="s">
        <v>579</v>
      </c>
      <c r="J112" s="9" t="s">
        <v>578</v>
      </c>
      <c r="K112" s="9" t="s">
        <v>366</v>
      </c>
      <c r="L112" s="9" t="s">
        <v>576</v>
      </c>
      <c r="M112" s="9" t="s">
        <v>426</v>
      </c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3:31" ht="13.5" x14ac:dyDescent="0.15">
      <c r="C113" s="9">
        <v>21062</v>
      </c>
      <c r="D113" s="9" t="s">
        <v>586</v>
      </c>
      <c r="E113" s="9" t="s">
        <v>581</v>
      </c>
      <c r="F113" s="9" t="s">
        <v>523</v>
      </c>
      <c r="G113" s="9" t="s">
        <v>516</v>
      </c>
      <c r="H113" s="9" t="s">
        <v>580</v>
      </c>
      <c r="I113" s="9" t="s">
        <v>579</v>
      </c>
      <c r="J113" s="9" t="s">
        <v>578</v>
      </c>
      <c r="K113" s="9" t="s">
        <v>366</v>
      </c>
      <c r="L113" s="9" t="s">
        <v>576</v>
      </c>
      <c r="M113" s="9" t="s">
        <v>426</v>
      </c>
      <c r="N113" s="9" t="s">
        <v>416</v>
      </c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3:31" ht="13.5" x14ac:dyDescent="0.15">
      <c r="C114" s="9">
        <v>21063</v>
      </c>
      <c r="D114" s="9" t="s">
        <v>585</v>
      </c>
      <c r="E114" s="9" t="s">
        <v>581</v>
      </c>
      <c r="F114" s="9" t="s">
        <v>523</v>
      </c>
      <c r="G114" s="9" t="s">
        <v>516</v>
      </c>
      <c r="H114" s="9" t="s">
        <v>580</v>
      </c>
      <c r="I114" s="9" t="s">
        <v>579</v>
      </c>
      <c r="J114" s="9" t="s">
        <v>578</v>
      </c>
      <c r="K114" s="9" t="s">
        <v>577</v>
      </c>
      <c r="L114" s="9" t="s">
        <v>576</v>
      </c>
      <c r="M114" s="9" t="s">
        <v>426</v>
      </c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3:31" ht="13.5" x14ac:dyDescent="0.15">
      <c r="C115" s="9">
        <v>21064</v>
      </c>
      <c r="D115" s="9" t="s">
        <v>584</v>
      </c>
      <c r="E115" s="9" t="s">
        <v>581</v>
      </c>
      <c r="F115" s="9" t="s">
        <v>523</v>
      </c>
      <c r="G115" s="9" t="s">
        <v>516</v>
      </c>
      <c r="H115" s="9" t="s">
        <v>583</v>
      </c>
      <c r="I115" s="9" t="s">
        <v>579</v>
      </c>
      <c r="J115" s="9" t="s">
        <v>578</v>
      </c>
      <c r="K115" s="9" t="s">
        <v>577</v>
      </c>
      <c r="L115" s="9" t="s">
        <v>576</v>
      </c>
      <c r="M115" s="9" t="s">
        <v>426</v>
      </c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3:31" ht="13.5" x14ac:dyDescent="0.15">
      <c r="C116" s="9">
        <v>21065</v>
      </c>
      <c r="D116" s="9" t="s">
        <v>582</v>
      </c>
      <c r="E116" s="9" t="s">
        <v>581</v>
      </c>
      <c r="F116" s="9" t="s">
        <v>523</v>
      </c>
      <c r="G116" s="9" t="s">
        <v>516</v>
      </c>
      <c r="H116" s="9" t="s">
        <v>580</v>
      </c>
      <c r="I116" s="9" t="s">
        <v>579</v>
      </c>
      <c r="J116" s="9" t="s">
        <v>578</v>
      </c>
      <c r="K116" s="9" t="s">
        <v>577</v>
      </c>
      <c r="L116" s="9" t="s">
        <v>576</v>
      </c>
      <c r="M116" s="9" t="s">
        <v>426</v>
      </c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3:31" ht="13.5" x14ac:dyDescent="0.15">
      <c r="C117" s="9" t="s">
        <v>371</v>
      </c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3:31" ht="13.5" x14ac:dyDescent="0.15">
      <c r="C118" s="9">
        <v>21073</v>
      </c>
      <c r="D118" s="9" t="s">
        <v>575</v>
      </c>
      <c r="E118" s="9" t="s">
        <v>426</v>
      </c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3:31" ht="13.5" x14ac:dyDescent="0.15">
      <c r="C119" s="9">
        <v>21074</v>
      </c>
      <c r="D119" s="9" t="s">
        <v>241</v>
      </c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3:31" ht="13.5" x14ac:dyDescent="0.15">
      <c r="C120" s="9" t="s">
        <v>371</v>
      </c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3:31" ht="13.5" x14ac:dyDescent="0.15">
      <c r="C121" s="9">
        <v>21081</v>
      </c>
      <c r="D121" s="9" t="s">
        <v>186</v>
      </c>
      <c r="E121" s="9" t="s">
        <v>426</v>
      </c>
      <c r="F121" s="9" t="s">
        <v>416</v>
      </c>
      <c r="G121" s="9" t="s">
        <v>428</v>
      </c>
      <c r="H121" s="9" t="s">
        <v>379</v>
      </c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3:31" ht="13.5" x14ac:dyDescent="0.15">
      <c r="C122" s="9">
        <v>21082</v>
      </c>
      <c r="D122" s="9" t="s">
        <v>184</v>
      </c>
      <c r="E122" s="9" t="s">
        <v>426</v>
      </c>
      <c r="F122" s="9" t="s">
        <v>428</v>
      </c>
      <c r="G122" s="9" t="s">
        <v>379</v>
      </c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3:31" ht="13.5" x14ac:dyDescent="0.15">
      <c r="C123" s="9">
        <v>21083</v>
      </c>
      <c r="D123" s="9" t="s">
        <v>182</v>
      </c>
      <c r="E123" s="9" t="s">
        <v>426</v>
      </c>
      <c r="F123" s="9" t="s">
        <v>416</v>
      </c>
      <c r="G123" s="9" t="s">
        <v>573</v>
      </c>
      <c r="H123" s="9" t="s">
        <v>379</v>
      </c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3:31" ht="13.5" x14ac:dyDescent="0.15">
      <c r="C124" s="9">
        <v>21084</v>
      </c>
      <c r="D124" s="9" t="s">
        <v>180</v>
      </c>
      <c r="E124" s="9" t="s">
        <v>426</v>
      </c>
      <c r="F124" s="9" t="s">
        <v>416</v>
      </c>
      <c r="G124" s="9" t="s">
        <v>428</v>
      </c>
      <c r="H124" s="9" t="s">
        <v>379</v>
      </c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3:31" ht="13.5" x14ac:dyDescent="0.15">
      <c r="C125" s="9">
        <v>21085</v>
      </c>
      <c r="D125" s="9" t="s">
        <v>178</v>
      </c>
      <c r="E125" s="9" t="s">
        <v>426</v>
      </c>
      <c r="F125" s="9" t="s">
        <v>428</v>
      </c>
      <c r="G125" s="9" t="s">
        <v>379</v>
      </c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3:31" ht="13.5" x14ac:dyDescent="0.15">
      <c r="C126" s="9">
        <v>21086</v>
      </c>
      <c r="D126" s="9" t="s">
        <v>574</v>
      </c>
      <c r="E126" s="9" t="s">
        <v>426</v>
      </c>
      <c r="F126" s="9" t="s">
        <v>416</v>
      </c>
      <c r="G126" s="9" t="s">
        <v>428</v>
      </c>
      <c r="H126" s="9" t="s">
        <v>379</v>
      </c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3:31" ht="13.5" x14ac:dyDescent="0.15">
      <c r="C127" s="9" t="s">
        <v>371</v>
      </c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3:31" ht="13.5" x14ac:dyDescent="0.15">
      <c r="C128" s="9">
        <v>21100</v>
      </c>
      <c r="D128" s="9" t="s">
        <v>189</v>
      </c>
      <c r="E128" s="9" t="s">
        <v>426</v>
      </c>
      <c r="F128" s="9" t="s">
        <v>573</v>
      </c>
      <c r="G128" s="9" t="s">
        <v>379</v>
      </c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3:31" ht="13.5" x14ac:dyDescent="0.15">
      <c r="C129" s="9">
        <v>21101</v>
      </c>
      <c r="D129" s="9" t="s">
        <v>572</v>
      </c>
      <c r="E129" s="9" t="s">
        <v>433</v>
      </c>
      <c r="F129" s="9" t="s">
        <v>571</v>
      </c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3:31" ht="13.5" x14ac:dyDescent="0.15">
      <c r="C130" s="9">
        <v>21102</v>
      </c>
      <c r="D130" s="9" t="s">
        <v>570</v>
      </c>
      <c r="E130" s="9" t="s">
        <v>426</v>
      </c>
      <c r="F130" s="9" t="s">
        <v>367</v>
      </c>
      <c r="G130" s="9" t="s">
        <v>428</v>
      </c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3:31" ht="13.5" x14ac:dyDescent="0.15">
      <c r="C131" s="9">
        <v>21104</v>
      </c>
      <c r="D131" s="9" t="s">
        <v>569</v>
      </c>
      <c r="E131" s="9" t="s">
        <v>426</v>
      </c>
      <c r="F131" s="9" t="s">
        <v>416</v>
      </c>
      <c r="G131" s="9" t="s">
        <v>428</v>
      </c>
      <c r="H131" s="9" t="s">
        <v>379</v>
      </c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3:31" ht="13.5" x14ac:dyDescent="0.15">
      <c r="C132" s="9" t="s">
        <v>371</v>
      </c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3:31" ht="13.5" x14ac:dyDescent="0.15">
      <c r="C133" s="9">
        <v>21110</v>
      </c>
      <c r="D133" s="9" t="s">
        <v>568</v>
      </c>
      <c r="E133" s="9" t="s">
        <v>433</v>
      </c>
      <c r="F133" s="9" t="s">
        <v>379</v>
      </c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3:31" ht="13.5" x14ac:dyDescent="0.15">
      <c r="C134" s="9">
        <v>21111</v>
      </c>
      <c r="D134" s="9" t="s">
        <v>567</v>
      </c>
      <c r="E134" s="9" t="s">
        <v>433</v>
      </c>
      <c r="F134" s="9" t="s">
        <v>416</v>
      </c>
      <c r="G134" s="9" t="s">
        <v>428</v>
      </c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3:31" ht="13.5" x14ac:dyDescent="0.15">
      <c r="C135" s="9">
        <v>21112</v>
      </c>
      <c r="D135" s="9" t="s">
        <v>566</v>
      </c>
      <c r="E135" s="9" t="s">
        <v>433</v>
      </c>
      <c r="F135" s="9" t="s">
        <v>379</v>
      </c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3:31" ht="13.5" x14ac:dyDescent="0.15">
      <c r="C136" s="9">
        <v>21113</v>
      </c>
      <c r="D136" s="9" t="s">
        <v>565</v>
      </c>
      <c r="E136" s="9" t="s">
        <v>433</v>
      </c>
      <c r="F136" s="9" t="s">
        <v>428</v>
      </c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3:31" ht="13.5" x14ac:dyDescent="0.15">
      <c r="C137" s="9">
        <v>21114</v>
      </c>
      <c r="D137" s="9" t="s">
        <v>564</v>
      </c>
      <c r="E137" s="9" t="s">
        <v>433</v>
      </c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3:31" ht="13.5" x14ac:dyDescent="0.15"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3:31" ht="13.5" x14ac:dyDescent="0.15">
      <c r="C139" s="9">
        <v>21115</v>
      </c>
      <c r="D139" s="9" t="s">
        <v>563</v>
      </c>
      <c r="E139" s="9" t="s">
        <v>557</v>
      </c>
      <c r="F139" s="9" t="s">
        <v>379</v>
      </c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3:31" ht="13.5" x14ac:dyDescent="0.15">
      <c r="C140" s="9">
        <v>21116</v>
      </c>
      <c r="D140" s="9" t="s">
        <v>562</v>
      </c>
      <c r="E140" s="9" t="s">
        <v>557</v>
      </c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3:31" ht="13.5" x14ac:dyDescent="0.15">
      <c r="C141" s="9">
        <v>21117</v>
      </c>
      <c r="D141" s="9" t="s">
        <v>561</v>
      </c>
      <c r="E141" s="9" t="s">
        <v>557</v>
      </c>
      <c r="F141" s="9" t="s">
        <v>379</v>
      </c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3:31" ht="13.5" x14ac:dyDescent="0.15">
      <c r="C142" s="9">
        <v>21118</v>
      </c>
      <c r="D142" s="9" t="s">
        <v>560</v>
      </c>
      <c r="E142" s="9" t="s">
        <v>559</v>
      </c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3:31" ht="13.5" x14ac:dyDescent="0.15">
      <c r="C143" s="9">
        <v>21119</v>
      </c>
      <c r="D143" s="9" t="s">
        <v>558</v>
      </c>
      <c r="E143" s="9" t="s">
        <v>557</v>
      </c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3:31" ht="13.5" x14ac:dyDescent="0.15"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3:31" ht="13.5" x14ac:dyDescent="0.15">
      <c r="C145" s="9">
        <v>21120</v>
      </c>
      <c r="D145" s="9" t="s">
        <v>556</v>
      </c>
      <c r="E145" s="9" t="s">
        <v>379</v>
      </c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3:31" ht="13.5" x14ac:dyDescent="0.15">
      <c r="C146" s="9">
        <v>21121</v>
      </c>
      <c r="D146" s="9" t="s">
        <v>555</v>
      </c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3:31" ht="13.5" x14ac:dyDescent="0.15">
      <c r="C147" s="9">
        <v>21122</v>
      </c>
      <c r="D147" s="9" t="s">
        <v>554</v>
      </c>
      <c r="E147" s="9" t="s">
        <v>379</v>
      </c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3:31" ht="13.5" x14ac:dyDescent="0.15">
      <c r="C148" s="9">
        <v>21123</v>
      </c>
      <c r="D148" s="9" t="s">
        <v>553</v>
      </c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3:31" ht="13.5" x14ac:dyDescent="0.15">
      <c r="C149" s="9">
        <v>21124</v>
      </c>
      <c r="D149" s="9" t="s">
        <v>552</v>
      </c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3:31" ht="13.5" x14ac:dyDescent="0.15"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3:31" ht="13.5" x14ac:dyDescent="0.15">
      <c r="C151" s="9">
        <v>21125</v>
      </c>
      <c r="D151" s="9" t="s">
        <v>551</v>
      </c>
      <c r="E151" s="9" t="s">
        <v>426</v>
      </c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3:31" ht="13.5" x14ac:dyDescent="0.15">
      <c r="C152" s="9">
        <v>21126</v>
      </c>
      <c r="D152" s="9" t="s">
        <v>550</v>
      </c>
      <c r="E152" s="9" t="s">
        <v>426</v>
      </c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3:31" ht="13.5" x14ac:dyDescent="0.15">
      <c r="C153" s="9">
        <v>21127</v>
      </c>
      <c r="D153" s="9" t="s">
        <v>549</v>
      </c>
      <c r="E153" s="9" t="s">
        <v>426</v>
      </c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3:31" ht="13.5" x14ac:dyDescent="0.15">
      <c r="C154" s="9">
        <v>21128</v>
      </c>
      <c r="D154" s="9" t="s">
        <v>548</v>
      </c>
      <c r="E154" s="9" t="s">
        <v>426</v>
      </c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3:31" ht="13.5" x14ac:dyDescent="0.15">
      <c r="C155" s="9">
        <v>21129</v>
      </c>
      <c r="D155" s="9" t="s">
        <v>547</v>
      </c>
      <c r="E155" s="9" t="s">
        <v>426</v>
      </c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3:31" ht="13.5" x14ac:dyDescent="0.15"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3:31" ht="13.5" x14ac:dyDescent="0.15">
      <c r="C157" s="9">
        <v>21130</v>
      </c>
      <c r="D157" s="9" t="s">
        <v>546</v>
      </c>
      <c r="E157" s="9" t="s">
        <v>433</v>
      </c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3:31" ht="13.5" x14ac:dyDescent="0.15">
      <c r="C158" s="9">
        <v>21131</v>
      </c>
      <c r="D158" s="9" t="s">
        <v>545</v>
      </c>
      <c r="E158" s="9" t="s">
        <v>433</v>
      </c>
      <c r="F158" s="9" t="s">
        <v>416</v>
      </c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3:31" ht="13.5" x14ac:dyDescent="0.15">
      <c r="C159" s="9">
        <v>21132</v>
      </c>
      <c r="D159" s="9" t="s">
        <v>544</v>
      </c>
      <c r="E159" s="9" t="s">
        <v>433</v>
      </c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3:31" ht="13.5" x14ac:dyDescent="0.15">
      <c r="C160" s="9">
        <v>21133</v>
      </c>
      <c r="D160" s="9" t="s">
        <v>543</v>
      </c>
      <c r="E160" s="9" t="s">
        <v>433</v>
      </c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3:31" ht="13.5" x14ac:dyDescent="0.15">
      <c r="C161" s="9">
        <v>21134</v>
      </c>
      <c r="D161" s="9" t="s">
        <v>542</v>
      </c>
      <c r="E161" s="9" t="s">
        <v>433</v>
      </c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3:31" ht="13.5" x14ac:dyDescent="0.15"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3:31" ht="13.5" x14ac:dyDescent="0.15">
      <c r="C163" s="9">
        <v>21150</v>
      </c>
      <c r="D163" s="9" t="s">
        <v>541</v>
      </c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3:31" ht="13.5" x14ac:dyDescent="0.15">
      <c r="C164" s="9">
        <v>21151</v>
      </c>
      <c r="D164" s="9" t="s">
        <v>540</v>
      </c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3:31" ht="13.5" x14ac:dyDescent="0.15">
      <c r="C165" s="9">
        <v>21152</v>
      </c>
      <c r="D165" s="9" t="s">
        <v>539</v>
      </c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3:31" ht="13.5" x14ac:dyDescent="0.15">
      <c r="C166" s="9">
        <v>21153</v>
      </c>
      <c r="D166" s="9" t="s">
        <v>538</v>
      </c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3:31" ht="13.5" x14ac:dyDescent="0.15">
      <c r="C167" s="9">
        <v>21154</v>
      </c>
      <c r="D167" s="9" t="s">
        <v>537</v>
      </c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3:31" ht="13.5" x14ac:dyDescent="0.15"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3:31" ht="13.5" x14ac:dyDescent="0.15">
      <c r="C169" s="9">
        <v>21200</v>
      </c>
      <c r="D169" s="9" t="s">
        <v>536</v>
      </c>
      <c r="E169" s="9" t="s">
        <v>530</v>
      </c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3:31" ht="13.5" x14ac:dyDescent="0.15">
      <c r="C170" s="9">
        <v>21201</v>
      </c>
      <c r="D170" s="9" t="s">
        <v>535</v>
      </c>
      <c r="E170" s="9" t="s">
        <v>530</v>
      </c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3:31" ht="13.5" x14ac:dyDescent="0.15">
      <c r="C171" s="9">
        <v>21202</v>
      </c>
      <c r="D171" s="9" t="s">
        <v>534</v>
      </c>
      <c r="E171" s="9" t="s">
        <v>533</v>
      </c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3:31" ht="13.5" x14ac:dyDescent="0.15">
      <c r="C172" s="9">
        <v>21203</v>
      </c>
      <c r="D172" s="9" t="s">
        <v>532</v>
      </c>
      <c r="E172" s="9" t="s">
        <v>530</v>
      </c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3:31" ht="13.5" x14ac:dyDescent="0.15">
      <c r="C173" s="9">
        <v>21204</v>
      </c>
      <c r="D173" s="9" t="s">
        <v>531</v>
      </c>
      <c r="E173" s="9" t="s">
        <v>530</v>
      </c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3:31" ht="13.5" x14ac:dyDescent="0.15">
      <c r="C174" s="9">
        <v>21205</v>
      </c>
      <c r="D174" s="9" t="s">
        <v>529</v>
      </c>
      <c r="E174" s="9" t="s">
        <v>526</v>
      </c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3:31" ht="13.5" x14ac:dyDescent="0.15">
      <c r="C175" s="9">
        <v>21206</v>
      </c>
      <c r="D175" s="9" t="s">
        <v>528</v>
      </c>
      <c r="E175" s="9" t="s">
        <v>523</v>
      </c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3:31" ht="13.5" x14ac:dyDescent="0.15">
      <c r="C176" s="9">
        <v>21207</v>
      </c>
      <c r="D176" s="9" t="s">
        <v>527</v>
      </c>
      <c r="E176" s="9" t="s">
        <v>526</v>
      </c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3:31" ht="13.5" x14ac:dyDescent="0.15">
      <c r="C177" s="9">
        <v>21208</v>
      </c>
      <c r="D177" s="9" t="s">
        <v>525</v>
      </c>
      <c r="E177" s="9" t="s">
        <v>523</v>
      </c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3:31" ht="13.5" x14ac:dyDescent="0.15">
      <c r="C178" s="9">
        <v>21209</v>
      </c>
      <c r="D178" s="9" t="s">
        <v>524</v>
      </c>
      <c r="E178" s="9" t="s">
        <v>523</v>
      </c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3:31" ht="13.5" x14ac:dyDescent="0.15">
      <c r="C179" s="9">
        <v>21210</v>
      </c>
      <c r="D179" s="9" t="s">
        <v>522</v>
      </c>
      <c r="E179" s="9" t="s">
        <v>516</v>
      </c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3:31" ht="13.5" x14ac:dyDescent="0.15">
      <c r="C180" s="9">
        <v>21211</v>
      </c>
      <c r="D180" s="9" t="s">
        <v>521</v>
      </c>
      <c r="E180" s="9" t="s">
        <v>516</v>
      </c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3:31" ht="13.5" x14ac:dyDescent="0.15">
      <c r="C181" s="9">
        <v>21212</v>
      </c>
      <c r="D181" s="9" t="s">
        <v>520</v>
      </c>
      <c r="E181" s="9" t="s">
        <v>519</v>
      </c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3:31" ht="13.5" x14ac:dyDescent="0.15">
      <c r="C182" s="9">
        <v>21213</v>
      </c>
      <c r="D182" s="9" t="s">
        <v>518</v>
      </c>
      <c r="E182" s="9" t="s">
        <v>516</v>
      </c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3:31" ht="13.5" x14ac:dyDescent="0.15">
      <c r="C183" s="9">
        <v>21214</v>
      </c>
      <c r="D183" s="9" t="s">
        <v>517</v>
      </c>
      <c r="E183" s="9" t="s">
        <v>516</v>
      </c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3:31" ht="13.5" x14ac:dyDescent="0.15">
      <c r="C184" s="9" t="s">
        <v>371</v>
      </c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3:31" ht="13.5" x14ac:dyDescent="0.15">
      <c r="C185" s="9">
        <v>21400</v>
      </c>
      <c r="D185" s="9" t="s">
        <v>515</v>
      </c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3:31" ht="13.5" x14ac:dyDescent="0.15">
      <c r="C186" s="9" t="s">
        <v>371</v>
      </c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3:31" ht="13.5" x14ac:dyDescent="0.15">
      <c r="C187" s="9">
        <v>21500</v>
      </c>
      <c r="D187" s="9" t="s">
        <v>175</v>
      </c>
      <c r="E187" s="9" t="s">
        <v>426</v>
      </c>
      <c r="F187" s="9" t="s">
        <v>428</v>
      </c>
      <c r="G187" s="9" t="s">
        <v>379</v>
      </c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3:31" ht="13.5" x14ac:dyDescent="0.15">
      <c r="C188" s="9">
        <v>21501</v>
      </c>
      <c r="D188" s="9" t="s">
        <v>173</v>
      </c>
      <c r="E188" s="9" t="s">
        <v>426</v>
      </c>
      <c r="F188" s="9" t="s">
        <v>428</v>
      </c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3:31" ht="13.5" x14ac:dyDescent="0.15">
      <c r="C189" s="9">
        <v>21502</v>
      </c>
      <c r="D189" s="9" t="s">
        <v>171</v>
      </c>
      <c r="E189" s="9" t="s">
        <v>426</v>
      </c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3:31" ht="13.5" x14ac:dyDescent="0.15">
      <c r="C190" s="9" t="s">
        <v>371</v>
      </c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3:31" ht="13.5" x14ac:dyDescent="0.15">
      <c r="C191" s="9">
        <v>26000</v>
      </c>
      <c r="D191" s="9" t="s">
        <v>514</v>
      </c>
      <c r="E191" s="9" t="s">
        <v>433</v>
      </c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3:31" ht="13.5" x14ac:dyDescent="0.15">
      <c r="C192" s="9">
        <v>26001</v>
      </c>
      <c r="D192" s="9" t="s">
        <v>513</v>
      </c>
      <c r="E192" s="9" t="s">
        <v>433</v>
      </c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3:31" ht="13.5" x14ac:dyDescent="0.15">
      <c r="C193" s="9">
        <v>26002</v>
      </c>
      <c r="D193" s="9" t="s">
        <v>512</v>
      </c>
      <c r="E193" s="9" t="s">
        <v>433</v>
      </c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3:31" ht="13.5" x14ac:dyDescent="0.15">
      <c r="C194" s="9">
        <v>26003</v>
      </c>
      <c r="D194" s="9" t="s">
        <v>511</v>
      </c>
      <c r="E194" s="9" t="s">
        <v>433</v>
      </c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3:31" ht="13.5" x14ac:dyDescent="0.15">
      <c r="C195" s="9">
        <v>26004</v>
      </c>
      <c r="D195" s="9" t="s">
        <v>510</v>
      </c>
      <c r="E195" s="9" t="s">
        <v>433</v>
      </c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3:31" ht="13.5" x14ac:dyDescent="0.15">
      <c r="C196" s="9">
        <v>26005</v>
      </c>
      <c r="D196" s="9" t="s">
        <v>509</v>
      </c>
      <c r="E196" s="9" t="s">
        <v>433</v>
      </c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3:31" ht="13.5" x14ac:dyDescent="0.15">
      <c r="C197" s="9">
        <v>26006</v>
      </c>
      <c r="D197" s="9" t="s">
        <v>508</v>
      </c>
      <c r="E197" s="9" t="s">
        <v>433</v>
      </c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3:31" ht="13.5" x14ac:dyDescent="0.15">
      <c r="C198" s="9">
        <v>26007</v>
      </c>
      <c r="D198" s="9" t="s">
        <v>507</v>
      </c>
      <c r="E198" s="9" t="s">
        <v>433</v>
      </c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3:31" ht="13.5" x14ac:dyDescent="0.15">
      <c r="C199" s="9">
        <v>26008</v>
      </c>
      <c r="D199" s="9" t="s">
        <v>506</v>
      </c>
      <c r="E199" s="9" t="s">
        <v>433</v>
      </c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3:31" ht="13.5" x14ac:dyDescent="0.15">
      <c r="C200" s="9">
        <v>26009</v>
      </c>
      <c r="D200" s="9" t="s">
        <v>505</v>
      </c>
      <c r="E200" s="9" t="s">
        <v>433</v>
      </c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3:31" ht="13.5" x14ac:dyDescent="0.15">
      <c r="C201" s="9">
        <v>26010</v>
      </c>
      <c r="D201" s="9" t="s">
        <v>504</v>
      </c>
      <c r="E201" s="9" t="s">
        <v>433</v>
      </c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3:31" ht="13.5" x14ac:dyDescent="0.15">
      <c r="C202" s="9">
        <v>26011</v>
      </c>
      <c r="D202" s="9" t="s">
        <v>503</v>
      </c>
      <c r="E202" s="9" t="s">
        <v>454</v>
      </c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3:31" ht="13.5" x14ac:dyDescent="0.15">
      <c r="C203" s="9">
        <v>26012</v>
      </c>
      <c r="D203" s="9" t="s">
        <v>502</v>
      </c>
      <c r="E203" s="9" t="s">
        <v>433</v>
      </c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3:31" ht="13.5" x14ac:dyDescent="0.15">
      <c r="C204" s="9">
        <v>26013</v>
      </c>
      <c r="D204" s="9" t="s">
        <v>501</v>
      </c>
      <c r="E204" s="9" t="s">
        <v>433</v>
      </c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3:31" ht="13.5" x14ac:dyDescent="0.15">
      <c r="C205" s="9">
        <v>26014</v>
      </c>
      <c r="D205" s="9" t="s">
        <v>500</v>
      </c>
      <c r="E205" s="9" t="s">
        <v>433</v>
      </c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3:31" ht="13.5" x14ac:dyDescent="0.15">
      <c r="C206" s="9">
        <v>26015</v>
      </c>
      <c r="D206" s="9" t="s">
        <v>499</v>
      </c>
      <c r="E206" s="9" t="s">
        <v>433</v>
      </c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3:31" ht="13.5" x14ac:dyDescent="0.15"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3:31" ht="13.5" x14ac:dyDescent="0.15">
      <c r="C208" s="9">
        <v>26100</v>
      </c>
      <c r="D208" s="9" t="s">
        <v>498</v>
      </c>
      <c r="E208" s="9" t="s">
        <v>433</v>
      </c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3:31" ht="13.5" x14ac:dyDescent="0.15">
      <c r="C209" s="9">
        <v>26101</v>
      </c>
      <c r="D209" s="9" t="s">
        <v>497</v>
      </c>
      <c r="E209" s="9" t="s">
        <v>433</v>
      </c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3:31" ht="13.5" x14ac:dyDescent="0.15">
      <c r="C210" s="9">
        <v>26102</v>
      </c>
      <c r="D210" s="9" t="s">
        <v>496</v>
      </c>
      <c r="E210" s="9" t="s">
        <v>433</v>
      </c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3:31" ht="13.5" x14ac:dyDescent="0.15">
      <c r="C211" s="9">
        <v>26103</v>
      </c>
      <c r="D211" s="9" t="s">
        <v>495</v>
      </c>
      <c r="E211" s="9" t="s">
        <v>433</v>
      </c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3:31" ht="13.5" x14ac:dyDescent="0.15">
      <c r="C212" s="9">
        <v>26104</v>
      </c>
      <c r="D212" s="9" t="s">
        <v>494</v>
      </c>
      <c r="E212" s="9" t="s">
        <v>433</v>
      </c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3:31" ht="13.5" x14ac:dyDescent="0.15">
      <c r="C213" s="9">
        <v>26105</v>
      </c>
      <c r="D213" s="9" t="s">
        <v>493</v>
      </c>
      <c r="E213" s="9" t="s">
        <v>433</v>
      </c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3:31" ht="13.5" x14ac:dyDescent="0.15">
      <c r="C214" s="9">
        <v>26106</v>
      </c>
      <c r="D214" s="9" t="s">
        <v>492</v>
      </c>
      <c r="E214" s="9" t="s">
        <v>433</v>
      </c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3:31" ht="13.5" x14ac:dyDescent="0.15">
      <c r="C215" s="9">
        <v>26107</v>
      </c>
      <c r="D215" s="9" t="s">
        <v>491</v>
      </c>
      <c r="E215" s="9" t="s">
        <v>433</v>
      </c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3:31" ht="13.5" x14ac:dyDescent="0.15">
      <c r="C216" s="9">
        <v>26108</v>
      </c>
      <c r="D216" s="9" t="s">
        <v>490</v>
      </c>
      <c r="E216" s="9" t="s">
        <v>433</v>
      </c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3:31" ht="13.5" x14ac:dyDescent="0.15">
      <c r="C217" s="9">
        <v>26109</v>
      </c>
      <c r="D217" s="9" t="s">
        <v>489</v>
      </c>
      <c r="E217" s="9" t="s">
        <v>433</v>
      </c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3:31" ht="13.5" x14ac:dyDescent="0.15">
      <c r="C218" s="9">
        <v>26110</v>
      </c>
      <c r="D218" s="9" t="s">
        <v>488</v>
      </c>
      <c r="E218" s="9" t="s">
        <v>433</v>
      </c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3:31" ht="13.5" x14ac:dyDescent="0.15">
      <c r="C219" s="9">
        <v>26111</v>
      </c>
      <c r="D219" s="9" t="s">
        <v>487</v>
      </c>
      <c r="E219" s="9" t="s">
        <v>433</v>
      </c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3:31" ht="13.5" x14ac:dyDescent="0.15">
      <c r="C220" s="9">
        <v>26112</v>
      </c>
      <c r="D220" s="9" t="s">
        <v>486</v>
      </c>
      <c r="E220" s="9" t="s">
        <v>433</v>
      </c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3:31" ht="13.5" x14ac:dyDescent="0.15">
      <c r="C221" s="9">
        <v>26113</v>
      </c>
      <c r="D221" s="9" t="s">
        <v>485</v>
      </c>
      <c r="E221" s="9" t="s">
        <v>433</v>
      </c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3:31" ht="13.5" x14ac:dyDescent="0.15">
      <c r="C222" s="9">
        <v>26114</v>
      </c>
      <c r="D222" s="9" t="s">
        <v>484</v>
      </c>
      <c r="E222" s="9" t="s">
        <v>433</v>
      </c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3:31" ht="13.5" x14ac:dyDescent="0.15">
      <c r="C223" s="9">
        <v>26115</v>
      </c>
      <c r="D223" s="9" t="s">
        <v>483</v>
      </c>
      <c r="E223" s="9" t="s">
        <v>433</v>
      </c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3:31" ht="13.5" x14ac:dyDescent="0.15">
      <c r="C224" s="9">
        <v>26116</v>
      </c>
      <c r="D224" s="9" t="s">
        <v>482</v>
      </c>
      <c r="E224" s="9" t="s">
        <v>433</v>
      </c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3:31" ht="13.5" x14ac:dyDescent="0.15">
      <c r="C225" s="9">
        <v>26117</v>
      </c>
      <c r="D225" s="9" t="s">
        <v>481</v>
      </c>
      <c r="E225" s="9" t="s">
        <v>433</v>
      </c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3:31" ht="13.5" x14ac:dyDescent="0.15">
      <c r="C226" s="9">
        <v>26118</v>
      </c>
      <c r="D226" s="9" t="s">
        <v>480</v>
      </c>
      <c r="E226" s="9" t="s">
        <v>433</v>
      </c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3:31" ht="13.5" x14ac:dyDescent="0.15">
      <c r="C227" s="9">
        <v>26119</v>
      </c>
      <c r="D227" s="9" t="s">
        <v>479</v>
      </c>
      <c r="E227" s="9" t="s">
        <v>433</v>
      </c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3:31" ht="13.5" x14ac:dyDescent="0.15">
      <c r="C228" s="9">
        <v>26120</v>
      </c>
      <c r="D228" s="9" t="s">
        <v>478</v>
      </c>
      <c r="E228" s="9" t="s">
        <v>433</v>
      </c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3:31" ht="13.5" x14ac:dyDescent="0.15">
      <c r="C229" s="9">
        <v>26121</v>
      </c>
      <c r="D229" s="9" t="s">
        <v>477</v>
      </c>
      <c r="E229" s="9" t="s">
        <v>433</v>
      </c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3:31" ht="13.5" x14ac:dyDescent="0.15">
      <c r="C230" s="9">
        <v>26122</v>
      </c>
      <c r="D230" s="9" t="s">
        <v>476</v>
      </c>
      <c r="E230" s="9" t="s">
        <v>433</v>
      </c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3:31" ht="13.5" x14ac:dyDescent="0.15">
      <c r="C231" s="9">
        <v>26123</v>
      </c>
      <c r="D231" s="9" t="s">
        <v>475</v>
      </c>
      <c r="E231" s="9" t="s">
        <v>433</v>
      </c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3:31" ht="13.5" x14ac:dyDescent="0.15">
      <c r="C232" s="9">
        <v>26124</v>
      </c>
      <c r="D232" s="9" t="s">
        <v>474</v>
      </c>
      <c r="E232" s="9" t="s">
        <v>433</v>
      </c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3:31" ht="13.5" x14ac:dyDescent="0.15">
      <c r="C233" s="9">
        <v>26125</v>
      </c>
      <c r="D233" s="9" t="s">
        <v>473</v>
      </c>
      <c r="E233" s="9" t="s">
        <v>433</v>
      </c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3:31" ht="13.5" x14ac:dyDescent="0.15">
      <c r="C234" s="9">
        <v>26126</v>
      </c>
      <c r="D234" s="9" t="s">
        <v>472</v>
      </c>
      <c r="E234" s="9" t="s">
        <v>433</v>
      </c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3:31" ht="13.5" x14ac:dyDescent="0.15">
      <c r="C235" s="9">
        <v>26127</v>
      </c>
      <c r="D235" s="9" t="s">
        <v>471</v>
      </c>
      <c r="E235" s="9" t="s">
        <v>433</v>
      </c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3:31" ht="13.5" x14ac:dyDescent="0.15">
      <c r="C236" s="9">
        <v>26128</v>
      </c>
      <c r="D236" s="9" t="s">
        <v>470</v>
      </c>
      <c r="E236" s="9" t="s">
        <v>433</v>
      </c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3:31" ht="13.5" x14ac:dyDescent="0.15">
      <c r="C237" s="9">
        <v>26129</v>
      </c>
      <c r="D237" s="9" t="s">
        <v>469</v>
      </c>
      <c r="E237" s="9" t="s">
        <v>433</v>
      </c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3:31" ht="13.5" x14ac:dyDescent="0.15">
      <c r="C238" s="9">
        <v>26130</v>
      </c>
      <c r="D238" s="9" t="s">
        <v>468</v>
      </c>
      <c r="E238" s="9" t="s">
        <v>433</v>
      </c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3:31" ht="13.5" x14ac:dyDescent="0.15">
      <c r="C239" s="9">
        <v>26131</v>
      </c>
      <c r="D239" s="9" t="s">
        <v>467</v>
      </c>
      <c r="E239" s="9" t="s">
        <v>433</v>
      </c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3:31" ht="13.5" x14ac:dyDescent="0.15"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3:31" ht="13.5" x14ac:dyDescent="0.15">
      <c r="C241" s="9">
        <v>26200</v>
      </c>
      <c r="D241" s="9" t="s">
        <v>466</v>
      </c>
      <c r="E241" s="9" t="s">
        <v>433</v>
      </c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3:31" ht="13.5" x14ac:dyDescent="0.15">
      <c r="C242" s="9">
        <v>26201</v>
      </c>
      <c r="D242" s="9" t="s">
        <v>465</v>
      </c>
      <c r="E242" s="9" t="s">
        <v>433</v>
      </c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3:31" ht="13.5" x14ac:dyDescent="0.15">
      <c r="C243" s="9">
        <v>26202</v>
      </c>
      <c r="D243" s="9" t="s">
        <v>464</v>
      </c>
      <c r="E243" s="9" t="s">
        <v>433</v>
      </c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3:31" ht="13.5" x14ac:dyDescent="0.15">
      <c r="C244" s="9">
        <v>26203</v>
      </c>
      <c r="D244" s="9" t="s">
        <v>463</v>
      </c>
      <c r="E244" s="9" t="s">
        <v>433</v>
      </c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3:31" ht="13.5" x14ac:dyDescent="0.15">
      <c r="C245" s="9">
        <v>26204</v>
      </c>
      <c r="D245" s="9" t="s">
        <v>462</v>
      </c>
      <c r="E245" s="9" t="s">
        <v>433</v>
      </c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3:31" ht="13.5" x14ac:dyDescent="0.15">
      <c r="C246" s="9">
        <v>26205</v>
      </c>
      <c r="D246" s="9" t="s">
        <v>461</v>
      </c>
      <c r="E246" s="9" t="s">
        <v>433</v>
      </c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3:31" ht="13.5" x14ac:dyDescent="0.15">
      <c r="C247" s="9">
        <v>26206</v>
      </c>
      <c r="D247" s="9" t="s">
        <v>460</v>
      </c>
      <c r="E247" s="9" t="s">
        <v>433</v>
      </c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3:31" ht="13.5" x14ac:dyDescent="0.15">
      <c r="C248" s="9">
        <v>26207</v>
      </c>
      <c r="D248" s="9" t="s">
        <v>459</v>
      </c>
      <c r="E248" s="9" t="s">
        <v>433</v>
      </c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3:31" ht="13.5" x14ac:dyDescent="0.15">
      <c r="C249" s="9">
        <v>26208</v>
      </c>
      <c r="D249" s="9" t="s">
        <v>458</v>
      </c>
      <c r="E249" s="9" t="s">
        <v>454</v>
      </c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3:31" ht="13.5" x14ac:dyDescent="0.15">
      <c r="C250" s="9">
        <v>26209</v>
      </c>
      <c r="D250" s="9" t="s">
        <v>457</v>
      </c>
      <c r="E250" s="9" t="s">
        <v>433</v>
      </c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3:31" ht="13.5" x14ac:dyDescent="0.15">
      <c r="C251" s="9">
        <v>26210</v>
      </c>
      <c r="D251" s="9" t="s">
        <v>456</v>
      </c>
      <c r="E251" s="9" t="s">
        <v>433</v>
      </c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3:31" ht="13.5" x14ac:dyDescent="0.15">
      <c r="C252" s="9">
        <v>26211</v>
      </c>
      <c r="D252" s="9" t="s">
        <v>455</v>
      </c>
      <c r="E252" s="9" t="s">
        <v>454</v>
      </c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3:31" ht="13.5" x14ac:dyDescent="0.15">
      <c r="C253" s="9">
        <v>26212</v>
      </c>
      <c r="D253" s="9" t="s">
        <v>453</v>
      </c>
      <c r="E253" s="9" t="s">
        <v>433</v>
      </c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3:31" ht="13.5" x14ac:dyDescent="0.15">
      <c r="C254" s="9">
        <v>26213</v>
      </c>
      <c r="D254" s="9" t="s">
        <v>452</v>
      </c>
      <c r="E254" s="9" t="s">
        <v>433</v>
      </c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3:31" ht="13.5" x14ac:dyDescent="0.15">
      <c r="C255" s="9">
        <v>26214</v>
      </c>
      <c r="D255" s="9" t="s">
        <v>451</v>
      </c>
      <c r="E255" s="9" t="s">
        <v>433</v>
      </c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3:31" ht="13.5" x14ac:dyDescent="0.15">
      <c r="C256" s="9">
        <v>26215</v>
      </c>
      <c r="D256" s="9" t="s">
        <v>450</v>
      </c>
      <c r="E256" s="9" t="s">
        <v>433</v>
      </c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3:31" ht="13.5" x14ac:dyDescent="0.15">
      <c r="C257" s="9">
        <v>26216</v>
      </c>
      <c r="D257" s="9" t="s">
        <v>449</v>
      </c>
      <c r="E257" s="9" t="s">
        <v>433</v>
      </c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3:31" ht="13.5" x14ac:dyDescent="0.15">
      <c r="C258" s="9">
        <v>26217</v>
      </c>
      <c r="D258" s="9" t="s">
        <v>448</v>
      </c>
      <c r="E258" s="9" t="s">
        <v>433</v>
      </c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3:31" ht="13.5" x14ac:dyDescent="0.15">
      <c r="C259" s="9">
        <v>26218</v>
      </c>
      <c r="D259" s="9" t="s">
        <v>447</v>
      </c>
      <c r="E259" s="9" t="s">
        <v>433</v>
      </c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3:31" ht="13.5" x14ac:dyDescent="0.15">
      <c r="C260" s="9">
        <v>26219</v>
      </c>
      <c r="D260" s="9" t="s">
        <v>446</v>
      </c>
      <c r="E260" s="9" t="s">
        <v>433</v>
      </c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3:31" ht="13.5" x14ac:dyDescent="0.15">
      <c r="C261" s="9">
        <v>26220</v>
      </c>
      <c r="D261" s="9" t="s">
        <v>445</v>
      </c>
      <c r="E261" s="9" t="s">
        <v>433</v>
      </c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3:31" ht="13.5" x14ac:dyDescent="0.15">
      <c r="C262" s="9">
        <v>26221</v>
      </c>
      <c r="D262" s="9" t="s">
        <v>444</v>
      </c>
      <c r="E262" s="9" t="s">
        <v>433</v>
      </c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3:31" ht="13.5" x14ac:dyDescent="0.15">
      <c r="C263" s="9">
        <v>26222</v>
      </c>
      <c r="D263" s="9" t="s">
        <v>443</v>
      </c>
      <c r="E263" s="9" t="s">
        <v>433</v>
      </c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3:31" ht="13.5" x14ac:dyDescent="0.15">
      <c r="C264" s="9">
        <v>26223</v>
      </c>
      <c r="D264" s="9" t="s">
        <v>442</v>
      </c>
      <c r="E264" s="9" t="s">
        <v>433</v>
      </c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3:31" ht="13.5" x14ac:dyDescent="0.15"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3:31" ht="13.5" x14ac:dyDescent="0.15">
      <c r="C266" s="9">
        <v>26300</v>
      </c>
      <c r="D266" s="9" t="s">
        <v>441</v>
      </c>
      <c r="E266" s="9" t="s">
        <v>433</v>
      </c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3:31" ht="13.5" x14ac:dyDescent="0.15">
      <c r="C267" s="9">
        <v>26301</v>
      </c>
      <c r="D267" s="9" t="s">
        <v>440</v>
      </c>
      <c r="E267" s="9" t="s">
        <v>433</v>
      </c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3:31" ht="13.5" x14ac:dyDescent="0.15">
      <c r="C268" s="9">
        <v>26302</v>
      </c>
      <c r="D268" s="9" t="s">
        <v>439</v>
      </c>
      <c r="E268" s="9" t="s">
        <v>433</v>
      </c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3:31" ht="13.5" x14ac:dyDescent="0.15">
      <c r="C269" s="9">
        <v>26303</v>
      </c>
      <c r="D269" s="9" t="s">
        <v>438</v>
      </c>
      <c r="E269" s="9" t="s">
        <v>433</v>
      </c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3:31" ht="13.5" x14ac:dyDescent="0.15">
      <c r="C270" s="9">
        <v>26304</v>
      </c>
      <c r="D270" s="9" t="s">
        <v>437</v>
      </c>
      <c r="E270" s="9" t="s">
        <v>433</v>
      </c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3:31" ht="13.5" x14ac:dyDescent="0.15">
      <c r="C271" s="9">
        <v>26305</v>
      </c>
      <c r="D271" s="9" t="s">
        <v>436</v>
      </c>
      <c r="E271" s="9" t="s">
        <v>433</v>
      </c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3:31" ht="13.5" x14ac:dyDescent="0.15">
      <c r="C272" s="9">
        <v>26306</v>
      </c>
      <c r="D272" s="9" t="s">
        <v>435</v>
      </c>
      <c r="E272" s="9" t="s">
        <v>433</v>
      </c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3:31" ht="13.5" x14ac:dyDescent="0.15">
      <c r="C273" s="9">
        <v>26307</v>
      </c>
      <c r="D273" s="9" t="s">
        <v>434</v>
      </c>
      <c r="E273" s="9" t="s">
        <v>433</v>
      </c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3:31" ht="13.5" x14ac:dyDescent="0.15">
      <c r="C274" s="9" t="s">
        <v>371</v>
      </c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3:31" ht="13.5" x14ac:dyDescent="0.15">
      <c r="C275" s="9">
        <v>26400</v>
      </c>
      <c r="D275" s="9" t="s">
        <v>432</v>
      </c>
      <c r="E275" s="9" t="s">
        <v>428</v>
      </c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3:31" ht="13.5" x14ac:dyDescent="0.15">
      <c r="C276" s="9">
        <v>26401</v>
      </c>
      <c r="D276" s="9" t="s">
        <v>431</v>
      </c>
      <c r="E276" s="9" t="s">
        <v>428</v>
      </c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3:31" ht="13.5" x14ac:dyDescent="0.15">
      <c r="C277" s="9">
        <v>26402</v>
      </c>
      <c r="D277" s="9" t="s">
        <v>430</v>
      </c>
      <c r="E277" s="9" t="s">
        <v>428</v>
      </c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3:31" ht="13.5" x14ac:dyDescent="0.15">
      <c r="C278" s="9">
        <v>26403</v>
      </c>
      <c r="D278" s="9" t="s">
        <v>429</v>
      </c>
      <c r="E278" s="9" t="s">
        <v>428</v>
      </c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3:31" ht="13.5" x14ac:dyDescent="0.15"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3:31" ht="13.5" x14ac:dyDescent="0.15">
      <c r="C280" s="9">
        <v>26500</v>
      </c>
      <c r="D280" s="9" t="s">
        <v>427</v>
      </c>
      <c r="E280" s="9" t="s">
        <v>426</v>
      </c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3:31" ht="13.5" x14ac:dyDescent="0.15">
      <c r="C281" s="9">
        <v>26501</v>
      </c>
      <c r="D281" s="9" t="s">
        <v>425</v>
      </c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3:31" ht="13.5" x14ac:dyDescent="0.15">
      <c r="C282" s="9">
        <v>26502</v>
      </c>
      <c r="D282" s="9" t="s">
        <v>424</v>
      </c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3:31" ht="13.5" x14ac:dyDescent="0.15">
      <c r="C283" s="9">
        <v>26503</v>
      </c>
      <c r="D283" s="9" t="s">
        <v>423</v>
      </c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3:31" ht="13.5" x14ac:dyDescent="0.15">
      <c r="C284" s="9">
        <v>26504</v>
      </c>
      <c r="D284" s="9" t="s">
        <v>422</v>
      </c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3:31" ht="13.5" x14ac:dyDescent="0.15"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3:31" ht="13.5" x14ac:dyDescent="0.15">
      <c r="C286" s="9">
        <v>26550</v>
      </c>
      <c r="D286" s="9" t="s">
        <v>421</v>
      </c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3:31" ht="13.5" x14ac:dyDescent="0.15">
      <c r="C287" s="9">
        <v>26551</v>
      </c>
      <c r="D287" s="9" t="s">
        <v>420</v>
      </c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3:31" ht="13.5" x14ac:dyDescent="0.15">
      <c r="C288" s="9">
        <v>26552</v>
      </c>
      <c r="D288" s="9" t="s">
        <v>419</v>
      </c>
      <c r="E288" s="9" t="s">
        <v>416</v>
      </c>
      <c r="F288" s="9" t="s">
        <v>379</v>
      </c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3:31" ht="13.5" x14ac:dyDescent="0.15">
      <c r="C289" s="9">
        <v>26553</v>
      </c>
      <c r="D289" s="9" t="s">
        <v>418</v>
      </c>
      <c r="E289" s="9" t="s">
        <v>416</v>
      </c>
      <c r="F289" s="9" t="s">
        <v>379</v>
      </c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3:31" ht="13.5" x14ac:dyDescent="0.15">
      <c r="C290" s="9">
        <v>26554</v>
      </c>
      <c r="D290" s="9" t="s">
        <v>417</v>
      </c>
      <c r="E290" s="9" t="s">
        <v>416</v>
      </c>
      <c r="F290" s="9" t="s">
        <v>379</v>
      </c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3:31" ht="13.5" x14ac:dyDescent="0.15">
      <c r="C291" s="9">
        <v>26555</v>
      </c>
      <c r="D291" s="9" t="s">
        <v>415</v>
      </c>
      <c r="E291" s="9" t="s">
        <v>379</v>
      </c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3:31" ht="13.5" x14ac:dyDescent="0.15">
      <c r="C292" s="9">
        <v>26556</v>
      </c>
      <c r="D292" s="9" t="s">
        <v>414</v>
      </c>
      <c r="E292" s="9" t="s">
        <v>379</v>
      </c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3:31" ht="13.5" x14ac:dyDescent="0.15">
      <c r="C293" s="9">
        <v>26557</v>
      </c>
      <c r="D293" s="9" t="s">
        <v>413</v>
      </c>
      <c r="E293" s="9" t="s">
        <v>379</v>
      </c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3:31" ht="13.5" x14ac:dyDescent="0.15"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3:31" ht="13.5" x14ac:dyDescent="0.15">
      <c r="C295" s="9">
        <v>26700</v>
      </c>
      <c r="D295" s="9" t="s">
        <v>412</v>
      </c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3:31" ht="13.5" x14ac:dyDescent="0.15">
      <c r="C296" s="9">
        <v>26701</v>
      </c>
      <c r="D296" s="9" t="s">
        <v>411</v>
      </c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3:31" ht="13.5" x14ac:dyDescent="0.15">
      <c r="C297" s="9">
        <v>26702</v>
      </c>
      <c r="D297" s="9" t="s">
        <v>410</v>
      </c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3:31" ht="13.5" x14ac:dyDescent="0.15">
      <c r="C298" s="9">
        <v>26703</v>
      </c>
      <c r="D298" s="9" t="s">
        <v>409</v>
      </c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3:31" ht="13.5" x14ac:dyDescent="0.15">
      <c r="C299" s="9">
        <v>26704</v>
      </c>
      <c r="D299" s="9" t="s">
        <v>408</v>
      </c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3:31" ht="13.5" x14ac:dyDescent="0.15">
      <c r="C300" s="9">
        <v>26705</v>
      </c>
      <c r="D300" s="9" t="s">
        <v>407</v>
      </c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3:31" ht="13.5" x14ac:dyDescent="0.15">
      <c r="C301" s="9">
        <v>26706</v>
      </c>
      <c r="D301" s="9" t="s">
        <v>406</v>
      </c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3:31" ht="13.5" x14ac:dyDescent="0.15">
      <c r="C302" s="9">
        <v>26707</v>
      </c>
      <c r="D302" s="9" t="s">
        <v>405</v>
      </c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3:31" ht="13.5" x14ac:dyDescent="0.15">
      <c r="C303" s="9">
        <v>26708</v>
      </c>
      <c r="D303" s="9" t="s">
        <v>404</v>
      </c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3:31" ht="13.5" x14ac:dyDescent="0.15">
      <c r="C304" s="9">
        <v>26709</v>
      </c>
      <c r="D304" s="9" t="s">
        <v>403</v>
      </c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3:31" ht="13.5" x14ac:dyDescent="0.15">
      <c r="C305" s="9">
        <v>26710</v>
      </c>
      <c r="D305" s="9" t="s">
        <v>402</v>
      </c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3:31" ht="13.5" x14ac:dyDescent="0.15">
      <c r="C306" s="9">
        <v>26711</v>
      </c>
      <c r="D306" s="9" t="s">
        <v>401</v>
      </c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3:31" ht="13.5" x14ac:dyDescent="0.15">
      <c r="C307" s="9">
        <v>26712</v>
      </c>
      <c r="D307" s="9" t="s">
        <v>400</v>
      </c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3:31" ht="13.5" x14ac:dyDescent="0.15">
      <c r="C308" s="9">
        <v>26713</v>
      </c>
      <c r="D308" s="9" t="s">
        <v>399</v>
      </c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3:31" ht="13.5" x14ac:dyDescent="0.15">
      <c r="C309" s="9">
        <v>26714</v>
      </c>
      <c r="D309" s="9" t="s">
        <v>398</v>
      </c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3:31" ht="13.5" x14ac:dyDescent="0.15"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3:31" ht="13.5" x14ac:dyDescent="0.15"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3:31" ht="13.5" x14ac:dyDescent="0.15"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3:31" ht="13.5" x14ac:dyDescent="0.15">
      <c r="C313" s="9">
        <v>28001</v>
      </c>
      <c r="D313" s="9" t="s">
        <v>397</v>
      </c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3:31" ht="13.5" x14ac:dyDescent="0.15">
      <c r="C314" s="9">
        <v>28002</v>
      </c>
      <c r="D314" s="9" t="s">
        <v>396</v>
      </c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3:31" ht="13.5" x14ac:dyDescent="0.15">
      <c r="C315" s="9">
        <v>28003</v>
      </c>
      <c r="D315" s="9" t="s">
        <v>395</v>
      </c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3:31" ht="13.5" x14ac:dyDescent="0.15">
      <c r="C316" s="9">
        <v>28004</v>
      </c>
      <c r="D316" s="9" t="s">
        <v>394</v>
      </c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3:31" ht="13.5" x14ac:dyDescent="0.15">
      <c r="C317" s="9">
        <v>28005</v>
      </c>
      <c r="D317" s="9" t="s">
        <v>393</v>
      </c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3:31" ht="13.5" x14ac:dyDescent="0.15">
      <c r="C318" s="9">
        <v>28006</v>
      </c>
      <c r="D318" s="9" t="s">
        <v>392</v>
      </c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3:31" ht="13.5" x14ac:dyDescent="0.15">
      <c r="C319" s="9">
        <v>28007</v>
      </c>
      <c r="D319" s="9" t="s">
        <v>391</v>
      </c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3:31" ht="13.5" x14ac:dyDescent="0.15">
      <c r="C320" s="9">
        <v>28008</v>
      </c>
      <c r="D320" s="9" t="s">
        <v>390</v>
      </c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3:31" ht="13.5" x14ac:dyDescent="0.15">
      <c r="C321" s="9">
        <v>28009</v>
      </c>
      <c r="D321" s="9" t="s">
        <v>389</v>
      </c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3:31" ht="13.5" x14ac:dyDescent="0.15"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3:31" ht="13.5" x14ac:dyDescent="0.15">
      <c r="C323" s="9">
        <v>21031</v>
      </c>
      <c r="D323" s="9" t="s">
        <v>388</v>
      </c>
      <c r="E323" s="9" t="s">
        <v>387</v>
      </c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3:31" ht="13.5" x14ac:dyDescent="0.15">
      <c r="C324" s="9">
        <v>21032</v>
      </c>
      <c r="D324" s="9" t="s">
        <v>386</v>
      </c>
      <c r="E324" s="9" t="s">
        <v>379</v>
      </c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3:31" ht="13.5" x14ac:dyDescent="0.15">
      <c r="C325" s="9">
        <v>21033</v>
      </c>
      <c r="D325" s="9" t="s">
        <v>385</v>
      </c>
      <c r="E325" s="9" t="s">
        <v>379</v>
      </c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3:31" ht="13.5" x14ac:dyDescent="0.15">
      <c r="C326" s="9">
        <v>21034</v>
      </c>
      <c r="D326" s="9" t="s">
        <v>384</v>
      </c>
      <c r="E326" s="9" t="s">
        <v>379</v>
      </c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3:31" ht="13.5" x14ac:dyDescent="0.15"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3:31" ht="13.5" x14ac:dyDescent="0.15">
      <c r="C328" s="9">
        <v>21251</v>
      </c>
      <c r="D328" s="9" t="s">
        <v>383</v>
      </c>
      <c r="E328" s="9" t="s">
        <v>379</v>
      </c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3:31" ht="13.5" x14ac:dyDescent="0.15">
      <c r="C329" s="9">
        <v>21252</v>
      </c>
      <c r="D329" s="9" t="s">
        <v>382</v>
      </c>
      <c r="E329" s="9" t="s">
        <v>379</v>
      </c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3:31" ht="13.5" x14ac:dyDescent="0.15">
      <c r="C330" s="9">
        <v>21253</v>
      </c>
      <c r="D330" s="9" t="s">
        <v>381</v>
      </c>
      <c r="E330" s="9" t="s">
        <v>379</v>
      </c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3:31" ht="13.5" x14ac:dyDescent="0.15">
      <c r="C331" s="9">
        <v>21254</v>
      </c>
      <c r="D331" s="9" t="s">
        <v>380</v>
      </c>
      <c r="E331" s="9" t="s">
        <v>379</v>
      </c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3:31" ht="13.5" x14ac:dyDescent="0.15">
      <c r="C332" s="9">
        <v>21255</v>
      </c>
      <c r="D332" s="9" t="s">
        <v>378</v>
      </c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3:31" ht="13.5" x14ac:dyDescent="0.15"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3:31" ht="13.5" x14ac:dyDescent="0.15">
      <c r="C334" s="9">
        <v>180001</v>
      </c>
      <c r="D334" s="9" t="s">
        <v>377</v>
      </c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3:31" ht="13.5" x14ac:dyDescent="0.15">
      <c r="C335" s="9">
        <v>180002</v>
      </c>
      <c r="D335" s="9" t="s">
        <v>376</v>
      </c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3:31" ht="13.5" x14ac:dyDescent="0.15">
      <c r="C336" s="9">
        <v>180003</v>
      </c>
      <c r="D336" s="9" t="s">
        <v>375</v>
      </c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3:31" ht="13.5" x14ac:dyDescent="0.15">
      <c r="C337" s="9">
        <v>180004</v>
      </c>
      <c r="D337" s="9" t="s">
        <v>374</v>
      </c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3:31" ht="13.5" x14ac:dyDescent="0.15">
      <c r="C338" s="9">
        <v>180005</v>
      </c>
      <c r="D338" s="9" t="s">
        <v>373</v>
      </c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3:31" ht="13.5" x14ac:dyDescent="0.15">
      <c r="C339" s="9">
        <v>180006</v>
      </c>
      <c r="D339" s="9" t="s">
        <v>372</v>
      </c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3:31" ht="13.5" x14ac:dyDescent="0.15"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3:31" ht="13.5" x14ac:dyDescent="0.15"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3:31" ht="13.5" x14ac:dyDescent="0.15"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3:31" ht="13.5" x14ac:dyDescent="0.15"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3:31" ht="13.5" x14ac:dyDescent="0.15"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3:31" ht="13.5" x14ac:dyDescent="0.15"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3:31" ht="13.5" x14ac:dyDescent="0.15"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3:31" ht="13.5" x14ac:dyDescent="0.15"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3:31" ht="13.5" x14ac:dyDescent="0.15"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3:31" ht="13.5" x14ac:dyDescent="0.15"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3:31" ht="13.5" x14ac:dyDescent="0.15"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3:31" ht="13.5" x14ac:dyDescent="0.15"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3:31" ht="13.5" x14ac:dyDescent="0.15"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3:31" ht="13.5" x14ac:dyDescent="0.15"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3:31" ht="13.5" x14ac:dyDescent="0.15"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3:31" ht="13.5" x14ac:dyDescent="0.15"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3:31" ht="13.5" x14ac:dyDescent="0.15"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3:31" ht="13.5" x14ac:dyDescent="0.15"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3:31" ht="13.5" x14ac:dyDescent="0.15"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3:31" ht="13.5" x14ac:dyDescent="0.15"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3:31" ht="13.5" x14ac:dyDescent="0.15"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3:31" ht="13.5" x14ac:dyDescent="0.15"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3:31" ht="13.5" x14ac:dyDescent="0.15">
      <c r="C362" s="9" t="s">
        <v>371</v>
      </c>
      <c r="T362"/>
      <c r="U362"/>
      <c r="V362"/>
      <c r="W362"/>
      <c r="X362"/>
      <c r="Y362"/>
      <c r="Z362"/>
      <c r="AA362"/>
      <c r="AB362"/>
      <c r="AC362"/>
      <c r="AD362"/>
      <c r="AE36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C3:Y36"/>
  <sheetViews>
    <sheetView workbookViewId="0">
      <selection activeCell="L38" sqref="L38"/>
    </sheetView>
  </sheetViews>
  <sheetFormatPr defaultRowHeight="11.25" x14ac:dyDescent="0.15"/>
  <cols>
    <col min="1" max="9" width="9" style="9"/>
    <col min="10" max="10" width="13.875" style="9" bestFit="1" customWidth="1"/>
    <col min="11" max="16384" width="9" style="9"/>
  </cols>
  <sheetData>
    <row r="3" spans="3:25" x14ac:dyDescent="0.15">
      <c r="F3" s="9" t="s">
        <v>260</v>
      </c>
    </row>
    <row r="4" spans="3:25" x14ac:dyDescent="0.15">
      <c r="C4" s="9" t="s">
        <v>245</v>
      </c>
      <c r="D4" s="9" t="s">
        <v>248</v>
      </c>
      <c r="E4" s="9" t="s">
        <v>271</v>
      </c>
      <c r="F4" s="9" t="s">
        <v>250</v>
      </c>
      <c r="G4" s="9" t="s">
        <v>254</v>
      </c>
      <c r="H4" s="9" t="s">
        <v>261</v>
      </c>
      <c r="I4" s="9" t="s">
        <v>262</v>
      </c>
      <c r="J4" s="9" t="s">
        <v>263</v>
      </c>
      <c r="K4" s="9" t="s">
        <v>123</v>
      </c>
      <c r="M4" s="10" t="s">
        <v>272</v>
      </c>
      <c r="N4" s="10" t="s">
        <v>273</v>
      </c>
      <c r="O4" s="10" t="s">
        <v>274</v>
      </c>
      <c r="P4" s="10" t="s">
        <v>275</v>
      </c>
      <c r="Q4" s="10" t="s">
        <v>276</v>
      </c>
      <c r="R4" s="10" t="s">
        <v>277</v>
      </c>
      <c r="U4" s="9" t="s">
        <v>278</v>
      </c>
    </row>
    <row r="5" spans="3:25" x14ac:dyDescent="0.15">
      <c r="C5" s="9" t="s">
        <v>246</v>
      </c>
      <c r="D5" s="9">
        <v>1</v>
      </c>
      <c r="E5" s="9">
        <v>5</v>
      </c>
      <c r="F5" s="9" t="s">
        <v>251</v>
      </c>
      <c r="G5" s="9" t="s">
        <v>255</v>
      </c>
      <c r="J5" s="9" t="s">
        <v>270</v>
      </c>
      <c r="M5" s="11">
        <v>1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U5" s="9" t="s">
        <v>279</v>
      </c>
      <c r="V5" s="9" t="s">
        <v>280</v>
      </c>
      <c r="W5" s="9" t="s">
        <v>281</v>
      </c>
      <c r="X5" s="9" t="s">
        <v>282</v>
      </c>
      <c r="Y5" s="9" t="s">
        <v>283</v>
      </c>
    </row>
    <row r="6" spans="3:25" x14ac:dyDescent="0.15">
      <c r="C6" s="9" t="s">
        <v>246</v>
      </c>
      <c r="D6" s="9">
        <v>2</v>
      </c>
      <c r="E6" s="9">
        <v>10</v>
      </c>
      <c r="F6" s="9" t="s">
        <v>251</v>
      </c>
      <c r="G6" s="9" t="s">
        <v>255</v>
      </c>
      <c r="J6" s="9" t="s">
        <v>270</v>
      </c>
      <c r="M6" s="11">
        <v>5</v>
      </c>
      <c r="N6" s="11">
        <v>1</v>
      </c>
      <c r="O6" s="11">
        <v>0</v>
      </c>
      <c r="P6" s="11">
        <v>0</v>
      </c>
      <c r="Q6" s="11">
        <v>0</v>
      </c>
      <c r="R6" s="11">
        <v>0</v>
      </c>
      <c r="T6" s="9" t="s">
        <v>273</v>
      </c>
      <c r="U6" s="9">
        <v>1</v>
      </c>
    </row>
    <row r="7" spans="3:25" x14ac:dyDescent="0.15">
      <c r="C7" s="9" t="s">
        <v>246</v>
      </c>
      <c r="D7" s="9">
        <v>3</v>
      </c>
      <c r="E7" s="9">
        <v>15</v>
      </c>
      <c r="F7" s="9" t="s">
        <v>251</v>
      </c>
      <c r="G7" s="9" t="s">
        <v>256</v>
      </c>
      <c r="H7" s="9" t="s">
        <v>266</v>
      </c>
      <c r="J7" s="9" t="s">
        <v>270</v>
      </c>
      <c r="M7" s="11">
        <v>10</v>
      </c>
      <c r="N7" s="11">
        <f>1-O7</f>
        <v>0.4</v>
      </c>
      <c r="O7" s="11">
        <v>0.6</v>
      </c>
      <c r="P7" s="11">
        <v>0</v>
      </c>
      <c r="Q7" s="11">
        <v>0</v>
      </c>
      <c r="R7" s="11">
        <v>0</v>
      </c>
      <c r="T7" s="9" t="s">
        <v>274</v>
      </c>
      <c r="U7" s="9">
        <v>0.6</v>
      </c>
      <c r="V7" s="9">
        <v>0.4</v>
      </c>
    </row>
    <row r="8" spans="3:25" x14ac:dyDescent="0.15">
      <c r="C8" s="9" t="s">
        <v>246</v>
      </c>
      <c r="D8" s="9">
        <v>4</v>
      </c>
      <c r="E8" s="9">
        <v>15</v>
      </c>
      <c r="F8" s="9" t="s">
        <v>251</v>
      </c>
      <c r="G8" s="9" t="s">
        <v>40</v>
      </c>
      <c r="H8" s="9" t="s">
        <v>267</v>
      </c>
      <c r="J8" s="9" t="s">
        <v>270</v>
      </c>
      <c r="M8" s="11">
        <v>15</v>
      </c>
      <c r="N8" s="11">
        <f>1-O8</f>
        <v>0.19999999999999996</v>
      </c>
      <c r="O8" s="11">
        <v>0.8</v>
      </c>
      <c r="P8" s="11">
        <v>0</v>
      </c>
      <c r="Q8" s="11">
        <v>0</v>
      </c>
      <c r="R8" s="11">
        <v>0</v>
      </c>
      <c r="T8" s="9" t="s">
        <v>275</v>
      </c>
      <c r="U8" s="9">
        <v>0.3</v>
      </c>
      <c r="V8" s="9">
        <v>0.4</v>
      </c>
      <c r="W8" s="9">
        <v>0.3</v>
      </c>
    </row>
    <row r="9" spans="3:25" x14ac:dyDescent="0.15">
      <c r="C9" s="9" t="s">
        <v>246</v>
      </c>
      <c r="D9" s="9">
        <v>5</v>
      </c>
      <c r="E9" s="9">
        <v>20</v>
      </c>
      <c r="F9" s="9" t="s">
        <v>251</v>
      </c>
      <c r="G9" s="9" t="s">
        <v>257</v>
      </c>
      <c r="H9" s="9" t="s">
        <v>264</v>
      </c>
      <c r="J9" s="9" t="s">
        <v>270</v>
      </c>
      <c r="M9" s="11">
        <v>20</v>
      </c>
      <c r="N9" s="11">
        <v>0</v>
      </c>
      <c r="O9" s="11">
        <v>0.6</v>
      </c>
      <c r="P9" s="11">
        <v>0.4</v>
      </c>
      <c r="Q9" s="11">
        <v>0</v>
      </c>
      <c r="R9" s="11">
        <v>0</v>
      </c>
      <c r="T9" s="9" t="s">
        <v>276</v>
      </c>
      <c r="V9" s="9">
        <v>0.5</v>
      </c>
      <c r="W9" s="9">
        <v>0.3</v>
      </c>
      <c r="X9" s="9">
        <v>0.2</v>
      </c>
    </row>
    <row r="10" spans="3:25" x14ac:dyDescent="0.15">
      <c r="C10" s="9" t="s">
        <v>246</v>
      </c>
      <c r="D10" s="9">
        <v>6</v>
      </c>
      <c r="E10" s="9">
        <v>25</v>
      </c>
      <c r="F10" s="9" t="s">
        <v>251</v>
      </c>
      <c r="G10" s="9" t="s">
        <v>257</v>
      </c>
      <c r="H10" s="9" t="s">
        <v>265</v>
      </c>
      <c r="J10" s="9" t="s">
        <v>270</v>
      </c>
      <c r="M10" s="11">
        <v>25</v>
      </c>
      <c r="N10" s="11">
        <v>0</v>
      </c>
      <c r="O10" s="11">
        <v>0.5</v>
      </c>
      <c r="P10" s="11">
        <v>0.5</v>
      </c>
      <c r="Q10" s="11">
        <v>0</v>
      </c>
      <c r="R10" s="11">
        <v>0</v>
      </c>
      <c r="T10" s="9" t="s">
        <v>277</v>
      </c>
      <c r="W10" s="9">
        <v>0.7</v>
      </c>
      <c r="X10" s="9">
        <v>0.2</v>
      </c>
      <c r="Y10" s="9">
        <v>0.1</v>
      </c>
    </row>
    <row r="11" spans="3:25" x14ac:dyDescent="0.15">
      <c r="C11" s="9" t="s">
        <v>246</v>
      </c>
      <c r="D11" s="9">
        <v>7</v>
      </c>
      <c r="E11" s="9">
        <v>30</v>
      </c>
      <c r="F11" s="9" t="s">
        <v>251</v>
      </c>
      <c r="G11" s="9" t="s">
        <v>258</v>
      </c>
      <c r="H11" s="9" t="s">
        <v>265</v>
      </c>
      <c r="J11" s="9" t="s">
        <v>270</v>
      </c>
      <c r="M11" s="11">
        <v>30</v>
      </c>
      <c r="N11" s="11">
        <v>0</v>
      </c>
      <c r="O11" s="11">
        <v>0.4</v>
      </c>
      <c r="P11" s="11">
        <v>0.35</v>
      </c>
      <c r="Q11" s="11">
        <v>0.25</v>
      </c>
      <c r="R11" s="11">
        <v>0</v>
      </c>
    </row>
    <row r="12" spans="3:25" x14ac:dyDescent="0.15">
      <c r="C12" s="9" t="s">
        <v>246</v>
      </c>
      <c r="D12" s="9">
        <v>8</v>
      </c>
      <c r="E12" s="9">
        <v>40</v>
      </c>
      <c r="F12" s="9" t="s">
        <v>251</v>
      </c>
      <c r="G12" s="9" t="s">
        <v>258</v>
      </c>
      <c r="H12" s="9" t="s">
        <v>268</v>
      </c>
      <c r="J12" s="9" t="s">
        <v>270</v>
      </c>
      <c r="M12" s="11">
        <v>35</v>
      </c>
      <c r="N12" s="11">
        <v>0</v>
      </c>
      <c r="O12" s="11">
        <v>0.24999999999999994</v>
      </c>
      <c r="P12" s="11">
        <v>0.45</v>
      </c>
      <c r="Q12" s="11">
        <v>0.3</v>
      </c>
      <c r="R12" s="11">
        <v>0</v>
      </c>
    </row>
    <row r="13" spans="3:25" x14ac:dyDescent="0.15">
      <c r="C13" s="9" t="s">
        <v>246</v>
      </c>
      <c r="D13" s="9">
        <v>9</v>
      </c>
      <c r="E13" s="9">
        <v>50</v>
      </c>
      <c r="F13" s="9" t="s">
        <v>251</v>
      </c>
      <c r="G13" s="9" t="s">
        <v>259</v>
      </c>
      <c r="H13" s="9" t="s">
        <v>269</v>
      </c>
      <c r="J13" s="9" t="s">
        <v>270</v>
      </c>
      <c r="M13" s="11">
        <v>40</v>
      </c>
      <c r="N13" s="11">
        <v>0</v>
      </c>
      <c r="O13" s="11">
        <v>0.20000000000000004</v>
      </c>
      <c r="P13" s="11">
        <v>0.45</v>
      </c>
      <c r="Q13" s="11">
        <v>0.35</v>
      </c>
      <c r="R13" s="11">
        <v>0</v>
      </c>
    </row>
    <row r="14" spans="3:25" x14ac:dyDescent="0.15">
      <c r="C14" s="9" t="s">
        <v>246</v>
      </c>
      <c r="D14" s="9">
        <v>10</v>
      </c>
      <c r="E14" s="9">
        <v>70</v>
      </c>
      <c r="F14" s="9" t="s">
        <v>251</v>
      </c>
      <c r="G14" s="9" t="s">
        <v>259</v>
      </c>
      <c r="H14" s="9" t="s">
        <v>269</v>
      </c>
      <c r="J14" s="9" t="s">
        <v>270</v>
      </c>
      <c r="M14" s="11">
        <v>45</v>
      </c>
      <c r="N14" s="11">
        <v>0</v>
      </c>
      <c r="O14" s="11">
        <v>0.15000000000000013</v>
      </c>
      <c r="P14" s="11">
        <v>0.45</v>
      </c>
      <c r="Q14" s="11">
        <v>0.4</v>
      </c>
      <c r="R14" s="11">
        <v>0</v>
      </c>
    </row>
    <row r="15" spans="3:25" x14ac:dyDescent="0.15">
      <c r="M15" s="11">
        <v>50</v>
      </c>
      <c r="N15" s="11">
        <v>0</v>
      </c>
      <c r="O15" s="11">
        <v>0</v>
      </c>
      <c r="P15" s="11">
        <v>0.55000000000000004</v>
      </c>
      <c r="Q15" s="11">
        <v>0.3</v>
      </c>
      <c r="R15" s="11">
        <v>0.15</v>
      </c>
    </row>
    <row r="16" spans="3:25" x14ac:dyDescent="0.15">
      <c r="C16" s="9" t="s">
        <v>247</v>
      </c>
      <c r="D16" s="9">
        <v>1</v>
      </c>
      <c r="E16" s="9">
        <v>5</v>
      </c>
      <c r="F16" s="9" t="s">
        <v>252</v>
      </c>
      <c r="G16" s="9" t="s">
        <v>255</v>
      </c>
      <c r="J16" s="9" t="s">
        <v>270</v>
      </c>
      <c r="M16" s="11">
        <v>55</v>
      </c>
      <c r="N16" s="11">
        <v>0</v>
      </c>
      <c r="O16" s="11">
        <v>0</v>
      </c>
      <c r="P16" s="11">
        <v>0.53</v>
      </c>
      <c r="Q16" s="11">
        <v>0.28000000000000003</v>
      </c>
      <c r="R16" s="11">
        <v>0.19</v>
      </c>
    </row>
    <row r="17" spans="3:18" x14ac:dyDescent="0.15">
      <c r="C17" s="9" t="s">
        <v>247</v>
      </c>
      <c r="D17" s="9">
        <v>2</v>
      </c>
      <c r="E17" s="9">
        <v>15</v>
      </c>
      <c r="F17" s="9" t="s">
        <v>252</v>
      </c>
      <c r="G17" s="9" t="s">
        <v>255</v>
      </c>
      <c r="J17" s="9" t="s">
        <v>270</v>
      </c>
      <c r="M17" s="11">
        <v>60</v>
      </c>
      <c r="N17" s="11">
        <v>0</v>
      </c>
      <c r="O17" s="11">
        <v>0</v>
      </c>
      <c r="P17" s="11">
        <v>0.51</v>
      </c>
      <c r="Q17" s="11">
        <v>0.26</v>
      </c>
      <c r="R17" s="11">
        <v>0.23</v>
      </c>
    </row>
    <row r="18" spans="3:18" x14ac:dyDescent="0.15">
      <c r="C18" s="9" t="s">
        <v>247</v>
      </c>
      <c r="D18" s="9">
        <v>3</v>
      </c>
      <c r="E18" s="9">
        <v>25</v>
      </c>
      <c r="F18" s="9" t="s">
        <v>252</v>
      </c>
      <c r="G18" s="9" t="s">
        <v>256</v>
      </c>
      <c r="H18" s="9" t="s">
        <v>266</v>
      </c>
      <c r="J18" s="9" t="s">
        <v>270</v>
      </c>
      <c r="M18" s="11">
        <v>65</v>
      </c>
      <c r="N18" s="11">
        <v>0</v>
      </c>
      <c r="O18" s="11">
        <v>0</v>
      </c>
      <c r="P18" s="11">
        <v>0.49</v>
      </c>
      <c r="Q18" s="11">
        <v>0.24</v>
      </c>
      <c r="R18" s="11">
        <v>0.27</v>
      </c>
    </row>
    <row r="19" spans="3:18" x14ac:dyDescent="0.15">
      <c r="C19" s="9" t="s">
        <v>247</v>
      </c>
      <c r="D19" s="9">
        <v>4</v>
      </c>
      <c r="E19" s="9">
        <v>35</v>
      </c>
      <c r="F19" s="9" t="s">
        <v>252</v>
      </c>
      <c r="G19" s="9" t="s">
        <v>40</v>
      </c>
      <c r="H19" s="9" t="s">
        <v>267</v>
      </c>
      <c r="J19" s="9" t="s">
        <v>270</v>
      </c>
      <c r="M19" s="11">
        <v>70</v>
      </c>
      <c r="N19" s="11">
        <v>0</v>
      </c>
      <c r="O19" s="11">
        <v>0</v>
      </c>
      <c r="P19" s="11">
        <v>0.47</v>
      </c>
      <c r="Q19" s="11">
        <v>0.21999999999999997</v>
      </c>
      <c r="R19" s="11">
        <v>0.31</v>
      </c>
    </row>
    <row r="20" spans="3:18" x14ac:dyDescent="0.15">
      <c r="C20" s="9" t="s">
        <v>247</v>
      </c>
      <c r="D20" s="9">
        <v>5</v>
      </c>
      <c r="E20" s="9">
        <v>45</v>
      </c>
      <c r="F20" s="9" t="s">
        <v>252</v>
      </c>
      <c r="G20" s="9" t="s">
        <v>257</v>
      </c>
      <c r="H20" s="9" t="s">
        <v>264</v>
      </c>
      <c r="J20" s="9" t="s">
        <v>270</v>
      </c>
      <c r="M20" s="11">
        <v>75</v>
      </c>
      <c r="N20" s="11">
        <v>0</v>
      </c>
      <c r="O20" s="11">
        <v>0</v>
      </c>
      <c r="P20" s="11">
        <v>0.45</v>
      </c>
      <c r="Q20" s="11">
        <v>0.2</v>
      </c>
      <c r="R20" s="11">
        <v>0.35</v>
      </c>
    </row>
    <row r="21" spans="3:18" x14ac:dyDescent="0.15">
      <c r="C21" s="9" t="s">
        <v>247</v>
      </c>
      <c r="D21" s="9">
        <v>6</v>
      </c>
      <c r="E21" s="9">
        <v>55</v>
      </c>
      <c r="F21" s="9" t="s">
        <v>252</v>
      </c>
      <c r="G21" s="9" t="s">
        <v>257</v>
      </c>
      <c r="H21" s="9" t="s">
        <v>265</v>
      </c>
      <c r="J21" s="9" t="s">
        <v>270</v>
      </c>
      <c r="M21" s="11">
        <v>80</v>
      </c>
      <c r="N21" s="11">
        <v>0</v>
      </c>
      <c r="O21" s="11">
        <v>0</v>
      </c>
      <c r="P21" s="11">
        <v>0.41</v>
      </c>
      <c r="Q21" s="11">
        <v>0.2</v>
      </c>
      <c r="R21" s="11">
        <v>0.39</v>
      </c>
    </row>
    <row r="22" spans="3:18" x14ac:dyDescent="0.15">
      <c r="C22" s="9" t="s">
        <v>247</v>
      </c>
      <c r="D22" s="9">
        <v>7</v>
      </c>
      <c r="E22" s="9">
        <v>65</v>
      </c>
      <c r="F22" s="9" t="s">
        <v>252</v>
      </c>
      <c r="G22" s="9" t="s">
        <v>258</v>
      </c>
      <c r="H22" s="9" t="s">
        <v>265</v>
      </c>
      <c r="J22" s="9" t="s">
        <v>270</v>
      </c>
      <c r="M22" s="11">
        <v>90</v>
      </c>
      <c r="N22" s="11">
        <v>0</v>
      </c>
      <c r="O22" s="11">
        <v>0</v>
      </c>
      <c r="P22" s="11">
        <v>0.37</v>
      </c>
      <c r="Q22" s="11">
        <v>0.2</v>
      </c>
      <c r="R22" s="11">
        <v>0.43</v>
      </c>
    </row>
    <row r="23" spans="3:18" x14ac:dyDescent="0.15">
      <c r="C23" s="9" t="s">
        <v>247</v>
      </c>
      <c r="D23" s="9">
        <v>8</v>
      </c>
      <c r="E23" s="9">
        <v>75</v>
      </c>
      <c r="F23" s="9" t="s">
        <v>252</v>
      </c>
      <c r="G23" s="9" t="s">
        <v>258</v>
      </c>
      <c r="H23" s="9" t="s">
        <v>268</v>
      </c>
      <c r="J23" s="9" t="s">
        <v>270</v>
      </c>
      <c r="M23" s="11">
        <v>100</v>
      </c>
      <c r="N23" s="11">
        <v>0</v>
      </c>
      <c r="O23" s="11">
        <v>0</v>
      </c>
      <c r="P23" s="11">
        <v>0.33</v>
      </c>
      <c r="Q23" s="11">
        <v>0.2</v>
      </c>
      <c r="R23" s="11">
        <v>0.47</v>
      </c>
    </row>
    <row r="24" spans="3:18" x14ac:dyDescent="0.15">
      <c r="C24" s="9" t="s">
        <v>247</v>
      </c>
      <c r="D24" s="9">
        <v>9</v>
      </c>
      <c r="E24" s="9">
        <v>85</v>
      </c>
      <c r="F24" s="9" t="s">
        <v>252</v>
      </c>
      <c r="G24" s="9" t="s">
        <v>259</v>
      </c>
      <c r="H24" s="9" t="s">
        <v>269</v>
      </c>
      <c r="J24" s="9" t="s">
        <v>270</v>
      </c>
      <c r="M24" s="11">
        <v>110</v>
      </c>
      <c r="N24" s="11">
        <v>0</v>
      </c>
      <c r="O24" s="11">
        <v>0</v>
      </c>
      <c r="P24" s="11">
        <v>0.28999999999999998</v>
      </c>
      <c r="Q24" s="11">
        <v>0.2</v>
      </c>
      <c r="R24" s="11">
        <v>0.51</v>
      </c>
    </row>
    <row r="25" spans="3:18" x14ac:dyDescent="0.15">
      <c r="C25" s="9" t="s">
        <v>247</v>
      </c>
      <c r="D25" s="9">
        <v>10</v>
      </c>
      <c r="E25" s="9">
        <v>95</v>
      </c>
      <c r="F25" s="9" t="s">
        <v>252</v>
      </c>
      <c r="G25" s="9" t="s">
        <v>259</v>
      </c>
      <c r="H25" s="9" t="s">
        <v>269</v>
      </c>
      <c r="J25" s="9" t="s">
        <v>270</v>
      </c>
    </row>
    <row r="27" spans="3:18" x14ac:dyDescent="0.15">
      <c r="C27" s="9" t="s">
        <v>249</v>
      </c>
      <c r="D27" s="9">
        <v>1</v>
      </c>
      <c r="E27" s="9">
        <v>5</v>
      </c>
      <c r="F27" s="9" t="s">
        <v>253</v>
      </c>
      <c r="G27" s="9" t="s">
        <v>255</v>
      </c>
      <c r="J27" s="9" t="s">
        <v>270</v>
      </c>
    </row>
    <row r="28" spans="3:18" x14ac:dyDescent="0.15">
      <c r="C28" s="9" t="s">
        <v>249</v>
      </c>
      <c r="D28" s="9">
        <v>2</v>
      </c>
      <c r="E28" s="9">
        <v>15</v>
      </c>
      <c r="F28" s="9" t="s">
        <v>253</v>
      </c>
      <c r="G28" s="9" t="s">
        <v>255</v>
      </c>
      <c r="J28" s="9" t="s">
        <v>270</v>
      </c>
    </row>
    <row r="29" spans="3:18" x14ac:dyDescent="0.15">
      <c r="C29" s="9" t="s">
        <v>249</v>
      </c>
      <c r="D29" s="9">
        <v>3</v>
      </c>
      <c r="E29" s="9">
        <v>25</v>
      </c>
      <c r="F29" s="9" t="s">
        <v>253</v>
      </c>
      <c r="G29" s="9" t="s">
        <v>256</v>
      </c>
      <c r="H29" s="9" t="s">
        <v>266</v>
      </c>
      <c r="J29" s="9" t="s">
        <v>270</v>
      </c>
    </row>
    <row r="30" spans="3:18" x14ac:dyDescent="0.15">
      <c r="C30" s="9" t="s">
        <v>249</v>
      </c>
      <c r="D30" s="9">
        <v>4</v>
      </c>
      <c r="E30" s="9">
        <v>35</v>
      </c>
      <c r="F30" s="9" t="s">
        <v>253</v>
      </c>
      <c r="G30" s="9" t="s">
        <v>40</v>
      </c>
      <c r="H30" s="9" t="s">
        <v>267</v>
      </c>
      <c r="J30" s="9" t="s">
        <v>270</v>
      </c>
    </row>
    <row r="31" spans="3:18" x14ac:dyDescent="0.15">
      <c r="C31" s="9" t="s">
        <v>249</v>
      </c>
      <c r="D31" s="9">
        <v>5</v>
      </c>
      <c r="E31" s="9">
        <v>45</v>
      </c>
      <c r="F31" s="9" t="s">
        <v>253</v>
      </c>
      <c r="G31" s="9" t="s">
        <v>257</v>
      </c>
      <c r="H31" s="9" t="s">
        <v>264</v>
      </c>
      <c r="J31" s="9" t="s">
        <v>270</v>
      </c>
    </row>
    <row r="32" spans="3:18" x14ac:dyDescent="0.15">
      <c r="C32" s="9" t="s">
        <v>249</v>
      </c>
      <c r="D32" s="9">
        <v>6</v>
      </c>
      <c r="E32" s="9">
        <v>55</v>
      </c>
      <c r="F32" s="9" t="s">
        <v>253</v>
      </c>
      <c r="G32" s="9" t="s">
        <v>257</v>
      </c>
      <c r="H32" s="9" t="s">
        <v>265</v>
      </c>
      <c r="J32" s="9" t="s">
        <v>270</v>
      </c>
    </row>
    <row r="33" spans="3:10" x14ac:dyDescent="0.15">
      <c r="C33" s="9" t="s">
        <v>249</v>
      </c>
      <c r="D33" s="9">
        <v>7</v>
      </c>
      <c r="E33" s="9">
        <v>65</v>
      </c>
      <c r="F33" s="9" t="s">
        <v>253</v>
      </c>
      <c r="G33" s="9" t="s">
        <v>258</v>
      </c>
      <c r="H33" s="9" t="s">
        <v>265</v>
      </c>
      <c r="J33" s="9" t="s">
        <v>270</v>
      </c>
    </row>
    <row r="34" spans="3:10" x14ac:dyDescent="0.15">
      <c r="C34" s="9" t="s">
        <v>249</v>
      </c>
      <c r="D34" s="9">
        <v>8</v>
      </c>
      <c r="E34" s="9">
        <v>75</v>
      </c>
      <c r="F34" s="9" t="s">
        <v>253</v>
      </c>
      <c r="G34" s="9" t="s">
        <v>258</v>
      </c>
      <c r="H34" s="9" t="s">
        <v>268</v>
      </c>
      <c r="J34" s="9" t="s">
        <v>270</v>
      </c>
    </row>
    <row r="35" spans="3:10" x14ac:dyDescent="0.15">
      <c r="C35" s="9" t="s">
        <v>249</v>
      </c>
      <c r="D35" s="9">
        <v>9</v>
      </c>
      <c r="E35" s="9">
        <v>85</v>
      </c>
      <c r="F35" s="9" t="s">
        <v>253</v>
      </c>
      <c r="G35" s="9" t="s">
        <v>259</v>
      </c>
      <c r="H35" s="9" t="s">
        <v>269</v>
      </c>
      <c r="J35" s="9" t="s">
        <v>270</v>
      </c>
    </row>
    <row r="36" spans="3:10" x14ac:dyDescent="0.15">
      <c r="C36" s="9" t="s">
        <v>249</v>
      </c>
      <c r="D36" s="9">
        <v>10</v>
      </c>
      <c r="E36" s="9">
        <v>95</v>
      </c>
      <c r="F36" s="9" t="s">
        <v>253</v>
      </c>
      <c r="G36" s="9" t="s">
        <v>259</v>
      </c>
      <c r="H36" s="9" t="s">
        <v>269</v>
      </c>
      <c r="J36" s="9" t="s">
        <v>270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C1:Q75"/>
  <sheetViews>
    <sheetView workbookViewId="0">
      <selection activeCell="N25" sqref="N25"/>
    </sheetView>
  </sheetViews>
  <sheetFormatPr defaultRowHeight="11.25" x14ac:dyDescent="0.15"/>
  <cols>
    <col min="1" max="3" width="9" style="5"/>
    <col min="4" max="4" width="27.25" style="5" bestFit="1" customWidth="1"/>
    <col min="5" max="16384" width="9" style="5"/>
  </cols>
  <sheetData>
    <row r="1" spans="3:17" x14ac:dyDescent="0.15">
      <c r="C1" s="15" t="s">
        <v>357</v>
      </c>
    </row>
    <row r="2" spans="3:17" x14ac:dyDescent="0.15">
      <c r="H2" s="8" t="s">
        <v>239</v>
      </c>
      <c r="I2" s="8"/>
      <c r="L2" s="7" t="s">
        <v>239</v>
      </c>
      <c r="M2" s="7"/>
      <c r="P2" s="7" t="s">
        <v>239</v>
      </c>
      <c r="Q2" s="7"/>
    </row>
    <row r="3" spans="3:17" x14ac:dyDescent="0.15">
      <c r="C3" s="6" t="s">
        <v>238</v>
      </c>
      <c r="D3" s="6" t="s">
        <v>237</v>
      </c>
      <c r="H3" s="6" t="s">
        <v>236</v>
      </c>
      <c r="I3" s="6" t="s">
        <v>235</v>
      </c>
      <c r="L3" s="5" t="s">
        <v>236</v>
      </c>
      <c r="M3" s="5" t="s">
        <v>235</v>
      </c>
      <c r="P3" s="5" t="s">
        <v>236</v>
      </c>
      <c r="Q3" s="5" t="s">
        <v>235</v>
      </c>
    </row>
    <row r="4" spans="3:17" x14ac:dyDescent="0.15">
      <c r="C4" s="46" t="s">
        <v>234</v>
      </c>
      <c r="D4" s="6" t="s">
        <v>232</v>
      </c>
      <c r="F4" s="6" t="s">
        <v>233</v>
      </c>
      <c r="G4" s="6" t="s">
        <v>232</v>
      </c>
      <c r="H4" s="6">
        <v>21001</v>
      </c>
      <c r="I4" s="6" t="s">
        <v>231</v>
      </c>
      <c r="K4" s="5" t="s">
        <v>230</v>
      </c>
      <c r="L4" s="5">
        <v>26000</v>
      </c>
      <c r="M4" s="5" t="s">
        <v>229</v>
      </c>
      <c r="O4" s="5" t="s">
        <v>216</v>
      </c>
    </row>
    <row r="5" spans="3:17" x14ac:dyDescent="0.15">
      <c r="C5" s="47"/>
      <c r="D5" s="6" t="s">
        <v>190</v>
      </c>
      <c r="F5" s="6"/>
      <c r="G5" s="6"/>
      <c r="H5" s="6">
        <v>21002</v>
      </c>
      <c r="I5" s="6" t="s">
        <v>228</v>
      </c>
      <c r="L5" s="5">
        <v>26001</v>
      </c>
      <c r="M5" s="5" t="s">
        <v>227</v>
      </c>
    </row>
    <row r="6" spans="3:17" x14ac:dyDescent="0.15">
      <c r="C6" s="47"/>
      <c r="D6" s="6" t="s">
        <v>187</v>
      </c>
      <c r="F6" s="6"/>
      <c r="G6" s="6"/>
      <c r="H6" s="6">
        <v>21003</v>
      </c>
      <c r="I6" s="6" t="s">
        <v>226</v>
      </c>
      <c r="L6" s="5">
        <v>26002</v>
      </c>
      <c r="M6" s="5" t="s">
        <v>225</v>
      </c>
    </row>
    <row r="7" spans="3:17" x14ac:dyDescent="0.15">
      <c r="C7" s="48"/>
      <c r="D7" s="6" t="s">
        <v>224</v>
      </c>
      <c r="F7" s="6"/>
      <c r="G7" s="6"/>
      <c r="H7" s="6">
        <v>21004</v>
      </c>
      <c r="I7" s="6" t="s">
        <v>223</v>
      </c>
      <c r="L7" s="5">
        <v>26003</v>
      </c>
      <c r="M7" s="5" t="s">
        <v>222</v>
      </c>
    </row>
    <row r="8" spans="3:17" x14ac:dyDescent="0.15">
      <c r="C8" s="6" t="s">
        <v>219</v>
      </c>
      <c r="D8" s="6" t="s">
        <v>243</v>
      </c>
      <c r="F8" s="6"/>
      <c r="G8" s="6"/>
      <c r="H8" s="6">
        <v>21005</v>
      </c>
      <c r="I8" s="6" t="s">
        <v>221</v>
      </c>
      <c r="L8" s="5">
        <v>26004</v>
      </c>
      <c r="M8" s="5" t="s">
        <v>220</v>
      </c>
    </row>
    <row r="9" spans="3:17" x14ac:dyDescent="0.15">
      <c r="C9" s="6" t="s">
        <v>216</v>
      </c>
      <c r="D9" s="6" t="s">
        <v>244</v>
      </c>
      <c r="F9" s="6"/>
      <c r="G9" s="6"/>
      <c r="H9" s="6">
        <v>21006</v>
      </c>
      <c r="I9" s="6" t="s">
        <v>218</v>
      </c>
      <c r="L9" s="5">
        <v>26005</v>
      </c>
      <c r="M9" s="5" t="s">
        <v>217</v>
      </c>
    </row>
    <row r="10" spans="3:17" x14ac:dyDescent="0.15">
      <c r="F10" s="6"/>
      <c r="G10" s="6"/>
      <c r="H10" s="6">
        <v>21007</v>
      </c>
      <c r="I10" s="6" t="s">
        <v>215</v>
      </c>
      <c r="L10" s="5">
        <v>26006</v>
      </c>
      <c r="M10" s="5" t="s">
        <v>214</v>
      </c>
    </row>
    <row r="11" spans="3:17" x14ac:dyDescent="0.15">
      <c r="F11" s="6"/>
      <c r="G11" s="6"/>
      <c r="H11" s="6">
        <v>21008</v>
      </c>
      <c r="I11" s="6" t="s">
        <v>213</v>
      </c>
      <c r="L11" s="5">
        <v>26007</v>
      </c>
      <c r="M11" s="5" t="s">
        <v>212</v>
      </c>
    </row>
    <row r="12" spans="3:17" x14ac:dyDescent="0.15">
      <c r="F12" s="6"/>
      <c r="G12" s="6"/>
      <c r="H12" s="6">
        <v>21009</v>
      </c>
      <c r="I12" s="6" t="s">
        <v>211</v>
      </c>
      <c r="L12" s="5">
        <v>26008</v>
      </c>
      <c r="M12" s="5" t="s">
        <v>210</v>
      </c>
    </row>
    <row r="13" spans="3:17" x14ac:dyDescent="0.15">
      <c r="F13" s="6"/>
      <c r="G13" s="6"/>
      <c r="H13" s="6">
        <v>21010</v>
      </c>
      <c r="I13" s="6" t="s">
        <v>209</v>
      </c>
      <c r="L13" s="5">
        <v>26009</v>
      </c>
      <c r="M13" s="5" t="s">
        <v>208</v>
      </c>
    </row>
    <row r="14" spans="3:17" x14ac:dyDescent="0.15">
      <c r="F14" s="6"/>
      <c r="G14" s="6"/>
      <c r="H14" s="6">
        <v>21011</v>
      </c>
      <c r="I14" s="6" t="s">
        <v>207</v>
      </c>
      <c r="L14" s="5">
        <v>26010</v>
      </c>
      <c r="M14" s="5" t="s">
        <v>206</v>
      </c>
    </row>
    <row r="15" spans="3:17" x14ac:dyDescent="0.15">
      <c r="F15" s="6"/>
      <c r="G15" s="6"/>
      <c r="H15" s="6">
        <v>21012</v>
      </c>
      <c r="I15" s="6" t="s">
        <v>205</v>
      </c>
      <c r="L15" s="5">
        <v>26011</v>
      </c>
      <c r="M15" s="5" t="s">
        <v>204</v>
      </c>
    </row>
    <row r="16" spans="3:17" x14ac:dyDescent="0.15">
      <c r="F16" s="6"/>
      <c r="G16" s="6"/>
      <c r="H16" s="6">
        <v>21013</v>
      </c>
      <c r="I16" s="6" t="s">
        <v>203</v>
      </c>
      <c r="L16" s="5">
        <v>26012</v>
      </c>
      <c r="M16" s="5" t="s">
        <v>202</v>
      </c>
    </row>
    <row r="17" spans="6:13" x14ac:dyDescent="0.15">
      <c r="F17" s="6"/>
      <c r="G17" s="6"/>
      <c r="H17" s="6">
        <v>21014</v>
      </c>
      <c r="I17" s="6" t="s">
        <v>201</v>
      </c>
      <c r="L17" s="5">
        <v>26013</v>
      </c>
      <c r="M17" s="5" t="s">
        <v>200</v>
      </c>
    </row>
    <row r="18" spans="6:13" x14ac:dyDescent="0.15">
      <c r="F18" s="6"/>
      <c r="G18" s="6"/>
      <c r="H18" s="6">
        <v>21015</v>
      </c>
      <c r="I18" s="6" t="s">
        <v>199</v>
      </c>
      <c r="L18" s="5">
        <v>26014</v>
      </c>
      <c r="M18" s="5" t="s">
        <v>198</v>
      </c>
    </row>
    <row r="19" spans="6:13" x14ac:dyDescent="0.15">
      <c r="F19" s="6"/>
      <c r="G19" s="6"/>
      <c r="H19" s="6">
        <v>21016</v>
      </c>
      <c r="I19" s="6" t="s">
        <v>197</v>
      </c>
      <c r="L19" s="5">
        <v>26015</v>
      </c>
      <c r="M19" s="5" t="s">
        <v>196</v>
      </c>
    </row>
    <row r="20" spans="6:13" x14ac:dyDescent="0.15">
      <c r="F20" s="6"/>
      <c r="G20" s="6"/>
      <c r="H20" s="6">
        <v>21017</v>
      </c>
      <c r="I20" s="6" t="s">
        <v>195</v>
      </c>
      <c r="L20" s="5">
        <v>26100</v>
      </c>
      <c r="M20" s="5" t="s">
        <v>193</v>
      </c>
    </row>
    <row r="21" spans="6:13" x14ac:dyDescent="0.15">
      <c r="F21" s="6"/>
      <c r="G21" s="6"/>
      <c r="H21" s="6">
        <v>21018</v>
      </c>
      <c r="I21" s="6" t="s">
        <v>194</v>
      </c>
      <c r="L21" s="5">
        <v>26101</v>
      </c>
      <c r="M21" s="5" t="s">
        <v>191</v>
      </c>
    </row>
    <row r="22" spans="6:13" x14ac:dyDescent="0.15">
      <c r="F22" s="6"/>
      <c r="G22" s="6"/>
      <c r="H22" s="6">
        <v>21019</v>
      </c>
      <c r="I22" s="6" t="s">
        <v>192</v>
      </c>
      <c r="L22" s="5">
        <v>26102</v>
      </c>
      <c r="M22" s="5" t="s">
        <v>188</v>
      </c>
    </row>
    <row r="23" spans="6:13" x14ac:dyDescent="0.15">
      <c r="F23" s="6"/>
      <c r="G23" s="6" t="s">
        <v>190</v>
      </c>
      <c r="H23" s="6">
        <v>21100</v>
      </c>
      <c r="I23" s="6" t="s">
        <v>189</v>
      </c>
      <c r="L23" s="5">
        <v>26103</v>
      </c>
      <c r="M23" s="5" t="s">
        <v>185</v>
      </c>
    </row>
    <row r="24" spans="6:13" x14ac:dyDescent="0.15">
      <c r="F24" s="6"/>
      <c r="G24" s="6"/>
      <c r="H24" s="6">
        <v>21073</v>
      </c>
      <c r="I24" s="6" t="s">
        <v>240</v>
      </c>
      <c r="L24" s="5">
        <v>26104</v>
      </c>
      <c r="M24" s="5" t="s">
        <v>183</v>
      </c>
    </row>
    <row r="25" spans="6:13" x14ac:dyDescent="0.15">
      <c r="F25" s="6"/>
      <c r="G25" s="6"/>
      <c r="H25" s="6">
        <v>21074</v>
      </c>
      <c r="I25" s="6" t="s">
        <v>241</v>
      </c>
      <c r="L25" s="5">
        <v>26105</v>
      </c>
      <c r="M25" s="5" t="s">
        <v>181</v>
      </c>
    </row>
    <row r="26" spans="6:13" x14ac:dyDescent="0.15">
      <c r="F26" s="6"/>
      <c r="G26" s="6" t="s">
        <v>187</v>
      </c>
      <c r="H26" s="6">
        <v>21081</v>
      </c>
      <c r="I26" s="6" t="s">
        <v>186</v>
      </c>
      <c r="L26" s="5">
        <v>26106</v>
      </c>
      <c r="M26" s="5" t="s">
        <v>179</v>
      </c>
    </row>
    <row r="27" spans="6:13" x14ac:dyDescent="0.15">
      <c r="F27" s="6"/>
      <c r="G27" s="6"/>
      <c r="H27" s="6">
        <v>21082</v>
      </c>
      <c r="I27" s="6" t="s">
        <v>184</v>
      </c>
      <c r="L27" s="5">
        <v>26107</v>
      </c>
      <c r="M27" s="5" t="s">
        <v>177</v>
      </c>
    </row>
    <row r="28" spans="6:13" x14ac:dyDescent="0.15">
      <c r="F28" s="6"/>
      <c r="G28" s="6"/>
      <c r="H28" s="6">
        <v>21083</v>
      </c>
      <c r="I28" s="6" t="s">
        <v>182</v>
      </c>
      <c r="L28" s="5">
        <v>26108</v>
      </c>
      <c r="M28" s="5" t="s">
        <v>174</v>
      </c>
    </row>
    <row r="29" spans="6:13" x14ac:dyDescent="0.15">
      <c r="F29" s="6"/>
      <c r="G29" s="6"/>
      <c r="H29" s="6">
        <v>21084</v>
      </c>
      <c r="I29" s="6" t="s">
        <v>180</v>
      </c>
      <c r="L29" s="5">
        <v>26109</v>
      </c>
      <c r="M29" s="5" t="s">
        <v>172</v>
      </c>
    </row>
    <row r="30" spans="6:13" x14ac:dyDescent="0.15">
      <c r="F30" s="6"/>
      <c r="G30" s="6"/>
      <c r="H30" s="6">
        <v>21085</v>
      </c>
      <c r="I30" s="6" t="s">
        <v>178</v>
      </c>
      <c r="L30" s="5">
        <v>26110</v>
      </c>
      <c r="M30" s="5" t="s">
        <v>170</v>
      </c>
    </row>
    <row r="31" spans="6:13" x14ac:dyDescent="0.15">
      <c r="F31" s="6"/>
      <c r="G31" s="6" t="s">
        <v>176</v>
      </c>
      <c r="H31" s="6">
        <v>21500</v>
      </c>
      <c r="I31" s="6" t="s">
        <v>175</v>
      </c>
      <c r="L31" s="5">
        <v>26111</v>
      </c>
      <c r="M31" s="5" t="s">
        <v>169</v>
      </c>
    </row>
    <row r="32" spans="6:13" x14ac:dyDescent="0.15">
      <c r="F32" s="6"/>
      <c r="G32" s="6"/>
      <c r="H32" s="6">
        <v>21501</v>
      </c>
      <c r="I32" s="6" t="s">
        <v>173</v>
      </c>
      <c r="L32" s="5">
        <v>26112</v>
      </c>
      <c r="M32" s="5" t="s">
        <v>168</v>
      </c>
    </row>
    <row r="33" spans="6:13" x14ac:dyDescent="0.15">
      <c r="F33" s="6"/>
      <c r="G33" s="6"/>
      <c r="H33" s="6">
        <v>21502</v>
      </c>
      <c r="I33" s="6" t="s">
        <v>171</v>
      </c>
      <c r="L33" s="5">
        <v>26113</v>
      </c>
      <c r="M33" s="5" t="s">
        <v>167</v>
      </c>
    </row>
    <row r="34" spans="6:13" x14ac:dyDescent="0.15">
      <c r="L34" s="5">
        <v>26114</v>
      </c>
      <c r="M34" s="5" t="s">
        <v>166</v>
      </c>
    </row>
    <row r="35" spans="6:13" x14ac:dyDescent="0.15">
      <c r="L35" s="5">
        <v>26115</v>
      </c>
      <c r="M35" s="5" t="s">
        <v>165</v>
      </c>
    </row>
    <row r="36" spans="6:13" x14ac:dyDescent="0.15">
      <c r="L36" s="5">
        <v>26116</v>
      </c>
      <c r="M36" s="5" t="s">
        <v>164</v>
      </c>
    </row>
    <row r="37" spans="6:13" x14ac:dyDescent="0.15">
      <c r="L37" s="5">
        <v>26117</v>
      </c>
      <c r="M37" s="5" t="s">
        <v>163</v>
      </c>
    </row>
    <row r="38" spans="6:13" x14ac:dyDescent="0.15">
      <c r="L38" s="5">
        <v>26118</v>
      </c>
      <c r="M38" s="5" t="s">
        <v>162</v>
      </c>
    </row>
    <row r="39" spans="6:13" x14ac:dyDescent="0.15">
      <c r="L39" s="5">
        <v>26119</v>
      </c>
      <c r="M39" s="5" t="s">
        <v>161</v>
      </c>
    </row>
    <row r="40" spans="6:13" x14ac:dyDescent="0.15">
      <c r="L40" s="5">
        <v>26120</v>
      </c>
      <c r="M40" s="5" t="s">
        <v>160</v>
      </c>
    </row>
    <row r="41" spans="6:13" x14ac:dyDescent="0.15">
      <c r="L41" s="5">
        <v>26121</v>
      </c>
      <c r="M41" s="5" t="s">
        <v>159</v>
      </c>
    </row>
    <row r="42" spans="6:13" x14ac:dyDescent="0.15">
      <c r="L42" s="5">
        <v>26122</v>
      </c>
      <c r="M42" s="5" t="s">
        <v>158</v>
      </c>
    </row>
    <row r="43" spans="6:13" x14ac:dyDescent="0.15">
      <c r="L43" s="5">
        <v>26123</v>
      </c>
      <c r="M43" s="5" t="s">
        <v>157</v>
      </c>
    </row>
    <row r="44" spans="6:13" x14ac:dyDescent="0.15">
      <c r="L44" s="5">
        <v>26124</v>
      </c>
      <c r="M44" s="5" t="s">
        <v>156</v>
      </c>
    </row>
    <row r="45" spans="6:13" x14ac:dyDescent="0.15">
      <c r="L45" s="5">
        <v>26125</v>
      </c>
      <c r="M45" s="5" t="s">
        <v>155</v>
      </c>
    </row>
    <row r="46" spans="6:13" x14ac:dyDescent="0.15">
      <c r="L46" s="5">
        <v>26126</v>
      </c>
      <c r="M46" s="5" t="s">
        <v>154</v>
      </c>
    </row>
    <row r="47" spans="6:13" x14ac:dyDescent="0.15">
      <c r="L47" s="5">
        <v>26127</v>
      </c>
      <c r="M47" s="5" t="s">
        <v>153</v>
      </c>
    </row>
    <row r="48" spans="6:13" x14ac:dyDescent="0.15">
      <c r="L48" s="5">
        <v>26128</v>
      </c>
      <c r="M48" s="5" t="s">
        <v>152</v>
      </c>
    </row>
    <row r="49" spans="12:13" x14ac:dyDescent="0.15">
      <c r="L49" s="5">
        <v>26129</v>
      </c>
      <c r="M49" s="5" t="s">
        <v>151</v>
      </c>
    </row>
    <row r="50" spans="12:13" x14ac:dyDescent="0.15">
      <c r="L50" s="5">
        <v>26130</v>
      </c>
      <c r="M50" s="5" t="s">
        <v>150</v>
      </c>
    </row>
    <row r="51" spans="12:13" x14ac:dyDescent="0.15">
      <c r="L51" s="5">
        <v>26131</v>
      </c>
      <c r="M51" s="5" t="s">
        <v>149</v>
      </c>
    </row>
    <row r="52" spans="12:13" x14ac:dyDescent="0.15">
      <c r="L52" s="5">
        <v>26200</v>
      </c>
      <c r="M52" s="5" t="s">
        <v>148</v>
      </c>
    </row>
    <row r="53" spans="12:13" x14ac:dyDescent="0.15">
      <c r="L53" s="5">
        <v>26201</v>
      </c>
      <c r="M53" s="5" t="s">
        <v>147</v>
      </c>
    </row>
    <row r="54" spans="12:13" x14ac:dyDescent="0.15">
      <c r="L54" s="5">
        <v>26202</v>
      </c>
      <c r="M54" s="5" t="s">
        <v>146</v>
      </c>
    </row>
    <row r="55" spans="12:13" x14ac:dyDescent="0.15">
      <c r="L55" s="5">
        <v>26203</v>
      </c>
      <c r="M55" s="5" t="s">
        <v>145</v>
      </c>
    </row>
    <row r="56" spans="12:13" x14ac:dyDescent="0.15">
      <c r="L56" s="5">
        <v>26204</v>
      </c>
      <c r="M56" s="5" t="s">
        <v>144</v>
      </c>
    </row>
    <row r="57" spans="12:13" x14ac:dyDescent="0.15">
      <c r="L57" s="5">
        <v>26205</v>
      </c>
      <c r="M57" s="5" t="s">
        <v>143</v>
      </c>
    </row>
    <row r="58" spans="12:13" x14ac:dyDescent="0.15">
      <c r="L58" s="5">
        <v>26206</v>
      </c>
      <c r="M58" s="5" t="s">
        <v>142</v>
      </c>
    </row>
    <row r="59" spans="12:13" x14ac:dyDescent="0.15">
      <c r="L59" s="5">
        <v>26207</v>
      </c>
      <c r="M59" s="5" t="s">
        <v>141</v>
      </c>
    </row>
    <row r="60" spans="12:13" x14ac:dyDescent="0.15">
      <c r="L60" s="5">
        <v>26208</v>
      </c>
      <c r="M60" s="5" t="s">
        <v>140</v>
      </c>
    </row>
    <row r="61" spans="12:13" x14ac:dyDescent="0.15">
      <c r="L61" s="5">
        <v>26209</v>
      </c>
      <c r="M61" s="5" t="s">
        <v>139</v>
      </c>
    </row>
    <row r="62" spans="12:13" x14ac:dyDescent="0.15">
      <c r="L62" s="5">
        <v>26210</v>
      </c>
      <c r="M62" s="5" t="s">
        <v>138</v>
      </c>
    </row>
    <row r="63" spans="12:13" x14ac:dyDescent="0.15">
      <c r="L63" s="5">
        <v>26211</v>
      </c>
      <c r="M63" s="5" t="s">
        <v>137</v>
      </c>
    </row>
    <row r="64" spans="12:13" x14ac:dyDescent="0.15">
      <c r="L64" s="5">
        <v>26212</v>
      </c>
      <c r="M64" s="5" t="s">
        <v>136</v>
      </c>
    </row>
    <row r="65" spans="12:13" x14ac:dyDescent="0.15">
      <c r="L65" s="5">
        <v>26213</v>
      </c>
      <c r="M65" s="5" t="s">
        <v>135</v>
      </c>
    </row>
    <row r="66" spans="12:13" x14ac:dyDescent="0.15">
      <c r="L66" s="5">
        <v>26214</v>
      </c>
      <c r="M66" s="5" t="s">
        <v>134</v>
      </c>
    </row>
    <row r="67" spans="12:13" x14ac:dyDescent="0.15">
      <c r="L67" s="5">
        <v>26215</v>
      </c>
      <c r="M67" s="5" t="s">
        <v>133</v>
      </c>
    </row>
    <row r="68" spans="12:13" x14ac:dyDescent="0.15">
      <c r="L68" s="5">
        <v>26216</v>
      </c>
      <c r="M68" s="5" t="s">
        <v>132</v>
      </c>
    </row>
    <row r="69" spans="12:13" x14ac:dyDescent="0.15">
      <c r="L69" s="5">
        <v>26217</v>
      </c>
      <c r="M69" s="5" t="s">
        <v>131</v>
      </c>
    </row>
    <row r="70" spans="12:13" x14ac:dyDescent="0.15">
      <c r="L70" s="5">
        <v>26218</v>
      </c>
      <c r="M70" s="5" t="s">
        <v>130</v>
      </c>
    </row>
    <row r="71" spans="12:13" x14ac:dyDescent="0.15">
      <c r="L71" s="5">
        <v>26219</v>
      </c>
      <c r="M71" s="5" t="s">
        <v>129</v>
      </c>
    </row>
    <row r="72" spans="12:13" x14ac:dyDescent="0.15">
      <c r="L72" s="5">
        <v>26220</v>
      </c>
      <c r="M72" s="5" t="s">
        <v>128</v>
      </c>
    </row>
    <row r="73" spans="12:13" x14ac:dyDescent="0.15">
      <c r="L73" s="5">
        <v>26221</v>
      </c>
      <c r="M73" s="5" t="s">
        <v>127</v>
      </c>
    </row>
    <row r="74" spans="12:13" x14ac:dyDescent="0.15">
      <c r="L74" s="5">
        <v>26222</v>
      </c>
      <c r="M74" s="5" t="s">
        <v>126</v>
      </c>
    </row>
    <row r="75" spans="12:13" x14ac:dyDescent="0.15">
      <c r="L75" s="5">
        <v>26223</v>
      </c>
      <c r="M75" s="5" t="s">
        <v>125</v>
      </c>
    </row>
  </sheetData>
  <mergeCells count="1">
    <mergeCell ref="C4:C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4:H17"/>
  <sheetViews>
    <sheetView workbookViewId="0">
      <selection activeCell="G30" sqref="G30"/>
    </sheetView>
  </sheetViews>
  <sheetFormatPr defaultRowHeight="11.25" x14ac:dyDescent="0.15"/>
  <cols>
    <col min="1" max="16384" width="9" style="9"/>
  </cols>
  <sheetData>
    <row r="4" spans="2:8" x14ac:dyDescent="0.15">
      <c r="B4" s="9" t="s">
        <v>291</v>
      </c>
      <c r="C4" s="9" t="s">
        <v>294</v>
      </c>
      <c r="D4" s="9" t="s">
        <v>290</v>
      </c>
      <c r="E4" s="9" t="s">
        <v>292</v>
      </c>
      <c r="G4" s="9" t="s">
        <v>301</v>
      </c>
      <c r="H4" s="9" t="s">
        <v>302</v>
      </c>
    </row>
    <row r="5" spans="2:8" x14ac:dyDescent="0.15">
      <c r="B5" s="9" t="s">
        <v>284</v>
      </c>
      <c r="C5" s="9" t="s">
        <v>295</v>
      </c>
      <c r="D5" s="12">
        <v>0.04</v>
      </c>
      <c r="E5" s="9">
        <f>D5*'[1]资源-钻石'!$L$83</f>
        <v>89517.365111324121</v>
      </c>
      <c r="G5" s="9" t="s">
        <v>296</v>
      </c>
      <c r="H5" s="9">
        <f>SUMIF($C$5:$C$17,$G5,$D$5:$D$17)</f>
        <v>0.09</v>
      </c>
    </row>
    <row r="6" spans="2:8" x14ac:dyDescent="0.15">
      <c r="B6" s="9" t="s">
        <v>285</v>
      </c>
      <c r="C6" s="9" t="s">
        <v>295</v>
      </c>
      <c r="D6" s="12">
        <v>0.06</v>
      </c>
      <c r="E6" s="9">
        <f>D6*'[1]资源-钻石'!$L$83</f>
        <v>134276.04766698618</v>
      </c>
      <c r="G6" s="9" t="s">
        <v>303</v>
      </c>
      <c r="H6" s="9">
        <f>SUMIF($C$5:$C$17,$G6,$D$5:$D$17)</f>
        <v>0.48</v>
      </c>
    </row>
    <row r="7" spans="2:8" x14ac:dyDescent="0.15">
      <c r="B7" s="9" t="s">
        <v>305</v>
      </c>
      <c r="C7" s="9" t="s">
        <v>299</v>
      </c>
      <c r="D7" s="12">
        <v>0.1</v>
      </c>
      <c r="E7" s="9">
        <f>D7*'[1]资源-钻石'!$L$83</f>
        <v>223793.4127783103</v>
      </c>
      <c r="G7" s="9" t="s">
        <v>304</v>
      </c>
      <c r="H7" s="9">
        <f>SUMIF($C$5:$C$17,$G7,$D$5:$D$17)</f>
        <v>0.22999999999999998</v>
      </c>
    </row>
    <row r="8" spans="2:8" x14ac:dyDescent="0.15">
      <c r="B8" s="9" t="s">
        <v>289</v>
      </c>
      <c r="C8" s="9" t="s">
        <v>298</v>
      </c>
      <c r="D8" s="12">
        <v>0.03</v>
      </c>
      <c r="E8" s="9">
        <f>D8*'[1]资源-钻石'!$L$83</f>
        <v>67138.023833493091</v>
      </c>
    </row>
    <row r="9" spans="2:8" x14ac:dyDescent="0.15">
      <c r="B9" s="9" t="s">
        <v>306</v>
      </c>
      <c r="C9" s="9" t="s">
        <v>295</v>
      </c>
      <c r="D9" s="12">
        <v>0.15</v>
      </c>
      <c r="E9" s="9">
        <f>D9*'[1]资源-钻石'!$L$83</f>
        <v>335690.11916746543</v>
      </c>
    </row>
    <row r="10" spans="2:8" x14ac:dyDescent="0.15">
      <c r="B10" s="9" t="s">
        <v>307</v>
      </c>
      <c r="C10" s="9" t="s">
        <v>297</v>
      </c>
      <c r="D10" s="12">
        <v>0.02</v>
      </c>
      <c r="E10" s="9">
        <f>D10*'[1]资源-钻石'!$L$83</f>
        <v>44758.682555662061</v>
      </c>
    </row>
    <row r="11" spans="2:8" x14ac:dyDescent="0.15">
      <c r="B11" s="9" t="s">
        <v>308</v>
      </c>
      <c r="C11" s="9" t="s">
        <v>297</v>
      </c>
      <c r="D11" s="12">
        <v>0.04</v>
      </c>
      <c r="E11" s="9">
        <f>D11*'[1]资源-钻石'!$L$83</f>
        <v>89517.365111324121</v>
      </c>
    </row>
    <row r="12" spans="2:8" x14ac:dyDescent="0.15">
      <c r="B12" s="9" t="s">
        <v>309</v>
      </c>
      <c r="C12" s="9" t="s">
        <v>303</v>
      </c>
      <c r="D12" s="12">
        <v>0.06</v>
      </c>
      <c r="E12" s="9">
        <f>D12*'[1]资源-钻石'!$L$83</f>
        <v>134276.04766698618</v>
      </c>
    </row>
    <row r="13" spans="2:8" x14ac:dyDescent="0.15">
      <c r="B13" s="9" t="s">
        <v>310</v>
      </c>
      <c r="C13" s="9" t="s">
        <v>311</v>
      </c>
      <c r="D13" s="12">
        <v>0.08</v>
      </c>
      <c r="E13" s="9">
        <f>D13*'[1]资源-钻石'!$L$83</f>
        <v>179034.73022264824</v>
      </c>
    </row>
    <row r="14" spans="2:8" x14ac:dyDescent="0.15">
      <c r="B14" s="9" t="s">
        <v>286</v>
      </c>
      <c r="C14" s="9" t="s">
        <v>312</v>
      </c>
      <c r="D14" s="12">
        <v>0.02</v>
      </c>
      <c r="E14" s="9">
        <f>D14*'[1]资源-钻石'!$L$83</f>
        <v>44758.682555662061</v>
      </c>
    </row>
    <row r="15" spans="2:8" x14ac:dyDescent="0.15">
      <c r="B15" s="9" t="s">
        <v>287</v>
      </c>
      <c r="C15" s="9" t="s">
        <v>299</v>
      </c>
      <c r="D15" s="12">
        <v>0.05</v>
      </c>
      <c r="E15" s="9">
        <f>D15*'[1]资源-钻石'!$L$83</f>
        <v>111896.70638915515</v>
      </c>
    </row>
    <row r="16" spans="2:8" x14ac:dyDescent="0.15">
      <c r="B16" s="9" t="s">
        <v>288</v>
      </c>
      <c r="C16" s="9" t="s">
        <v>300</v>
      </c>
      <c r="D16" s="12">
        <v>0.15</v>
      </c>
      <c r="E16" s="9">
        <f>D16*'[1]资源-钻石'!$L$83</f>
        <v>335690.11916746543</v>
      </c>
    </row>
    <row r="17" spans="2:5" x14ac:dyDescent="0.15">
      <c r="B17" s="9" t="s">
        <v>293</v>
      </c>
      <c r="D17" s="13">
        <f>1-SUM(D5:D16)</f>
        <v>0.19999999999999996</v>
      </c>
      <c r="E17" s="9">
        <f>D17*'[1]资源-钻石'!$L$83</f>
        <v>447586.82555662049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属性计算</vt:lpstr>
      <vt:lpstr>资源货币产出分布（2020.6.23先锋测试版本）</vt:lpstr>
      <vt:lpstr>资源货币产出分布（2020.7.13）</vt:lpstr>
      <vt:lpstr>Sheet1</vt:lpstr>
      <vt:lpstr>大地图产出细化</vt:lpstr>
      <vt:lpstr>商店分类产出规划</vt:lpstr>
      <vt:lpstr>钻石产出各功能占比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abc123</cp:lastModifiedBy>
  <dcterms:created xsi:type="dcterms:W3CDTF">2006-09-16T00:00:00Z</dcterms:created>
  <dcterms:modified xsi:type="dcterms:W3CDTF">2020-09-16T03:48:41Z</dcterms:modified>
</cp:coreProperties>
</file>